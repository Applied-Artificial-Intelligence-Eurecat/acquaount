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ttps://eurecatcloud-my.sharepoint.com/personal/joel_aumedes_eurecat_org/Documents/Documentos/Projectes/ACQUAOUNT/acquaount-platform/src/resources/databaseInitialisation/"/>
    </mc:Choice>
  </mc:AlternateContent>
  <xr:revisionPtr revIDLastSave="0" documentId="8_{221B5DA8-A1CE-4CFF-9D78-023D875630B9}" xr6:coauthVersionLast="47" xr6:coauthVersionMax="47" xr10:uidLastSave="{00000000-0000-0000-0000-000000000000}"/>
  <bookViews>
    <workbookView xWindow="-120" yWindow="-120" windowWidth="20730" windowHeight="11310" activeTab="3" xr2:uid="{00000000-000D-0000-FFFF-FFFF00000000}"/>
  </bookViews>
  <sheets>
    <sheet name="All sensors Installed" sheetId="1" r:id="rId1"/>
    <sheet name="Sensor Type Details" sheetId="2" r:id="rId2"/>
    <sheet name="WOT Sensor Details" sheetId="3" r:id="rId3"/>
    <sheet name="Datastream Definition" sheetId="4" r:id="rId4"/>
    <sheet name="Property names" sheetId="5" r:id="rId5"/>
  </sheets>
  <definedNames>
    <definedName name="Z_0C6CB88B_A23A_4753_B680_752DA28FC575_.wvu.FilterData" localSheetId="3" hidden="1">'Datastream Definition'!$A$1:$P$1018</definedName>
    <definedName name="Z_87C71266_9967_4518_AB15_B74D2CDF6612_.wvu.FilterData" localSheetId="3" hidden="1">'Datastream Definition'!$A$1:$P$1018</definedName>
  </definedNames>
  <calcPr calcId="191029"/>
  <customWorkbookViews>
    <customWorkbookView name="Starting Test View" guid="{0C6CB88B-A23A-4753-B680-752DA28FC575}" maximized="1" windowWidth="0" windowHeight="0" activeSheetId="0"/>
    <customWorkbookView name="No Blank Cells" guid="{87C71266-9967-4518-AB15-B74D2CDF661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97" i="4" l="1"/>
  <c r="O697" i="4"/>
  <c r="N697" i="4"/>
  <c r="M697" i="4"/>
  <c r="L697" i="4"/>
  <c r="P696" i="4"/>
  <c r="O696" i="4"/>
  <c r="N696" i="4"/>
  <c r="M696" i="4"/>
  <c r="L696" i="4"/>
  <c r="P695" i="4"/>
  <c r="O695" i="4"/>
  <c r="N695" i="4"/>
  <c r="M695" i="4"/>
  <c r="L695" i="4"/>
  <c r="P694" i="4"/>
  <c r="O694" i="4"/>
  <c r="N694" i="4"/>
  <c r="M694" i="4"/>
  <c r="L694" i="4"/>
  <c r="P693" i="4"/>
  <c r="O693" i="4"/>
  <c r="N693" i="4"/>
  <c r="M693" i="4"/>
  <c r="L693" i="4"/>
  <c r="P692" i="4"/>
  <c r="O692" i="4"/>
  <c r="N692" i="4"/>
  <c r="M692" i="4"/>
  <c r="L692" i="4"/>
  <c r="P691" i="4"/>
  <c r="O691" i="4"/>
  <c r="N691" i="4"/>
  <c r="M691" i="4"/>
  <c r="L691" i="4"/>
  <c r="P690" i="4"/>
  <c r="O690" i="4"/>
  <c r="N690" i="4"/>
  <c r="M690" i="4"/>
  <c r="L690" i="4"/>
  <c r="P689" i="4"/>
  <c r="O689" i="4"/>
  <c r="N689" i="4"/>
  <c r="M689" i="4"/>
  <c r="L689" i="4"/>
  <c r="P688" i="4"/>
  <c r="O688" i="4"/>
  <c r="N688" i="4"/>
  <c r="M688" i="4"/>
  <c r="L688" i="4"/>
  <c r="P687" i="4"/>
  <c r="O687" i="4"/>
  <c r="N687" i="4"/>
  <c r="M687" i="4"/>
  <c r="L687" i="4"/>
  <c r="P686" i="4"/>
  <c r="O686" i="4"/>
  <c r="N686" i="4"/>
  <c r="M686" i="4"/>
  <c r="L686" i="4"/>
  <c r="P685" i="4"/>
  <c r="O685" i="4"/>
  <c r="N685" i="4"/>
  <c r="M685" i="4"/>
  <c r="L685" i="4"/>
  <c r="P684" i="4"/>
  <c r="O684" i="4"/>
  <c r="N684" i="4"/>
  <c r="M684" i="4"/>
  <c r="L684" i="4"/>
  <c r="P683" i="4"/>
  <c r="O683" i="4"/>
  <c r="N683" i="4"/>
  <c r="M683" i="4"/>
  <c r="L683" i="4"/>
  <c r="P682" i="4"/>
  <c r="O682" i="4"/>
  <c r="N682" i="4"/>
  <c r="M682" i="4"/>
  <c r="L682" i="4"/>
  <c r="P681" i="4"/>
  <c r="O681" i="4"/>
  <c r="N681" i="4"/>
  <c r="M681" i="4"/>
  <c r="L681" i="4"/>
  <c r="P680" i="4"/>
  <c r="O680" i="4"/>
  <c r="N680" i="4"/>
  <c r="M680" i="4"/>
  <c r="L680" i="4"/>
  <c r="P679" i="4"/>
  <c r="O679" i="4"/>
  <c r="N679" i="4"/>
  <c r="M679" i="4"/>
  <c r="L679" i="4"/>
  <c r="P678" i="4"/>
  <c r="O678" i="4"/>
  <c r="N678" i="4"/>
  <c r="M678" i="4"/>
  <c r="L678" i="4"/>
  <c r="P677" i="4"/>
  <c r="O677" i="4"/>
  <c r="N677" i="4"/>
  <c r="M677" i="4"/>
  <c r="L677" i="4"/>
  <c r="P676" i="4"/>
  <c r="O676" i="4"/>
  <c r="N676" i="4"/>
  <c r="M676" i="4"/>
  <c r="L676" i="4"/>
  <c r="P675" i="4"/>
  <c r="O675" i="4"/>
  <c r="N675" i="4"/>
  <c r="M675" i="4"/>
  <c r="L675" i="4"/>
  <c r="P674" i="4"/>
  <c r="O674" i="4"/>
  <c r="N674" i="4"/>
  <c r="M674" i="4"/>
  <c r="L674" i="4"/>
  <c r="P673" i="4"/>
  <c r="O673" i="4"/>
  <c r="N673" i="4"/>
  <c r="M673" i="4"/>
  <c r="L673" i="4"/>
  <c r="P672" i="4"/>
  <c r="O672" i="4"/>
  <c r="N672" i="4"/>
  <c r="M672" i="4"/>
  <c r="L672" i="4"/>
  <c r="P671" i="4"/>
  <c r="O671" i="4"/>
  <c r="N671" i="4"/>
  <c r="M671" i="4"/>
  <c r="L671" i="4"/>
  <c r="P670" i="4"/>
  <c r="O670" i="4"/>
  <c r="N670" i="4"/>
  <c r="M670" i="4"/>
  <c r="L670" i="4"/>
  <c r="P669" i="4"/>
  <c r="O669" i="4"/>
  <c r="N669" i="4"/>
  <c r="M669" i="4"/>
  <c r="L669" i="4"/>
  <c r="P668" i="4"/>
  <c r="O668" i="4"/>
  <c r="N668" i="4"/>
  <c r="M668" i="4"/>
  <c r="L668" i="4"/>
  <c r="P667" i="4"/>
  <c r="O667" i="4"/>
  <c r="N667" i="4"/>
  <c r="M667" i="4"/>
  <c r="L667" i="4"/>
  <c r="P666" i="4"/>
  <c r="O666" i="4"/>
  <c r="N666" i="4"/>
  <c r="M666" i="4"/>
  <c r="L666" i="4"/>
  <c r="P665" i="4"/>
  <c r="O665" i="4"/>
  <c r="N665" i="4"/>
  <c r="M665" i="4"/>
  <c r="L665" i="4"/>
  <c r="P664" i="4"/>
  <c r="O664" i="4"/>
  <c r="N664" i="4"/>
  <c r="M664" i="4"/>
  <c r="L664" i="4"/>
  <c r="P663" i="4"/>
  <c r="O663" i="4"/>
  <c r="N663" i="4"/>
  <c r="M663" i="4"/>
  <c r="L663" i="4"/>
  <c r="P662" i="4"/>
  <c r="O662" i="4"/>
  <c r="N662" i="4"/>
  <c r="M662" i="4"/>
  <c r="L662" i="4"/>
  <c r="P661" i="4"/>
  <c r="O661" i="4"/>
  <c r="N661" i="4"/>
  <c r="M661" i="4"/>
  <c r="L661" i="4"/>
  <c r="P660" i="4"/>
  <c r="O660" i="4"/>
  <c r="N660" i="4"/>
  <c r="M660" i="4"/>
  <c r="L660" i="4"/>
  <c r="P659" i="4"/>
  <c r="O659" i="4"/>
  <c r="N659" i="4"/>
  <c r="M659" i="4"/>
  <c r="L659" i="4"/>
  <c r="P658" i="4"/>
  <c r="O658" i="4"/>
  <c r="N658" i="4"/>
  <c r="M658" i="4"/>
  <c r="L658" i="4"/>
  <c r="P657" i="4"/>
  <c r="O657" i="4"/>
  <c r="N657" i="4"/>
  <c r="M657" i="4"/>
  <c r="L657" i="4"/>
  <c r="P656" i="4"/>
  <c r="O656" i="4"/>
  <c r="N656" i="4"/>
  <c r="M656" i="4"/>
  <c r="L656" i="4"/>
  <c r="P655" i="4"/>
  <c r="O655" i="4"/>
  <c r="N655" i="4"/>
  <c r="M655" i="4"/>
  <c r="L655" i="4"/>
  <c r="P654" i="4"/>
  <c r="O654" i="4"/>
  <c r="N654" i="4"/>
  <c r="M654" i="4"/>
  <c r="L654" i="4"/>
  <c r="P653" i="4"/>
  <c r="O653" i="4"/>
  <c r="N653" i="4"/>
  <c r="M653" i="4"/>
  <c r="L653" i="4"/>
  <c r="P652" i="4"/>
  <c r="O652" i="4"/>
  <c r="N652" i="4"/>
  <c r="M652" i="4"/>
  <c r="L652" i="4"/>
  <c r="P651" i="4"/>
  <c r="O651" i="4"/>
  <c r="N651" i="4"/>
  <c r="M651" i="4"/>
  <c r="L651" i="4"/>
  <c r="P650" i="4"/>
  <c r="O650" i="4"/>
  <c r="N650" i="4"/>
  <c r="M650" i="4"/>
  <c r="L650" i="4"/>
  <c r="P649" i="4"/>
  <c r="O649" i="4"/>
  <c r="N649" i="4"/>
  <c r="M649" i="4"/>
  <c r="L649" i="4"/>
  <c r="P648" i="4"/>
  <c r="O648" i="4"/>
  <c r="N648" i="4"/>
  <c r="M648" i="4"/>
  <c r="L648" i="4"/>
  <c r="P647" i="4"/>
  <c r="O647" i="4"/>
  <c r="N647" i="4"/>
  <c r="M647" i="4"/>
  <c r="L647" i="4"/>
  <c r="P646" i="4"/>
  <c r="O646" i="4"/>
  <c r="N646" i="4"/>
  <c r="M646" i="4"/>
  <c r="L646" i="4"/>
  <c r="P645" i="4"/>
  <c r="O645" i="4"/>
  <c r="N645" i="4"/>
  <c r="M645" i="4"/>
  <c r="L645" i="4"/>
  <c r="P644" i="4"/>
  <c r="O644" i="4"/>
  <c r="N644" i="4"/>
  <c r="M644" i="4"/>
  <c r="L644" i="4"/>
  <c r="P643" i="4"/>
  <c r="O643" i="4"/>
  <c r="N643" i="4"/>
  <c r="M643" i="4"/>
  <c r="L643" i="4"/>
  <c r="P642" i="4"/>
  <c r="O642" i="4"/>
  <c r="N642" i="4"/>
  <c r="M642" i="4"/>
  <c r="L642" i="4"/>
  <c r="P641" i="4"/>
  <c r="O641" i="4"/>
  <c r="N641" i="4"/>
  <c r="M641" i="4"/>
  <c r="L641" i="4"/>
  <c r="P640" i="4"/>
  <c r="O640" i="4"/>
  <c r="N640" i="4"/>
  <c r="M640" i="4"/>
  <c r="L640" i="4"/>
  <c r="P639" i="4"/>
  <c r="O639" i="4"/>
  <c r="N639" i="4"/>
  <c r="M639" i="4"/>
  <c r="L639" i="4"/>
  <c r="P638" i="4"/>
  <c r="O638" i="4"/>
  <c r="N638" i="4"/>
  <c r="M638" i="4"/>
  <c r="L638" i="4"/>
  <c r="P637" i="4"/>
  <c r="O637" i="4"/>
  <c r="N637" i="4"/>
  <c r="M637" i="4"/>
  <c r="L637" i="4"/>
  <c r="P636" i="4"/>
  <c r="O636" i="4"/>
  <c r="N636" i="4"/>
  <c r="M636" i="4"/>
  <c r="L636" i="4"/>
  <c r="P635" i="4"/>
  <c r="O635" i="4"/>
  <c r="N635" i="4"/>
  <c r="M635" i="4"/>
  <c r="L635" i="4"/>
  <c r="P634" i="4"/>
  <c r="O634" i="4"/>
  <c r="N634" i="4"/>
  <c r="M634" i="4"/>
  <c r="L634" i="4"/>
  <c r="P633" i="4"/>
  <c r="O633" i="4"/>
  <c r="N633" i="4"/>
  <c r="M633" i="4"/>
  <c r="L633" i="4"/>
  <c r="P632" i="4"/>
  <c r="O632" i="4"/>
  <c r="N632" i="4"/>
  <c r="M632" i="4"/>
  <c r="L632" i="4"/>
  <c r="P631" i="4"/>
  <c r="O631" i="4"/>
  <c r="N631" i="4"/>
  <c r="M631" i="4"/>
  <c r="L631" i="4"/>
  <c r="P630" i="4"/>
  <c r="O630" i="4"/>
  <c r="N630" i="4"/>
  <c r="M630" i="4"/>
  <c r="L630" i="4"/>
  <c r="P629" i="4"/>
  <c r="O629" i="4"/>
  <c r="N629" i="4"/>
  <c r="M629" i="4"/>
  <c r="L629" i="4"/>
  <c r="P628" i="4"/>
  <c r="O628" i="4"/>
  <c r="N628" i="4"/>
  <c r="M628" i="4"/>
  <c r="L628" i="4"/>
  <c r="P627" i="4"/>
  <c r="O627" i="4"/>
  <c r="N627" i="4"/>
  <c r="M627" i="4"/>
  <c r="L627" i="4"/>
  <c r="P626" i="4"/>
  <c r="O626" i="4"/>
  <c r="N626" i="4"/>
  <c r="M626" i="4"/>
  <c r="L626" i="4"/>
  <c r="P625" i="4"/>
  <c r="O625" i="4"/>
  <c r="N625" i="4"/>
  <c r="M625" i="4"/>
  <c r="L625" i="4"/>
  <c r="P624" i="4"/>
  <c r="O624" i="4"/>
  <c r="N624" i="4"/>
  <c r="M624" i="4"/>
  <c r="L624" i="4"/>
  <c r="P623" i="4"/>
  <c r="O623" i="4"/>
  <c r="N623" i="4"/>
  <c r="M623" i="4"/>
  <c r="L623" i="4"/>
  <c r="P622" i="4"/>
  <c r="O622" i="4"/>
  <c r="N622" i="4"/>
  <c r="M622" i="4"/>
  <c r="L622" i="4"/>
  <c r="P621" i="4"/>
  <c r="O621" i="4"/>
  <c r="N621" i="4"/>
  <c r="M621" i="4"/>
  <c r="L621" i="4"/>
  <c r="P620" i="4"/>
  <c r="O620" i="4"/>
  <c r="N620" i="4"/>
  <c r="M620" i="4"/>
  <c r="L620" i="4"/>
  <c r="P619" i="4"/>
  <c r="O619" i="4"/>
  <c r="N619" i="4"/>
  <c r="M619" i="4"/>
  <c r="L619" i="4"/>
  <c r="P618" i="4"/>
  <c r="O618" i="4"/>
  <c r="N618" i="4"/>
  <c r="M618" i="4"/>
  <c r="L618" i="4"/>
  <c r="P617" i="4"/>
  <c r="O617" i="4"/>
  <c r="N617" i="4"/>
  <c r="M617" i="4"/>
  <c r="L617" i="4"/>
  <c r="P616" i="4"/>
  <c r="O616" i="4"/>
  <c r="N616" i="4"/>
  <c r="M616" i="4"/>
  <c r="L616" i="4"/>
  <c r="P615" i="4"/>
  <c r="O615" i="4"/>
  <c r="N615" i="4"/>
  <c r="M615" i="4"/>
  <c r="L615" i="4"/>
  <c r="P613" i="4"/>
  <c r="O613" i="4"/>
  <c r="N613" i="4"/>
  <c r="M613" i="4"/>
  <c r="L613" i="4"/>
  <c r="P612" i="4"/>
  <c r="O612" i="4"/>
  <c r="N612" i="4"/>
  <c r="M612" i="4"/>
  <c r="L612" i="4"/>
  <c r="P611" i="4"/>
  <c r="O611" i="4"/>
  <c r="N611" i="4"/>
  <c r="M611" i="4"/>
  <c r="L611" i="4"/>
  <c r="P610" i="4"/>
  <c r="O610" i="4"/>
  <c r="N610" i="4"/>
  <c r="M610" i="4"/>
  <c r="L610" i="4"/>
  <c r="P609" i="4"/>
  <c r="O609" i="4"/>
  <c r="N609" i="4"/>
  <c r="M609" i="4"/>
  <c r="L609" i="4"/>
  <c r="P608" i="4"/>
  <c r="O608" i="4"/>
  <c r="N608" i="4"/>
  <c r="M608" i="4"/>
  <c r="L608" i="4"/>
  <c r="P607" i="4"/>
  <c r="O607" i="4"/>
  <c r="N607" i="4"/>
  <c r="M607" i="4"/>
  <c r="L607" i="4"/>
  <c r="P606" i="4"/>
  <c r="O606" i="4"/>
  <c r="N606" i="4"/>
  <c r="M606" i="4"/>
  <c r="L606" i="4"/>
  <c r="P605" i="4"/>
  <c r="O605" i="4"/>
  <c r="N605" i="4"/>
  <c r="M605" i="4"/>
  <c r="L605" i="4"/>
  <c r="P604" i="4"/>
  <c r="O604" i="4"/>
  <c r="N604" i="4"/>
  <c r="M604" i="4"/>
  <c r="L604" i="4"/>
  <c r="P603" i="4"/>
  <c r="O603" i="4"/>
  <c r="N603" i="4"/>
  <c r="M603" i="4"/>
  <c r="L603" i="4"/>
  <c r="P602" i="4"/>
  <c r="O602" i="4"/>
  <c r="N602" i="4"/>
  <c r="M602" i="4"/>
  <c r="L602" i="4"/>
  <c r="P601" i="4"/>
  <c r="O601" i="4"/>
  <c r="N601" i="4"/>
  <c r="M601" i="4"/>
  <c r="L601" i="4"/>
  <c r="P600" i="4"/>
  <c r="O600" i="4"/>
  <c r="N600" i="4"/>
  <c r="M600" i="4"/>
  <c r="L600" i="4"/>
  <c r="P599" i="4"/>
  <c r="O599" i="4"/>
  <c r="N599" i="4"/>
  <c r="M599" i="4"/>
  <c r="L599" i="4"/>
  <c r="P598" i="4"/>
  <c r="O598" i="4"/>
  <c r="N598" i="4"/>
  <c r="M598" i="4"/>
  <c r="L598" i="4"/>
  <c r="P597" i="4"/>
  <c r="O597" i="4"/>
  <c r="N597" i="4"/>
  <c r="M597" i="4"/>
  <c r="L597" i="4"/>
  <c r="P596" i="4"/>
  <c r="O596" i="4"/>
  <c r="N596" i="4"/>
  <c r="M596" i="4"/>
  <c r="L596" i="4"/>
  <c r="P595" i="4"/>
  <c r="O595" i="4"/>
  <c r="N595" i="4"/>
  <c r="M595" i="4"/>
  <c r="L595" i="4"/>
  <c r="P594" i="4"/>
  <c r="O594" i="4"/>
  <c r="N594" i="4"/>
  <c r="M594" i="4"/>
  <c r="L594" i="4"/>
  <c r="P593" i="4"/>
  <c r="O593" i="4"/>
  <c r="N593" i="4"/>
  <c r="M593" i="4"/>
  <c r="L593" i="4"/>
  <c r="P592" i="4"/>
  <c r="O592" i="4"/>
  <c r="N592" i="4"/>
  <c r="M592" i="4"/>
  <c r="L592" i="4"/>
  <c r="P591" i="4"/>
  <c r="O591" i="4"/>
  <c r="N591" i="4"/>
  <c r="M591" i="4"/>
  <c r="L591" i="4"/>
  <c r="P590" i="4"/>
  <c r="O590" i="4"/>
  <c r="N590" i="4"/>
  <c r="M590" i="4"/>
  <c r="L590" i="4"/>
  <c r="P589" i="4"/>
  <c r="O589" i="4"/>
  <c r="N589" i="4"/>
  <c r="M589" i="4"/>
  <c r="L589" i="4"/>
  <c r="P588" i="4"/>
  <c r="O588" i="4"/>
  <c r="N588" i="4"/>
  <c r="M588" i="4"/>
  <c r="L588" i="4"/>
  <c r="P587" i="4"/>
  <c r="O587" i="4"/>
  <c r="N587" i="4"/>
  <c r="M587" i="4"/>
  <c r="L587" i="4"/>
  <c r="P586" i="4"/>
  <c r="O586" i="4"/>
  <c r="N586" i="4"/>
  <c r="M586" i="4"/>
  <c r="L586" i="4"/>
  <c r="P585" i="4"/>
  <c r="O585" i="4"/>
  <c r="N585" i="4"/>
  <c r="M585" i="4"/>
  <c r="L585" i="4"/>
  <c r="P584" i="4"/>
  <c r="O584" i="4"/>
  <c r="N584" i="4"/>
  <c r="M584" i="4"/>
  <c r="L584" i="4"/>
  <c r="P583" i="4"/>
  <c r="O583" i="4"/>
  <c r="N583" i="4"/>
  <c r="M583" i="4"/>
  <c r="L583" i="4"/>
  <c r="P582" i="4"/>
  <c r="O582" i="4"/>
  <c r="N582" i="4"/>
  <c r="M582" i="4"/>
  <c r="L582" i="4"/>
  <c r="P581" i="4"/>
  <c r="O581" i="4"/>
  <c r="N581" i="4"/>
  <c r="M581" i="4"/>
  <c r="L581" i="4"/>
  <c r="P580" i="4"/>
  <c r="O580" i="4"/>
  <c r="N580" i="4"/>
  <c r="M580" i="4"/>
  <c r="L580" i="4"/>
  <c r="P579" i="4"/>
  <c r="O579" i="4"/>
  <c r="N579" i="4"/>
  <c r="M579" i="4"/>
  <c r="L579" i="4"/>
  <c r="P578" i="4"/>
  <c r="O578" i="4"/>
  <c r="N578" i="4"/>
  <c r="M578" i="4"/>
  <c r="L578" i="4"/>
  <c r="P577" i="4"/>
  <c r="O577" i="4"/>
  <c r="N577" i="4"/>
  <c r="M577" i="4"/>
  <c r="L577" i="4"/>
  <c r="P576" i="4"/>
  <c r="O576" i="4"/>
  <c r="N576" i="4"/>
  <c r="M576" i="4"/>
  <c r="L576" i="4"/>
  <c r="P575" i="4"/>
  <c r="O575" i="4"/>
  <c r="N575" i="4"/>
  <c r="M575" i="4"/>
  <c r="L575" i="4"/>
  <c r="P574" i="4"/>
  <c r="O574" i="4"/>
  <c r="N574" i="4"/>
  <c r="M574" i="4"/>
  <c r="L574" i="4"/>
  <c r="P573" i="4"/>
  <c r="O573" i="4"/>
  <c r="N573" i="4"/>
  <c r="M573" i="4"/>
  <c r="L573" i="4"/>
  <c r="P572" i="4"/>
  <c r="O572" i="4"/>
  <c r="N572" i="4"/>
  <c r="M572" i="4"/>
  <c r="L572" i="4"/>
  <c r="P571" i="4"/>
  <c r="O571" i="4"/>
  <c r="N571" i="4"/>
  <c r="M571" i="4"/>
  <c r="L571" i="4"/>
  <c r="P570" i="4"/>
  <c r="O570" i="4"/>
  <c r="N570" i="4"/>
  <c r="M570" i="4"/>
  <c r="L570" i="4"/>
  <c r="P569" i="4"/>
  <c r="O569" i="4"/>
  <c r="N569" i="4"/>
  <c r="M569" i="4"/>
  <c r="L569" i="4"/>
  <c r="P568" i="4"/>
  <c r="O568" i="4"/>
  <c r="N568" i="4"/>
  <c r="M568" i="4"/>
  <c r="L568" i="4"/>
  <c r="P567" i="4"/>
  <c r="O567" i="4"/>
  <c r="N567" i="4"/>
  <c r="M567" i="4"/>
  <c r="L567" i="4"/>
  <c r="P566" i="4"/>
  <c r="O566" i="4"/>
  <c r="N566" i="4"/>
  <c r="M566" i="4"/>
  <c r="L566" i="4"/>
  <c r="P565" i="4"/>
  <c r="O565" i="4"/>
  <c r="N565" i="4"/>
  <c r="M565" i="4"/>
  <c r="L565" i="4"/>
  <c r="P564" i="4"/>
  <c r="O564" i="4"/>
  <c r="N564" i="4"/>
  <c r="M564" i="4"/>
  <c r="L564" i="4"/>
  <c r="P563" i="4"/>
  <c r="O563" i="4"/>
  <c r="N563" i="4"/>
  <c r="M563" i="4"/>
  <c r="L563" i="4"/>
  <c r="P562" i="4"/>
  <c r="O562" i="4"/>
  <c r="N562" i="4"/>
  <c r="M562" i="4"/>
  <c r="L562" i="4"/>
  <c r="P561" i="4"/>
  <c r="O561" i="4"/>
  <c r="N561" i="4"/>
  <c r="M561" i="4"/>
  <c r="L561" i="4"/>
  <c r="P560" i="4"/>
  <c r="O560" i="4"/>
  <c r="N560" i="4"/>
  <c r="M560" i="4"/>
  <c r="L560" i="4"/>
  <c r="P559" i="4"/>
  <c r="O559" i="4"/>
  <c r="N559" i="4"/>
  <c r="M559" i="4"/>
  <c r="L559" i="4"/>
  <c r="P558" i="4"/>
  <c r="O558" i="4"/>
  <c r="N558" i="4"/>
  <c r="M558" i="4"/>
  <c r="L558" i="4"/>
  <c r="P557" i="4"/>
  <c r="O557" i="4"/>
  <c r="N557" i="4"/>
  <c r="M557" i="4"/>
  <c r="L557" i="4"/>
  <c r="P556" i="4"/>
  <c r="O556" i="4"/>
  <c r="N556" i="4"/>
  <c r="M556" i="4"/>
  <c r="L556" i="4"/>
  <c r="P555" i="4"/>
  <c r="O555" i="4"/>
  <c r="N555" i="4"/>
  <c r="M555" i="4"/>
  <c r="L555" i="4"/>
  <c r="P554" i="4"/>
  <c r="O554" i="4"/>
  <c r="N554" i="4"/>
  <c r="M554" i="4"/>
  <c r="L554" i="4"/>
  <c r="P553" i="4"/>
  <c r="O553" i="4"/>
  <c r="N553" i="4"/>
  <c r="M553" i="4"/>
  <c r="L553" i="4"/>
  <c r="P552" i="4"/>
  <c r="O552" i="4"/>
  <c r="N552" i="4"/>
  <c r="M552" i="4"/>
  <c r="L552" i="4"/>
  <c r="P551" i="4"/>
  <c r="O551" i="4"/>
  <c r="N551" i="4"/>
  <c r="M551" i="4"/>
  <c r="L551" i="4"/>
  <c r="P550" i="4"/>
  <c r="O550" i="4"/>
  <c r="N550" i="4"/>
  <c r="M550" i="4"/>
  <c r="L550" i="4"/>
  <c r="P549" i="4"/>
  <c r="O549" i="4"/>
  <c r="N549" i="4"/>
  <c r="M549" i="4"/>
  <c r="L549" i="4"/>
  <c r="P548" i="4"/>
  <c r="O548" i="4"/>
  <c r="N548" i="4"/>
  <c r="M548" i="4"/>
  <c r="L548" i="4"/>
  <c r="P547" i="4"/>
  <c r="O547" i="4"/>
  <c r="N547" i="4"/>
  <c r="M547" i="4"/>
  <c r="L547" i="4"/>
  <c r="P546" i="4"/>
  <c r="O546" i="4"/>
  <c r="N546" i="4"/>
  <c r="M546" i="4"/>
  <c r="L546" i="4"/>
  <c r="P545" i="4"/>
  <c r="O545" i="4"/>
  <c r="N545" i="4"/>
  <c r="M545" i="4"/>
  <c r="L545" i="4"/>
  <c r="P544" i="4"/>
  <c r="O544" i="4"/>
  <c r="N544" i="4"/>
  <c r="M544" i="4"/>
  <c r="L544" i="4"/>
  <c r="P543" i="4"/>
  <c r="O543" i="4"/>
  <c r="N543" i="4"/>
  <c r="M543" i="4"/>
  <c r="L543" i="4"/>
  <c r="P542" i="4"/>
  <c r="O542" i="4"/>
  <c r="N542" i="4"/>
  <c r="M542" i="4"/>
  <c r="L542" i="4"/>
  <c r="P541" i="4"/>
  <c r="O541" i="4"/>
  <c r="N541" i="4"/>
  <c r="M541" i="4"/>
  <c r="L541" i="4"/>
  <c r="P540" i="4"/>
  <c r="O540" i="4"/>
  <c r="N540" i="4"/>
  <c r="M540" i="4"/>
  <c r="L540" i="4"/>
  <c r="P539" i="4"/>
  <c r="O539" i="4"/>
  <c r="N539" i="4"/>
  <c r="M539" i="4"/>
  <c r="L539" i="4"/>
  <c r="P538" i="4"/>
  <c r="O538" i="4"/>
  <c r="N538" i="4"/>
  <c r="M538" i="4"/>
  <c r="L538" i="4"/>
  <c r="P537" i="4"/>
  <c r="O537" i="4"/>
  <c r="N537" i="4"/>
  <c r="M537" i="4"/>
  <c r="L537" i="4"/>
  <c r="P536" i="4"/>
  <c r="O536" i="4"/>
  <c r="N536" i="4"/>
  <c r="M536" i="4"/>
  <c r="L536" i="4"/>
  <c r="P535" i="4"/>
  <c r="O535" i="4"/>
  <c r="N535" i="4"/>
  <c r="M535" i="4"/>
  <c r="L535" i="4"/>
  <c r="P534" i="4"/>
  <c r="O534" i="4"/>
  <c r="N534" i="4"/>
  <c r="M534" i="4"/>
  <c r="L534" i="4"/>
  <c r="P533" i="4"/>
  <c r="O533" i="4"/>
  <c r="N533" i="4"/>
  <c r="M533" i="4"/>
  <c r="L533" i="4"/>
  <c r="P532" i="4"/>
  <c r="O532" i="4"/>
  <c r="N532" i="4"/>
  <c r="M532" i="4"/>
  <c r="L532" i="4"/>
  <c r="P531" i="4"/>
  <c r="O531" i="4"/>
  <c r="N531" i="4"/>
  <c r="M531" i="4"/>
  <c r="L531" i="4"/>
  <c r="P530" i="4"/>
  <c r="O530" i="4"/>
  <c r="N530" i="4"/>
  <c r="M530" i="4"/>
  <c r="L530" i="4"/>
  <c r="P529" i="4"/>
  <c r="O529" i="4"/>
  <c r="N529" i="4"/>
  <c r="M529" i="4"/>
  <c r="L529" i="4"/>
  <c r="P528" i="4"/>
  <c r="O528" i="4"/>
  <c r="N528" i="4"/>
  <c r="M528" i="4"/>
  <c r="L528" i="4"/>
  <c r="P527" i="4"/>
  <c r="O527" i="4"/>
  <c r="N527" i="4"/>
  <c r="M527" i="4"/>
  <c r="L527" i="4"/>
  <c r="P526" i="4"/>
  <c r="O526" i="4"/>
  <c r="N526" i="4"/>
  <c r="M526" i="4"/>
  <c r="L526" i="4"/>
  <c r="P525" i="4"/>
  <c r="O525" i="4"/>
  <c r="N525" i="4"/>
  <c r="M525" i="4"/>
  <c r="L525" i="4"/>
  <c r="P524" i="4"/>
  <c r="O524" i="4"/>
  <c r="N524" i="4"/>
  <c r="M524" i="4"/>
  <c r="L524" i="4"/>
  <c r="P523" i="4"/>
  <c r="O523" i="4"/>
  <c r="N523" i="4"/>
  <c r="M523" i="4"/>
  <c r="L523" i="4"/>
  <c r="P522" i="4"/>
  <c r="O522" i="4"/>
  <c r="N522" i="4"/>
  <c r="M522" i="4"/>
  <c r="L522" i="4"/>
  <c r="P521" i="4"/>
  <c r="O521" i="4"/>
  <c r="N521" i="4"/>
  <c r="M521" i="4"/>
  <c r="L521" i="4"/>
  <c r="P520" i="4"/>
  <c r="O520" i="4"/>
  <c r="N520" i="4"/>
  <c r="M520" i="4"/>
  <c r="L520" i="4"/>
  <c r="P519" i="4"/>
  <c r="O519" i="4"/>
  <c r="N519" i="4"/>
  <c r="M519" i="4"/>
  <c r="L519" i="4"/>
  <c r="P518" i="4"/>
  <c r="O518" i="4"/>
  <c r="N518" i="4"/>
  <c r="M518" i="4"/>
  <c r="L518" i="4"/>
  <c r="P517" i="4"/>
  <c r="O517" i="4"/>
  <c r="N517" i="4"/>
  <c r="M517" i="4"/>
  <c r="L517" i="4"/>
  <c r="P516" i="4"/>
  <c r="O516" i="4"/>
  <c r="N516" i="4"/>
  <c r="M516" i="4"/>
  <c r="L516" i="4"/>
  <c r="P515" i="4"/>
  <c r="O515" i="4"/>
  <c r="N515" i="4"/>
  <c r="M515" i="4"/>
  <c r="L515" i="4"/>
  <c r="P514" i="4"/>
  <c r="O514" i="4"/>
  <c r="N514" i="4"/>
  <c r="M514" i="4"/>
  <c r="L514" i="4"/>
  <c r="P513" i="4"/>
  <c r="O513" i="4"/>
  <c r="N513" i="4"/>
  <c r="M513" i="4"/>
  <c r="L513" i="4"/>
  <c r="P512" i="4"/>
  <c r="O512" i="4"/>
  <c r="N512" i="4"/>
  <c r="M512" i="4"/>
  <c r="L512" i="4"/>
  <c r="P511" i="4"/>
  <c r="O511" i="4"/>
  <c r="N511" i="4"/>
  <c r="M511" i="4"/>
  <c r="L511" i="4"/>
  <c r="P509" i="4"/>
  <c r="O509" i="4"/>
  <c r="N509" i="4"/>
  <c r="M509" i="4"/>
  <c r="L509" i="4"/>
  <c r="P508" i="4"/>
  <c r="O508" i="4"/>
  <c r="N508" i="4"/>
  <c r="M508" i="4"/>
  <c r="L508" i="4"/>
  <c r="P507" i="4"/>
  <c r="O507" i="4"/>
  <c r="N507" i="4"/>
  <c r="M507" i="4"/>
  <c r="L507" i="4"/>
  <c r="P506" i="4"/>
  <c r="O506" i="4"/>
  <c r="N506" i="4"/>
  <c r="M506" i="4"/>
  <c r="L506" i="4"/>
  <c r="P505" i="4"/>
  <c r="O505" i="4"/>
  <c r="N505" i="4"/>
  <c r="M505" i="4"/>
  <c r="L505" i="4"/>
  <c r="P504" i="4"/>
  <c r="O504" i="4"/>
  <c r="N504" i="4"/>
  <c r="M504" i="4"/>
  <c r="L504" i="4"/>
  <c r="P503" i="4"/>
  <c r="O503" i="4"/>
  <c r="N503" i="4"/>
  <c r="M503" i="4"/>
  <c r="L503" i="4"/>
  <c r="P502" i="4"/>
  <c r="O502" i="4"/>
  <c r="N502" i="4"/>
  <c r="M502" i="4"/>
  <c r="L502" i="4"/>
  <c r="P501" i="4"/>
  <c r="O501" i="4"/>
  <c r="N501" i="4"/>
  <c r="M501" i="4"/>
  <c r="L501" i="4"/>
  <c r="P500" i="4"/>
  <c r="O500" i="4"/>
  <c r="N500" i="4"/>
  <c r="M500" i="4"/>
  <c r="L500" i="4"/>
  <c r="P499" i="4"/>
  <c r="O499" i="4"/>
  <c r="N499" i="4"/>
  <c r="M499" i="4"/>
  <c r="L499" i="4"/>
  <c r="P498" i="4"/>
  <c r="O498" i="4"/>
  <c r="N498" i="4"/>
  <c r="M498" i="4"/>
  <c r="L498" i="4"/>
  <c r="P497" i="4"/>
  <c r="O497" i="4"/>
  <c r="N497" i="4"/>
  <c r="M497" i="4"/>
  <c r="L497" i="4"/>
  <c r="P496" i="4"/>
  <c r="O496" i="4"/>
  <c r="N496" i="4"/>
  <c r="M496" i="4"/>
  <c r="L496" i="4"/>
  <c r="P495" i="4"/>
  <c r="O495" i="4"/>
  <c r="N495" i="4"/>
  <c r="M495" i="4"/>
  <c r="L495" i="4"/>
  <c r="P494" i="4"/>
  <c r="O494" i="4"/>
  <c r="N494" i="4"/>
  <c r="M494" i="4"/>
  <c r="L494" i="4"/>
  <c r="P493" i="4"/>
  <c r="O493" i="4"/>
  <c r="N493" i="4"/>
  <c r="M493" i="4"/>
  <c r="L493" i="4"/>
  <c r="P492" i="4"/>
  <c r="O492" i="4"/>
  <c r="N492" i="4"/>
  <c r="M492" i="4"/>
  <c r="L492" i="4"/>
  <c r="P491" i="4"/>
  <c r="O491" i="4"/>
  <c r="N491" i="4"/>
  <c r="M491" i="4"/>
  <c r="L491" i="4"/>
  <c r="P490" i="4"/>
  <c r="O490" i="4"/>
  <c r="N490" i="4"/>
  <c r="M490" i="4"/>
  <c r="L490" i="4"/>
  <c r="P489" i="4"/>
  <c r="O489" i="4"/>
  <c r="N489" i="4"/>
  <c r="M489" i="4"/>
  <c r="L489" i="4"/>
  <c r="P488" i="4"/>
  <c r="O488" i="4"/>
  <c r="N488" i="4"/>
  <c r="M488" i="4"/>
  <c r="L488" i="4"/>
  <c r="P487" i="4"/>
  <c r="O487" i="4"/>
  <c r="N487" i="4"/>
  <c r="M487" i="4"/>
  <c r="L487" i="4"/>
  <c r="P486" i="4"/>
  <c r="O486" i="4"/>
  <c r="N486" i="4"/>
  <c r="M486" i="4"/>
  <c r="L486" i="4"/>
  <c r="P485" i="4"/>
  <c r="O485" i="4"/>
  <c r="N485" i="4"/>
  <c r="M485" i="4"/>
  <c r="L485" i="4"/>
  <c r="P484" i="4"/>
  <c r="O484" i="4"/>
  <c r="N484" i="4"/>
  <c r="M484" i="4"/>
  <c r="L484" i="4"/>
  <c r="P483" i="4"/>
  <c r="O483" i="4"/>
  <c r="N483" i="4"/>
  <c r="M483" i="4"/>
  <c r="L483" i="4"/>
  <c r="P482" i="4"/>
  <c r="O482" i="4"/>
  <c r="N482" i="4"/>
  <c r="M482" i="4"/>
  <c r="L482" i="4"/>
  <c r="P481" i="4"/>
  <c r="O481" i="4"/>
  <c r="N481" i="4"/>
  <c r="M481" i="4"/>
  <c r="L481" i="4"/>
  <c r="P480" i="4"/>
  <c r="O480" i="4"/>
  <c r="N480" i="4"/>
  <c r="M480" i="4"/>
  <c r="L480" i="4"/>
  <c r="P479" i="4"/>
  <c r="O479" i="4"/>
  <c r="N479" i="4"/>
  <c r="M479" i="4"/>
  <c r="L479" i="4"/>
  <c r="P478" i="4"/>
  <c r="O478" i="4"/>
  <c r="N478" i="4"/>
  <c r="M478" i="4"/>
  <c r="L478" i="4"/>
  <c r="P477" i="4"/>
  <c r="O477" i="4"/>
  <c r="N477" i="4"/>
  <c r="M477" i="4"/>
  <c r="L477" i="4"/>
  <c r="P476" i="4"/>
  <c r="O476" i="4"/>
  <c r="N476" i="4"/>
  <c r="M476" i="4"/>
  <c r="L476" i="4"/>
  <c r="P475" i="4"/>
  <c r="O475" i="4"/>
  <c r="N475" i="4"/>
  <c r="M475" i="4"/>
  <c r="L475" i="4"/>
  <c r="P474" i="4"/>
  <c r="O474" i="4"/>
  <c r="N474" i="4"/>
  <c r="M474" i="4"/>
  <c r="L474" i="4"/>
  <c r="P473" i="4"/>
  <c r="O473" i="4"/>
  <c r="N473" i="4"/>
  <c r="M473" i="4"/>
  <c r="L473" i="4"/>
  <c r="P472" i="4"/>
  <c r="O472" i="4"/>
  <c r="N472" i="4"/>
  <c r="M472" i="4"/>
  <c r="L472" i="4"/>
  <c r="P471" i="4"/>
  <c r="O471" i="4"/>
  <c r="N471" i="4"/>
  <c r="M471" i="4"/>
  <c r="L471" i="4"/>
  <c r="P470" i="4"/>
  <c r="O470" i="4"/>
  <c r="N470" i="4"/>
  <c r="M470" i="4"/>
  <c r="L470" i="4"/>
  <c r="P469" i="4"/>
  <c r="O469" i="4"/>
  <c r="N469" i="4"/>
  <c r="M469" i="4"/>
  <c r="L469" i="4"/>
  <c r="P468" i="4"/>
  <c r="O468" i="4"/>
  <c r="N468" i="4"/>
  <c r="M468" i="4"/>
  <c r="L468" i="4"/>
  <c r="P467" i="4"/>
  <c r="O467" i="4"/>
  <c r="N467" i="4"/>
  <c r="M467" i="4"/>
  <c r="L467" i="4"/>
  <c r="P466" i="4"/>
  <c r="O466" i="4"/>
  <c r="N466" i="4"/>
  <c r="M466" i="4"/>
  <c r="L466" i="4"/>
  <c r="P465" i="4"/>
  <c r="O465" i="4"/>
  <c r="N465" i="4"/>
  <c r="M465" i="4"/>
  <c r="L465" i="4"/>
  <c r="P464" i="4"/>
  <c r="O464" i="4"/>
  <c r="N464" i="4"/>
  <c r="M464" i="4"/>
  <c r="L464" i="4"/>
  <c r="P463" i="4"/>
  <c r="O463" i="4"/>
  <c r="N463" i="4"/>
  <c r="M463" i="4"/>
  <c r="L463" i="4"/>
  <c r="P462" i="4"/>
  <c r="O462" i="4"/>
  <c r="N462" i="4"/>
  <c r="M462" i="4"/>
  <c r="L462" i="4"/>
  <c r="P460" i="4"/>
  <c r="O460" i="4"/>
  <c r="N460" i="4"/>
  <c r="M460" i="4"/>
  <c r="L460" i="4"/>
  <c r="P459" i="4"/>
  <c r="O459" i="4"/>
  <c r="N459" i="4"/>
  <c r="M459" i="4"/>
  <c r="L459" i="4"/>
  <c r="P458" i="4"/>
  <c r="O458" i="4"/>
  <c r="N458" i="4"/>
  <c r="M458" i="4"/>
  <c r="L458" i="4"/>
  <c r="P457" i="4"/>
  <c r="O457" i="4"/>
  <c r="N457" i="4"/>
  <c r="M457" i="4"/>
  <c r="L457" i="4"/>
  <c r="P456" i="4"/>
  <c r="O456" i="4"/>
  <c r="N456" i="4"/>
  <c r="M456" i="4"/>
  <c r="L456" i="4"/>
  <c r="P455" i="4"/>
  <c r="O455" i="4"/>
  <c r="N455" i="4"/>
  <c r="M455" i="4"/>
  <c r="L455" i="4"/>
  <c r="P454" i="4"/>
  <c r="O454" i="4"/>
  <c r="N454" i="4"/>
  <c r="M454" i="4"/>
  <c r="L454" i="4"/>
  <c r="P453" i="4"/>
  <c r="O453" i="4"/>
  <c r="N453" i="4"/>
  <c r="M453" i="4"/>
  <c r="L453" i="4"/>
  <c r="P452" i="4"/>
  <c r="O452" i="4"/>
  <c r="N452" i="4"/>
  <c r="M452" i="4"/>
  <c r="L452" i="4"/>
  <c r="P451" i="4"/>
  <c r="O451" i="4"/>
  <c r="N451" i="4"/>
  <c r="M451" i="4"/>
  <c r="L451" i="4"/>
  <c r="P450" i="4"/>
  <c r="O450" i="4"/>
  <c r="N450" i="4"/>
  <c r="M450" i="4"/>
  <c r="L450" i="4"/>
  <c r="P449" i="4"/>
  <c r="O449" i="4"/>
  <c r="N449" i="4"/>
  <c r="M449" i="4"/>
  <c r="L449" i="4"/>
  <c r="P448" i="4"/>
  <c r="O448" i="4"/>
  <c r="N448" i="4"/>
  <c r="M448" i="4"/>
  <c r="L448" i="4"/>
  <c r="P447" i="4"/>
  <c r="O447" i="4"/>
  <c r="N447" i="4"/>
  <c r="M447" i="4"/>
  <c r="L447" i="4"/>
  <c r="P446" i="4"/>
  <c r="O446" i="4"/>
  <c r="N446" i="4"/>
  <c r="M446" i="4"/>
  <c r="L446" i="4"/>
  <c r="P445" i="4"/>
  <c r="O445" i="4"/>
  <c r="N445" i="4"/>
  <c r="M445" i="4"/>
  <c r="L445" i="4"/>
  <c r="P444" i="4"/>
  <c r="O444" i="4"/>
  <c r="N444" i="4"/>
  <c r="M444" i="4"/>
  <c r="L444" i="4"/>
  <c r="P443" i="4"/>
  <c r="O443" i="4"/>
  <c r="N443" i="4"/>
  <c r="M443" i="4"/>
  <c r="L443" i="4"/>
  <c r="P442" i="4"/>
  <c r="O442" i="4"/>
  <c r="N442" i="4"/>
  <c r="M442" i="4"/>
  <c r="L442" i="4"/>
  <c r="P441" i="4"/>
  <c r="O441" i="4"/>
  <c r="N441" i="4"/>
  <c r="M441" i="4"/>
  <c r="L441" i="4"/>
  <c r="P440" i="4"/>
  <c r="O440" i="4"/>
  <c r="N440" i="4"/>
  <c r="M440" i="4"/>
  <c r="L440" i="4"/>
  <c r="P439" i="4"/>
  <c r="O439" i="4"/>
  <c r="N439" i="4"/>
  <c r="M439" i="4"/>
  <c r="L439" i="4"/>
  <c r="P438" i="4"/>
  <c r="O438" i="4"/>
  <c r="N438" i="4"/>
  <c r="M438" i="4"/>
  <c r="L438" i="4"/>
  <c r="P437" i="4"/>
  <c r="O437" i="4"/>
  <c r="N437" i="4"/>
  <c r="M437" i="4"/>
  <c r="L437" i="4"/>
  <c r="P436" i="4"/>
  <c r="O436" i="4"/>
  <c r="N436" i="4"/>
  <c r="M436" i="4"/>
  <c r="L436" i="4"/>
  <c r="P435" i="4"/>
  <c r="O435" i="4"/>
  <c r="N435" i="4"/>
  <c r="M435" i="4"/>
  <c r="L435" i="4"/>
  <c r="P434" i="4"/>
  <c r="O434" i="4"/>
  <c r="N434" i="4"/>
  <c r="M434" i="4"/>
  <c r="L434" i="4"/>
  <c r="P433" i="4"/>
  <c r="O433" i="4"/>
  <c r="N433" i="4"/>
  <c r="M433" i="4"/>
  <c r="L433" i="4"/>
  <c r="P432" i="4"/>
  <c r="O432" i="4"/>
  <c r="N432" i="4"/>
  <c r="M432" i="4"/>
  <c r="L432" i="4"/>
  <c r="P431" i="4"/>
  <c r="O431" i="4"/>
  <c r="N431" i="4"/>
  <c r="M431" i="4"/>
  <c r="L431" i="4"/>
  <c r="P430" i="4"/>
  <c r="O430" i="4"/>
  <c r="N430" i="4"/>
  <c r="M430" i="4"/>
  <c r="L430" i="4"/>
  <c r="P429" i="4"/>
  <c r="O429" i="4"/>
  <c r="N429" i="4"/>
  <c r="M429" i="4"/>
  <c r="L429" i="4"/>
  <c r="P428" i="4"/>
  <c r="O428" i="4"/>
  <c r="N428" i="4"/>
  <c r="M428" i="4"/>
  <c r="L428" i="4"/>
  <c r="P427" i="4"/>
  <c r="O427" i="4"/>
  <c r="N427" i="4"/>
  <c r="M427" i="4"/>
  <c r="L427" i="4"/>
  <c r="P426" i="4"/>
  <c r="O426" i="4"/>
  <c r="N426" i="4"/>
  <c r="M426" i="4"/>
  <c r="L426" i="4"/>
  <c r="P425" i="4"/>
  <c r="O425" i="4"/>
  <c r="N425" i="4"/>
  <c r="M425" i="4"/>
  <c r="L425" i="4"/>
  <c r="P424" i="4"/>
  <c r="O424" i="4"/>
  <c r="N424" i="4"/>
  <c r="M424" i="4"/>
  <c r="L424" i="4"/>
  <c r="P423" i="4"/>
  <c r="O423" i="4"/>
  <c r="N423" i="4"/>
  <c r="M423" i="4"/>
  <c r="L423" i="4"/>
  <c r="P422" i="4"/>
  <c r="O422" i="4"/>
  <c r="N422" i="4"/>
  <c r="M422" i="4"/>
  <c r="L422" i="4"/>
  <c r="P421" i="4"/>
  <c r="O421" i="4"/>
  <c r="N421" i="4"/>
  <c r="M421" i="4"/>
  <c r="L421" i="4"/>
  <c r="P420" i="4"/>
  <c r="O420" i="4"/>
  <c r="N420" i="4"/>
  <c r="M420" i="4"/>
  <c r="L420" i="4"/>
  <c r="P419" i="4"/>
  <c r="O419" i="4"/>
  <c r="N419" i="4"/>
  <c r="M419" i="4"/>
  <c r="L419" i="4"/>
  <c r="P418" i="4"/>
  <c r="O418" i="4"/>
  <c r="N418" i="4"/>
  <c r="M418" i="4"/>
  <c r="L418" i="4"/>
  <c r="P417" i="4"/>
  <c r="O417" i="4"/>
  <c r="N417" i="4"/>
  <c r="M417" i="4"/>
  <c r="L417" i="4"/>
  <c r="P416" i="4"/>
  <c r="O416" i="4"/>
  <c r="N416" i="4"/>
  <c r="M416" i="4"/>
  <c r="L416" i="4"/>
  <c r="P415" i="4"/>
  <c r="O415" i="4"/>
  <c r="N415" i="4"/>
  <c r="M415" i="4"/>
  <c r="L415" i="4"/>
  <c r="P414" i="4"/>
  <c r="O414" i="4"/>
  <c r="N414" i="4"/>
  <c r="M414" i="4"/>
  <c r="L414" i="4"/>
  <c r="P413" i="4"/>
  <c r="O413" i="4"/>
  <c r="N413" i="4"/>
  <c r="M413" i="4"/>
  <c r="L413" i="4"/>
  <c r="P412" i="4"/>
  <c r="O412" i="4"/>
  <c r="N412" i="4"/>
  <c r="M412" i="4"/>
  <c r="L412" i="4"/>
  <c r="P411" i="4"/>
  <c r="O411" i="4"/>
  <c r="N411" i="4"/>
  <c r="M411" i="4"/>
  <c r="L411" i="4"/>
  <c r="P410" i="4"/>
  <c r="O410" i="4"/>
  <c r="N410" i="4"/>
  <c r="M410" i="4"/>
  <c r="L410" i="4"/>
  <c r="P409" i="4"/>
  <c r="O409" i="4"/>
  <c r="N409" i="4"/>
  <c r="M409" i="4"/>
  <c r="L409" i="4"/>
  <c r="P408" i="4"/>
  <c r="O408" i="4"/>
  <c r="N408" i="4"/>
  <c r="M408" i="4"/>
  <c r="L408" i="4"/>
  <c r="P407" i="4"/>
  <c r="O407" i="4"/>
  <c r="N407" i="4"/>
  <c r="M407" i="4"/>
  <c r="L407" i="4"/>
  <c r="P406" i="4"/>
  <c r="O406" i="4"/>
  <c r="N406" i="4"/>
  <c r="M406" i="4"/>
  <c r="L406" i="4"/>
  <c r="P405" i="4"/>
  <c r="O405" i="4"/>
  <c r="N405" i="4"/>
  <c r="M405" i="4"/>
  <c r="L405" i="4"/>
  <c r="P404" i="4"/>
  <c r="O404" i="4"/>
  <c r="N404" i="4"/>
  <c r="M404" i="4"/>
  <c r="L404" i="4"/>
  <c r="P403" i="4"/>
  <c r="O403" i="4"/>
  <c r="N403" i="4"/>
  <c r="M403" i="4"/>
  <c r="L403" i="4"/>
  <c r="P402" i="4"/>
  <c r="O402" i="4"/>
  <c r="N402" i="4"/>
  <c r="M402" i="4"/>
  <c r="L402" i="4"/>
  <c r="P401" i="4"/>
  <c r="O401" i="4"/>
  <c r="N401" i="4"/>
  <c r="M401" i="4"/>
  <c r="L401" i="4"/>
  <c r="P400" i="4"/>
  <c r="O400" i="4"/>
  <c r="N400" i="4"/>
  <c r="M400" i="4"/>
  <c r="L400" i="4"/>
  <c r="P399" i="4"/>
  <c r="O399" i="4"/>
  <c r="N399" i="4"/>
  <c r="M399" i="4"/>
  <c r="L399" i="4"/>
  <c r="P398" i="4"/>
  <c r="O398" i="4"/>
  <c r="N398" i="4"/>
  <c r="M398" i="4"/>
  <c r="L398" i="4"/>
  <c r="P397" i="4"/>
  <c r="O397" i="4"/>
  <c r="N397" i="4"/>
  <c r="M397" i="4"/>
  <c r="L397" i="4"/>
  <c r="P396" i="4"/>
  <c r="O396" i="4"/>
  <c r="N396" i="4"/>
  <c r="M396" i="4"/>
  <c r="L396" i="4"/>
  <c r="P395" i="4"/>
  <c r="O395" i="4"/>
  <c r="N395" i="4"/>
  <c r="M395" i="4"/>
  <c r="L395" i="4"/>
  <c r="P394" i="4"/>
  <c r="O394" i="4"/>
  <c r="N394" i="4"/>
  <c r="M394" i="4"/>
  <c r="L394" i="4"/>
  <c r="P393" i="4"/>
  <c r="O393" i="4"/>
  <c r="N393" i="4"/>
  <c r="M393" i="4"/>
  <c r="L393" i="4"/>
  <c r="P392" i="4"/>
  <c r="O392" i="4"/>
  <c r="N392" i="4"/>
  <c r="M392" i="4"/>
  <c r="L392" i="4"/>
  <c r="P391" i="4"/>
  <c r="O391" i="4"/>
  <c r="N391" i="4"/>
  <c r="M391" i="4"/>
  <c r="L391" i="4"/>
  <c r="P390" i="4"/>
  <c r="O390" i="4"/>
  <c r="N390" i="4"/>
  <c r="M390" i="4"/>
  <c r="L390" i="4"/>
  <c r="P389" i="4"/>
  <c r="O389" i="4"/>
  <c r="N389" i="4"/>
  <c r="M389" i="4"/>
  <c r="L389" i="4"/>
  <c r="P388" i="4"/>
  <c r="O388" i="4"/>
  <c r="N388" i="4"/>
  <c r="M388" i="4"/>
  <c r="L388" i="4"/>
  <c r="P387" i="4"/>
  <c r="O387" i="4"/>
  <c r="N387" i="4"/>
  <c r="M387" i="4"/>
  <c r="L387" i="4"/>
  <c r="P386" i="4"/>
  <c r="O386" i="4"/>
  <c r="N386" i="4"/>
  <c r="M386" i="4"/>
  <c r="L386" i="4"/>
  <c r="P385" i="4"/>
  <c r="O385" i="4"/>
  <c r="N385" i="4"/>
  <c r="M385" i="4"/>
  <c r="L385" i="4"/>
  <c r="P384" i="4"/>
  <c r="O384" i="4"/>
  <c r="N384" i="4"/>
  <c r="M384" i="4"/>
  <c r="L384" i="4"/>
  <c r="P383" i="4"/>
  <c r="O383" i="4"/>
  <c r="N383" i="4"/>
  <c r="M383" i="4"/>
  <c r="L383" i="4"/>
  <c r="P382" i="4"/>
  <c r="O382" i="4"/>
  <c r="N382" i="4"/>
  <c r="M382" i="4"/>
  <c r="L382" i="4"/>
  <c r="P381" i="4"/>
  <c r="O381" i="4"/>
  <c r="N381" i="4"/>
  <c r="M381" i="4"/>
  <c r="L381" i="4"/>
  <c r="P380" i="4"/>
  <c r="O380" i="4"/>
  <c r="N380" i="4"/>
  <c r="M380" i="4"/>
  <c r="L380" i="4"/>
  <c r="P379" i="4"/>
  <c r="O379" i="4"/>
  <c r="N379" i="4"/>
  <c r="M379" i="4"/>
  <c r="L379" i="4"/>
  <c r="P378" i="4"/>
  <c r="O378" i="4"/>
  <c r="N378" i="4"/>
  <c r="M378" i="4"/>
  <c r="L378" i="4"/>
  <c r="P377" i="4"/>
  <c r="O377" i="4"/>
  <c r="N377" i="4"/>
  <c r="M377" i="4"/>
  <c r="L377" i="4"/>
  <c r="P376" i="4"/>
  <c r="O376" i="4"/>
  <c r="N376" i="4"/>
  <c r="M376" i="4"/>
  <c r="L376" i="4"/>
  <c r="P375" i="4"/>
  <c r="O375" i="4"/>
  <c r="N375" i="4"/>
  <c r="M375" i="4"/>
  <c r="L375" i="4"/>
  <c r="P374" i="4"/>
  <c r="O374" i="4"/>
  <c r="N374" i="4"/>
  <c r="M374" i="4"/>
  <c r="L374" i="4"/>
  <c r="P373" i="4"/>
  <c r="O373" i="4"/>
  <c r="N373" i="4"/>
  <c r="M373" i="4"/>
  <c r="L373" i="4"/>
  <c r="P372" i="4"/>
  <c r="O372" i="4"/>
  <c r="N372" i="4"/>
  <c r="M372" i="4"/>
  <c r="L372" i="4"/>
  <c r="P371" i="4"/>
  <c r="O371" i="4"/>
  <c r="N371" i="4"/>
  <c r="M371" i="4"/>
  <c r="L371" i="4"/>
  <c r="P370" i="4"/>
  <c r="O370" i="4"/>
  <c r="N370" i="4"/>
  <c r="M370" i="4"/>
  <c r="L370" i="4"/>
  <c r="P369" i="4"/>
  <c r="O369" i="4"/>
  <c r="N369" i="4"/>
  <c r="M369" i="4"/>
  <c r="L369" i="4"/>
  <c r="P368" i="4"/>
  <c r="O368" i="4"/>
  <c r="N368" i="4"/>
  <c r="M368" i="4"/>
  <c r="L368" i="4"/>
  <c r="P367" i="4"/>
  <c r="O367" i="4"/>
  <c r="N367" i="4"/>
  <c r="M367" i="4"/>
  <c r="L367" i="4"/>
  <c r="P366" i="4"/>
  <c r="O366" i="4"/>
  <c r="N366" i="4"/>
  <c r="M366" i="4"/>
  <c r="L366" i="4"/>
  <c r="P365" i="4"/>
  <c r="O365" i="4"/>
  <c r="N365" i="4"/>
  <c r="M365" i="4"/>
  <c r="L365" i="4"/>
  <c r="P364" i="4"/>
  <c r="O364" i="4"/>
  <c r="N364" i="4"/>
  <c r="M364" i="4"/>
  <c r="L364" i="4"/>
  <c r="P363" i="4"/>
  <c r="O363" i="4"/>
  <c r="N363" i="4"/>
  <c r="M363" i="4"/>
  <c r="L363" i="4"/>
  <c r="P362" i="4"/>
  <c r="O362" i="4"/>
  <c r="N362" i="4"/>
  <c r="M362" i="4"/>
  <c r="L362" i="4"/>
  <c r="P361" i="4"/>
  <c r="O361" i="4"/>
  <c r="N361" i="4"/>
  <c r="M361" i="4"/>
  <c r="L361" i="4"/>
  <c r="P360" i="4"/>
  <c r="O360" i="4"/>
  <c r="N360" i="4"/>
  <c r="M360" i="4"/>
  <c r="L360" i="4"/>
  <c r="P359" i="4"/>
  <c r="O359" i="4"/>
  <c r="N359" i="4"/>
  <c r="M359" i="4"/>
  <c r="L359" i="4"/>
  <c r="P358" i="4"/>
  <c r="O358" i="4"/>
  <c r="N358" i="4"/>
  <c r="M358" i="4"/>
  <c r="L358" i="4"/>
  <c r="P357" i="4"/>
  <c r="O357" i="4"/>
  <c r="N357" i="4"/>
  <c r="M357" i="4"/>
  <c r="L357" i="4"/>
  <c r="P356" i="4"/>
  <c r="O356" i="4"/>
  <c r="N356" i="4"/>
  <c r="M356" i="4"/>
  <c r="L356" i="4"/>
  <c r="P355" i="4"/>
  <c r="O355" i="4"/>
  <c r="N355" i="4"/>
  <c r="M355" i="4"/>
  <c r="L355" i="4"/>
  <c r="P354" i="4"/>
  <c r="O354" i="4"/>
  <c r="N354" i="4"/>
  <c r="M354" i="4"/>
  <c r="L354" i="4"/>
  <c r="P353" i="4"/>
  <c r="O353" i="4"/>
  <c r="N353" i="4"/>
  <c r="M353" i="4"/>
  <c r="L353" i="4"/>
  <c r="P352" i="4"/>
  <c r="O352" i="4"/>
  <c r="N352" i="4"/>
  <c r="M352" i="4"/>
  <c r="L352" i="4"/>
  <c r="P351" i="4"/>
  <c r="O351" i="4"/>
  <c r="N351" i="4"/>
  <c r="M351" i="4"/>
  <c r="L351" i="4"/>
  <c r="P350" i="4"/>
  <c r="O350" i="4"/>
  <c r="N350" i="4"/>
  <c r="M350" i="4"/>
  <c r="L350" i="4"/>
  <c r="P349" i="4"/>
  <c r="O349" i="4"/>
  <c r="N349" i="4"/>
  <c r="M349" i="4"/>
  <c r="L349" i="4"/>
  <c r="P348" i="4"/>
  <c r="O348" i="4"/>
  <c r="N348" i="4"/>
  <c r="M348" i="4"/>
  <c r="L348" i="4"/>
  <c r="P347" i="4"/>
  <c r="O347" i="4"/>
  <c r="N347" i="4"/>
  <c r="M347" i="4"/>
  <c r="L347" i="4"/>
  <c r="P346" i="4"/>
  <c r="O346" i="4"/>
  <c r="N346" i="4"/>
  <c r="M346" i="4"/>
  <c r="L346" i="4"/>
  <c r="P345" i="4"/>
  <c r="O345" i="4"/>
  <c r="N345" i="4"/>
  <c r="M345" i="4"/>
  <c r="L345" i="4"/>
  <c r="P344" i="4"/>
  <c r="O344" i="4"/>
  <c r="N344" i="4"/>
  <c r="M344" i="4"/>
  <c r="L344" i="4"/>
  <c r="P343" i="4"/>
  <c r="O343" i="4"/>
  <c r="N343" i="4"/>
  <c r="M343" i="4"/>
  <c r="L343" i="4"/>
  <c r="P342" i="4"/>
  <c r="O342" i="4"/>
  <c r="N342" i="4"/>
  <c r="M342" i="4"/>
  <c r="L342" i="4"/>
  <c r="P341" i="4"/>
  <c r="O341" i="4"/>
  <c r="N341" i="4"/>
  <c r="M341" i="4"/>
  <c r="L341" i="4"/>
  <c r="P340" i="4"/>
  <c r="O340" i="4"/>
  <c r="N340" i="4"/>
  <c r="M340" i="4"/>
  <c r="L340" i="4"/>
  <c r="P339" i="4"/>
  <c r="O339" i="4"/>
  <c r="N339" i="4"/>
  <c r="M339" i="4"/>
  <c r="L339" i="4"/>
  <c r="P338" i="4"/>
  <c r="O338" i="4"/>
  <c r="N338" i="4"/>
  <c r="M338" i="4"/>
  <c r="L338" i="4"/>
  <c r="P337" i="4"/>
  <c r="O337" i="4"/>
  <c r="N337" i="4"/>
  <c r="M337" i="4"/>
  <c r="L337" i="4"/>
  <c r="P336" i="4"/>
  <c r="O336" i="4"/>
  <c r="N336" i="4"/>
  <c r="M336" i="4"/>
  <c r="L336" i="4"/>
  <c r="P335" i="4"/>
  <c r="O335" i="4"/>
  <c r="N335" i="4"/>
  <c r="M335" i="4"/>
  <c r="L335" i="4"/>
  <c r="P334" i="4"/>
  <c r="O334" i="4"/>
  <c r="N334" i="4"/>
  <c r="M334" i="4"/>
  <c r="L334" i="4"/>
  <c r="P333" i="4"/>
  <c r="O333" i="4"/>
  <c r="N333" i="4"/>
  <c r="M333" i="4"/>
  <c r="L333" i="4"/>
  <c r="P332" i="4"/>
  <c r="O332" i="4"/>
  <c r="N332" i="4"/>
  <c r="M332" i="4"/>
  <c r="L332" i="4"/>
  <c r="P331" i="4"/>
  <c r="O331" i="4"/>
  <c r="N331" i="4"/>
  <c r="M331" i="4"/>
  <c r="L331" i="4"/>
  <c r="P330" i="4"/>
  <c r="O330" i="4"/>
  <c r="N330" i="4"/>
  <c r="M330" i="4"/>
  <c r="L330" i="4"/>
  <c r="P329" i="4"/>
  <c r="O329" i="4"/>
  <c r="N329" i="4"/>
  <c r="M329" i="4"/>
  <c r="L329" i="4"/>
  <c r="P328" i="4"/>
  <c r="O328" i="4"/>
  <c r="N328" i="4"/>
  <c r="M328" i="4"/>
  <c r="L328" i="4"/>
  <c r="P327" i="4"/>
  <c r="O327" i="4"/>
  <c r="N327" i="4"/>
  <c r="M327" i="4"/>
  <c r="L327" i="4"/>
  <c r="P326" i="4"/>
  <c r="O326" i="4"/>
  <c r="N326" i="4"/>
  <c r="M326" i="4"/>
  <c r="L326" i="4"/>
  <c r="P325" i="4"/>
  <c r="O325" i="4"/>
  <c r="N325" i="4"/>
  <c r="M325" i="4"/>
  <c r="L325" i="4"/>
  <c r="P324" i="4"/>
  <c r="O324" i="4"/>
  <c r="N324" i="4"/>
  <c r="M324" i="4"/>
  <c r="L324" i="4"/>
  <c r="P323" i="4"/>
  <c r="O323" i="4"/>
  <c r="N323" i="4"/>
  <c r="M323" i="4"/>
  <c r="L323" i="4"/>
  <c r="P322" i="4"/>
  <c r="O322" i="4"/>
  <c r="N322" i="4"/>
  <c r="M322" i="4"/>
  <c r="L322" i="4"/>
  <c r="P321" i="4"/>
  <c r="O321" i="4"/>
  <c r="N321" i="4"/>
  <c r="M321" i="4"/>
  <c r="L321" i="4"/>
  <c r="P320" i="4"/>
  <c r="O320" i="4"/>
  <c r="N320" i="4"/>
  <c r="M320" i="4"/>
  <c r="L320" i="4"/>
  <c r="P319" i="4"/>
  <c r="O319" i="4"/>
  <c r="N319" i="4"/>
  <c r="M319" i="4"/>
  <c r="L319" i="4"/>
  <c r="P318" i="4"/>
  <c r="O318" i="4"/>
  <c r="N318" i="4"/>
  <c r="M318" i="4"/>
  <c r="L318" i="4"/>
  <c r="P317" i="4"/>
  <c r="O317" i="4"/>
  <c r="N317" i="4"/>
  <c r="M317" i="4"/>
  <c r="L317" i="4"/>
  <c r="P316" i="4"/>
  <c r="O316" i="4"/>
  <c r="N316" i="4"/>
  <c r="M316" i="4"/>
  <c r="L316" i="4"/>
  <c r="P315" i="4"/>
  <c r="O315" i="4"/>
  <c r="N315" i="4"/>
  <c r="M315" i="4"/>
  <c r="L315" i="4"/>
  <c r="P314" i="4"/>
  <c r="O314" i="4"/>
  <c r="N314" i="4"/>
  <c r="M314" i="4"/>
  <c r="L314" i="4"/>
  <c r="P313" i="4"/>
  <c r="O313" i="4"/>
  <c r="N313" i="4"/>
  <c r="M313" i="4"/>
  <c r="L313" i="4"/>
  <c r="P312" i="4"/>
  <c r="O312" i="4"/>
  <c r="N312" i="4"/>
  <c r="M312" i="4"/>
  <c r="L312" i="4"/>
  <c r="P311" i="4"/>
  <c r="O311" i="4"/>
  <c r="N311" i="4"/>
  <c r="M311" i="4"/>
  <c r="L311" i="4"/>
  <c r="P310" i="4"/>
  <c r="O310" i="4"/>
  <c r="N310" i="4"/>
  <c r="M310" i="4"/>
  <c r="L310" i="4"/>
  <c r="P309" i="4"/>
  <c r="O309" i="4"/>
  <c r="N309" i="4"/>
  <c r="M309" i="4"/>
  <c r="L309" i="4"/>
  <c r="P308" i="4"/>
  <c r="O308" i="4"/>
  <c r="N308" i="4"/>
  <c r="M308" i="4"/>
  <c r="L308" i="4"/>
  <c r="P307" i="4"/>
  <c r="O307" i="4"/>
  <c r="N307" i="4"/>
  <c r="M307" i="4"/>
  <c r="L307" i="4"/>
  <c r="P306" i="4"/>
  <c r="O306" i="4"/>
  <c r="N306" i="4"/>
  <c r="M306" i="4"/>
  <c r="L306" i="4"/>
  <c r="P305" i="4"/>
  <c r="O305" i="4"/>
  <c r="N305" i="4"/>
  <c r="M305" i="4"/>
  <c r="L305" i="4"/>
  <c r="P304" i="4"/>
  <c r="O304" i="4"/>
  <c r="N304" i="4"/>
  <c r="M304" i="4"/>
  <c r="L304" i="4"/>
  <c r="P303" i="4"/>
  <c r="O303" i="4"/>
  <c r="N303" i="4"/>
  <c r="M303" i="4"/>
  <c r="L303" i="4"/>
  <c r="P302" i="4"/>
  <c r="O302" i="4"/>
  <c r="N302" i="4"/>
  <c r="M302" i="4"/>
  <c r="L302" i="4"/>
  <c r="P301" i="4"/>
  <c r="O301" i="4"/>
  <c r="N301" i="4"/>
  <c r="M301" i="4"/>
  <c r="L301" i="4"/>
  <c r="P300" i="4"/>
  <c r="O300" i="4"/>
  <c r="N300" i="4"/>
  <c r="M300" i="4"/>
  <c r="L300" i="4"/>
  <c r="P299" i="4"/>
  <c r="O299" i="4"/>
  <c r="N299" i="4"/>
  <c r="M299" i="4"/>
  <c r="L299" i="4"/>
  <c r="P298" i="4"/>
  <c r="O298" i="4"/>
  <c r="N298" i="4"/>
  <c r="M298" i="4"/>
  <c r="L298" i="4"/>
  <c r="P297" i="4"/>
  <c r="O297" i="4"/>
  <c r="N297" i="4"/>
  <c r="M297" i="4"/>
  <c r="L297" i="4"/>
  <c r="P296" i="4"/>
  <c r="O296" i="4"/>
  <c r="N296" i="4"/>
  <c r="M296" i="4"/>
  <c r="L296" i="4"/>
  <c r="P295" i="4"/>
  <c r="O295" i="4"/>
  <c r="N295" i="4"/>
  <c r="M295" i="4"/>
  <c r="L295" i="4"/>
  <c r="P294" i="4"/>
  <c r="O294" i="4"/>
  <c r="N294" i="4"/>
  <c r="M294" i="4"/>
  <c r="L294" i="4"/>
  <c r="P293" i="4"/>
  <c r="O293" i="4"/>
  <c r="N293" i="4"/>
  <c r="M293" i="4"/>
  <c r="L293" i="4"/>
  <c r="P292" i="4"/>
  <c r="O292" i="4"/>
  <c r="N292" i="4"/>
  <c r="M292" i="4"/>
  <c r="L292" i="4"/>
  <c r="P291" i="4"/>
  <c r="O291" i="4"/>
  <c r="N291" i="4"/>
  <c r="M291" i="4"/>
  <c r="L291" i="4"/>
  <c r="P290" i="4"/>
  <c r="O290" i="4"/>
  <c r="N290" i="4"/>
  <c r="M290" i="4"/>
  <c r="L290" i="4"/>
  <c r="P289" i="4"/>
  <c r="O289" i="4"/>
  <c r="N289" i="4"/>
  <c r="M289" i="4"/>
  <c r="L289" i="4"/>
  <c r="P288" i="4"/>
  <c r="O288" i="4"/>
  <c r="N288" i="4"/>
  <c r="M288" i="4"/>
  <c r="L288" i="4"/>
  <c r="P287" i="4"/>
  <c r="O287" i="4"/>
  <c r="N287" i="4"/>
  <c r="M287" i="4"/>
  <c r="L287" i="4"/>
  <c r="P286" i="4"/>
  <c r="O286" i="4"/>
  <c r="N286" i="4"/>
  <c r="M286" i="4"/>
  <c r="L286" i="4"/>
  <c r="P285" i="4"/>
  <c r="O285" i="4"/>
  <c r="N285" i="4"/>
  <c r="M285" i="4"/>
  <c r="L285" i="4"/>
  <c r="P284" i="4"/>
  <c r="O284" i="4"/>
  <c r="N284" i="4"/>
  <c r="M284" i="4"/>
  <c r="L284" i="4"/>
  <c r="P283" i="4"/>
  <c r="O283" i="4"/>
  <c r="N283" i="4"/>
  <c r="M283" i="4"/>
  <c r="L283" i="4"/>
  <c r="P282" i="4"/>
  <c r="O282" i="4"/>
  <c r="N282" i="4"/>
  <c r="M282" i="4"/>
  <c r="L282" i="4"/>
  <c r="P281" i="4"/>
  <c r="O281" i="4"/>
  <c r="N281" i="4"/>
  <c r="M281" i="4"/>
  <c r="L281" i="4"/>
  <c r="P280" i="4"/>
  <c r="O280" i="4"/>
  <c r="N280" i="4"/>
  <c r="M280" i="4"/>
  <c r="L280" i="4"/>
  <c r="P279" i="4"/>
  <c r="O279" i="4"/>
  <c r="N279" i="4"/>
  <c r="M279" i="4"/>
  <c r="L279" i="4"/>
  <c r="P278" i="4"/>
  <c r="O278" i="4"/>
  <c r="N278" i="4"/>
  <c r="M278" i="4"/>
  <c r="L278" i="4"/>
  <c r="P277" i="4"/>
  <c r="O277" i="4"/>
  <c r="N277" i="4"/>
  <c r="M277" i="4"/>
  <c r="L277" i="4"/>
  <c r="P276" i="4"/>
  <c r="O276" i="4"/>
  <c r="N276" i="4"/>
  <c r="M276" i="4"/>
  <c r="L276" i="4"/>
  <c r="P275" i="4"/>
  <c r="O275" i="4"/>
  <c r="N275" i="4"/>
  <c r="M275" i="4"/>
  <c r="L275" i="4"/>
  <c r="P274" i="4"/>
  <c r="O274" i="4"/>
  <c r="N274" i="4"/>
  <c r="M274" i="4"/>
  <c r="L274" i="4"/>
  <c r="P273" i="4"/>
  <c r="O273" i="4"/>
  <c r="N273" i="4"/>
  <c r="M273" i="4"/>
  <c r="L273" i="4"/>
  <c r="P272" i="4"/>
  <c r="O272" i="4"/>
  <c r="N272" i="4"/>
  <c r="M272" i="4"/>
  <c r="L272" i="4"/>
  <c r="P271" i="4"/>
  <c r="O271" i="4"/>
  <c r="N271" i="4"/>
  <c r="M271" i="4"/>
  <c r="L271" i="4"/>
  <c r="P270" i="4"/>
  <c r="O270" i="4"/>
  <c r="N270" i="4"/>
  <c r="M270" i="4"/>
  <c r="L270" i="4"/>
  <c r="P269" i="4"/>
  <c r="O269" i="4"/>
  <c r="N269" i="4"/>
  <c r="M269" i="4"/>
  <c r="L269" i="4"/>
  <c r="P268" i="4"/>
  <c r="O268" i="4"/>
  <c r="N268" i="4"/>
  <c r="M268" i="4"/>
  <c r="L268" i="4"/>
  <c r="P267" i="4"/>
  <c r="O267" i="4"/>
  <c r="N267" i="4"/>
  <c r="M267" i="4"/>
  <c r="L267" i="4"/>
  <c r="P266" i="4"/>
  <c r="O266" i="4"/>
  <c r="N266" i="4"/>
  <c r="M266" i="4"/>
  <c r="L266" i="4"/>
  <c r="P265" i="4"/>
  <c r="O265" i="4"/>
  <c r="N265" i="4"/>
  <c r="M265" i="4"/>
  <c r="L265" i="4"/>
  <c r="P264" i="4"/>
  <c r="O264" i="4"/>
  <c r="N264" i="4"/>
  <c r="M264" i="4"/>
  <c r="L264" i="4"/>
  <c r="P263" i="4"/>
  <c r="O263" i="4"/>
  <c r="N263" i="4"/>
  <c r="M263" i="4"/>
  <c r="L263" i="4"/>
  <c r="P262" i="4"/>
  <c r="O262" i="4"/>
  <c r="N262" i="4"/>
  <c r="M262" i="4"/>
  <c r="L262" i="4"/>
  <c r="P261" i="4"/>
  <c r="O261" i="4"/>
  <c r="N261" i="4"/>
  <c r="M261" i="4"/>
  <c r="L261" i="4"/>
  <c r="P260" i="4"/>
  <c r="O260" i="4"/>
  <c r="N260" i="4"/>
  <c r="M260" i="4"/>
  <c r="L260" i="4"/>
  <c r="P259" i="4"/>
  <c r="O259" i="4"/>
  <c r="N259" i="4"/>
  <c r="M259" i="4"/>
  <c r="L259" i="4"/>
  <c r="P258" i="4"/>
  <c r="O258" i="4"/>
  <c r="N258" i="4"/>
  <c r="M258" i="4"/>
  <c r="L258" i="4"/>
  <c r="P257" i="4"/>
  <c r="O257" i="4"/>
  <c r="N257" i="4"/>
  <c r="M257" i="4"/>
  <c r="L257" i="4"/>
  <c r="P256" i="4"/>
  <c r="O256" i="4"/>
  <c r="N256" i="4"/>
  <c r="M256" i="4"/>
  <c r="L256" i="4"/>
  <c r="P255" i="4"/>
  <c r="O255" i="4"/>
  <c r="N255" i="4"/>
  <c r="M255" i="4"/>
  <c r="L255" i="4"/>
  <c r="P254" i="4"/>
  <c r="O254" i="4"/>
  <c r="N254" i="4"/>
  <c r="M254" i="4"/>
  <c r="L254" i="4"/>
  <c r="P253" i="4"/>
  <c r="O253" i="4"/>
  <c r="N253" i="4"/>
  <c r="M253" i="4"/>
  <c r="L253" i="4"/>
  <c r="P252" i="4"/>
  <c r="O252" i="4"/>
  <c r="N252" i="4"/>
  <c r="M252" i="4"/>
  <c r="L252" i="4"/>
  <c r="P251" i="4"/>
  <c r="O251" i="4"/>
  <c r="N251" i="4"/>
  <c r="M251" i="4"/>
  <c r="L251" i="4"/>
  <c r="P250" i="4"/>
  <c r="O250" i="4"/>
  <c r="N250" i="4"/>
  <c r="M250" i="4"/>
  <c r="L250" i="4"/>
  <c r="P249" i="4"/>
  <c r="O249" i="4"/>
  <c r="N249" i="4"/>
  <c r="M249" i="4"/>
  <c r="L249" i="4"/>
  <c r="P248" i="4"/>
  <c r="O248" i="4"/>
  <c r="N248" i="4"/>
  <c r="M248" i="4"/>
  <c r="L248" i="4"/>
  <c r="P247" i="4"/>
  <c r="O247" i="4"/>
  <c r="N247" i="4"/>
  <c r="M247" i="4"/>
  <c r="L247" i="4"/>
  <c r="P246" i="4"/>
  <c r="O246" i="4"/>
  <c r="N246" i="4"/>
  <c r="M246" i="4"/>
  <c r="L246" i="4"/>
  <c r="P245" i="4"/>
  <c r="O245" i="4"/>
  <c r="N245" i="4"/>
  <c r="M245" i="4"/>
  <c r="L245" i="4"/>
  <c r="P244" i="4"/>
  <c r="O244" i="4"/>
  <c r="N244" i="4"/>
  <c r="M244" i="4"/>
  <c r="L244" i="4"/>
  <c r="P243" i="4"/>
  <c r="O243" i="4"/>
  <c r="N243" i="4"/>
  <c r="M243" i="4"/>
  <c r="L243" i="4"/>
  <c r="P242" i="4"/>
  <c r="O242" i="4"/>
  <c r="N242" i="4"/>
  <c r="M242" i="4"/>
  <c r="L242" i="4"/>
  <c r="P241" i="4"/>
  <c r="O241" i="4"/>
  <c r="N241" i="4"/>
  <c r="M241" i="4"/>
  <c r="L241" i="4"/>
  <c r="P240" i="4"/>
  <c r="O240" i="4"/>
  <c r="N240" i="4"/>
  <c r="M240" i="4"/>
  <c r="L240" i="4"/>
  <c r="P239" i="4"/>
  <c r="O239" i="4"/>
  <c r="N239" i="4"/>
  <c r="M239" i="4"/>
  <c r="L239" i="4"/>
  <c r="P238" i="4"/>
  <c r="O238" i="4"/>
  <c r="N238" i="4"/>
  <c r="M238" i="4"/>
  <c r="L238" i="4"/>
  <c r="P237" i="4"/>
  <c r="O237" i="4"/>
  <c r="N237" i="4"/>
  <c r="M237" i="4"/>
  <c r="L237" i="4"/>
  <c r="P236" i="4"/>
  <c r="O236" i="4"/>
  <c r="N236" i="4"/>
  <c r="M236" i="4"/>
  <c r="L236" i="4"/>
  <c r="P235" i="4"/>
  <c r="O235" i="4"/>
  <c r="N235" i="4"/>
  <c r="M235" i="4"/>
  <c r="L235" i="4"/>
  <c r="P234" i="4"/>
  <c r="O234" i="4"/>
  <c r="N234" i="4"/>
  <c r="M234" i="4"/>
  <c r="L234" i="4"/>
  <c r="P233" i="4"/>
  <c r="O233" i="4"/>
  <c r="N233" i="4"/>
  <c r="M233" i="4"/>
  <c r="L233" i="4"/>
  <c r="P232" i="4"/>
  <c r="O232" i="4"/>
  <c r="N232" i="4"/>
  <c r="M232" i="4"/>
  <c r="L232" i="4"/>
  <c r="P231" i="4"/>
  <c r="O231" i="4"/>
  <c r="N231" i="4"/>
  <c r="M231" i="4"/>
  <c r="L231" i="4"/>
  <c r="P230" i="4"/>
  <c r="O230" i="4"/>
  <c r="N230" i="4"/>
  <c r="M230" i="4"/>
  <c r="L230" i="4"/>
  <c r="P229" i="4"/>
  <c r="O229" i="4"/>
  <c r="N229" i="4"/>
  <c r="M229" i="4"/>
  <c r="L229" i="4"/>
  <c r="P228" i="4"/>
  <c r="O228" i="4"/>
  <c r="N228" i="4"/>
  <c r="M228" i="4"/>
  <c r="L228" i="4"/>
  <c r="P227" i="4"/>
  <c r="O227" i="4"/>
  <c r="N227" i="4"/>
  <c r="M227" i="4"/>
  <c r="L227" i="4"/>
  <c r="P226" i="4"/>
  <c r="O226" i="4"/>
  <c r="N226" i="4"/>
  <c r="M226" i="4"/>
  <c r="L226" i="4"/>
  <c r="P225" i="4"/>
  <c r="O225" i="4"/>
  <c r="N225" i="4"/>
  <c r="M225" i="4"/>
  <c r="L225" i="4"/>
  <c r="P224" i="4"/>
  <c r="O224" i="4"/>
  <c r="N224" i="4"/>
  <c r="M224" i="4"/>
  <c r="L224" i="4"/>
  <c r="P223" i="4"/>
  <c r="O223" i="4"/>
  <c r="N223" i="4"/>
  <c r="M223" i="4"/>
  <c r="L223" i="4"/>
  <c r="P222" i="4"/>
  <c r="O222" i="4"/>
  <c r="N222" i="4"/>
  <c r="M222" i="4"/>
  <c r="L222" i="4"/>
  <c r="P221" i="4"/>
  <c r="O221" i="4"/>
  <c r="N221" i="4"/>
  <c r="M221" i="4"/>
  <c r="L221" i="4"/>
  <c r="P220" i="4"/>
  <c r="O220" i="4"/>
  <c r="N220" i="4"/>
  <c r="M220" i="4"/>
  <c r="L220" i="4"/>
  <c r="P219" i="4"/>
  <c r="O219" i="4"/>
  <c r="N219" i="4"/>
  <c r="M219" i="4"/>
  <c r="L219" i="4"/>
  <c r="P218" i="4"/>
  <c r="O218" i="4"/>
  <c r="N218" i="4"/>
  <c r="M218" i="4"/>
  <c r="L218" i="4"/>
  <c r="P217" i="4"/>
  <c r="O217" i="4"/>
  <c r="N217" i="4"/>
  <c r="M217" i="4"/>
  <c r="L217" i="4"/>
  <c r="P216" i="4"/>
  <c r="O216" i="4"/>
  <c r="N216" i="4"/>
  <c r="M216" i="4"/>
  <c r="L216" i="4"/>
  <c r="P215" i="4"/>
  <c r="O215" i="4"/>
  <c r="N215" i="4"/>
  <c r="M215" i="4"/>
  <c r="L215" i="4"/>
  <c r="P213" i="4"/>
  <c r="O213" i="4"/>
  <c r="N213" i="4"/>
  <c r="M213" i="4"/>
  <c r="L213" i="4"/>
  <c r="P212" i="4"/>
  <c r="O212" i="4"/>
  <c r="N212" i="4"/>
  <c r="M212" i="4"/>
  <c r="L212" i="4"/>
  <c r="P211" i="4"/>
  <c r="O211" i="4"/>
  <c r="N211" i="4"/>
  <c r="M211" i="4"/>
  <c r="L211" i="4"/>
  <c r="P210" i="4"/>
  <c r="O210" i="4"/>
  <c r="N210" i="4"/>
  <c r="M210" i="4"/>
  <c r="L210" i="4"/>
  <c r="P209" i="4"/>
  <c r="O209" i="4"/>
  <c r="N209" i="4"/>
  <c r="M209" i="4"/>
  <c r="L209" i="4"/>
  <c r="P208" i="4"/>
  <c r="O208" i="4"/>
  <c r="N208" i="4"/>
  <c r="M208" i="4"/>
  <c r="L208" i="4"/>
  <c r="P207" i="4"/>
  <c r="O207" i="4"/>
  <c r="N207" i="4"/>
  <c r="M207" i="4"/>
  <c r="L207" i="4"/>
  <c r="P206" i="4"/>
  <c r="O206" i="4"/>
  <c r="N206" i="4"/>
  <c r="M206" i="4"/>
  <c r="L206" i="4"/>
  <c r="P205" i="4"/>
  <c r="O205" i="4"/>
  <c r="N205" i="4"/>
  <c r="M205" i="4"/>
  <c r="L205" i="4"/>
  <c r="P204" i="4"/>
  <c r="O204" i="4"/>
  <c r="N204" i="4"/>
  <c r="M204" i="4"/>
  <c r="L204" i="4"/>
  <c r="P203" i="4"/>
  <c r="O203" i="4"/>
  <c r="N203" i="4"/>
  <c r="M203" i="4"/>
  <c r="L203" i="4"/>
  <c r="P202" i="4"/>
  <c r="O202" i="4"/>
  <c r="N202" i="4"/>
  <c r="M202" i="4"/>
  <c r="L202" i="4"/>
  <c r="P201" i="4"/>
  <c r="O201" i="4"/>
  <c r="N201" i="4"/>
  <c r="M201" i="4"/>
  <c r="L201" i="4"/>
  <c r="P200" i="4"/>
  <c r="O200" i="4"/>
  <c r="N200" i="4"/>
  <c r="M200" i="4"/>
  <c r="L200" i="4"/>
  <c r="P199" i="4"/>
  <c r="O199" i="4"/>
  <c r="N199" i="4"/>
  <c r="M199" i="4"/>
  <c r="L199" i="4"/>
  <c r="P198" i="4"/>
  <c r="O198" i="4"/>
  <c r="N198" i="4"/>
  <c r="M198" i="4"/>
  <c r="L198" i="4"/>
  <c r="P197" i="4"/>
  <c r="O197" i="4"/>
  <c r="N197" i="4"/>
  <c r="M197" i="4"/>
  <c r="L197" i="4"/>
  <c r="P196" i="4"/>
  <c r="O196" i="4"/>
  <c r="N196" i="4"/>
  <c r="M196" i="4"/>
  <c r="L196" i="4"/>
  <c r="P195" i="4"/>
  <c r="O195" i="4"/>
  <c r="N195" i="4"/>
  <c r="M195" i="4"/>
  <c r="L195" i="4"/>
  <c r="P194" i="4"/>
  <c r="O194" i="4"/>
  <c r="N194" i="4"/>
  <c r="M194" i="4"/>
  <c r="L194" i="4"/>
  <c r="P193" i="4"/>
  <c r="O193" i="4"/>
  <c r="N193" i="4"/>
  <c r="M193" i="4"/>
  <c r="L193" i="4"/>
  <c r="P192" i="4"/>
  <c r="O192" i="4"/>
  <c r="N192" i="4"/>
  <c r="M192" i="4"/>
  <c r="L192" i="4"/>
  <c r="P191" i="4"/>
  <c r="O191" i="4"/>
  <c r="N191" i="4"/>
  <c r="M191" i="4"/>
  <c r="L191" i="4"/>
  <c r="P190" i="4"/>
  <c r="O190" i="4"/>
  <c r="N190" i="4"/>
  <c r="M190" i="4"/>
  <c r="L190" i="4"/>
  <c r="P189" i="4"/>
  <c r="O189" i="4"/>
  <c r="N189" i="4"/>
  <c r="M189" i="4"/>
  <c r="L189" i="4"/>
  <c r="P188" i="4"/>
  <c r="O188" i="4"/>
  <c r="N188" i="4"/>
  <c r="M188" i="4"/>
  <c r="L188" i="4"/>
  <c r="P187" i="4"/>
  <c r="O187" i="4"/>
  <c r="N187" i="4"/>
  <c r="M187" i="4"/>
  <c r="L187" i="4"/>
  <c r="P186" i="4"/>
  <c r="O186" i="4"/>
  <c r="N186" i="4"/>
  <c r="M186" i="4"/>
  <c r="L186" i="4"/>
  <c r="P185" i="4"/>
  <c r="O185" i="4"/>
  <c r="N185" i="4"/>
  <c r="M185" i="4"/>
  <c r="L185" i="4"/>
  <c r="P184" i="4"/>
  <c r="O184" i="4"/>
  <c r="N184" i="4"/>
  <c r="M184" i="4"/>
  <c r="L184" i="4"/>
  <c r="P183" i="4"/>
  <c r="O183" i="4"/>
  <c r="N183" i="4"/>
  <c r="M183" i="4"/>
  <c r="L183" i="4"/>
  <c r="P182" i="4"/>
  <c r="O182" i="4"/>
  <c r="N182" i="4"/>
  <c r="M182" i="4"/>
  <c r="L182" i="4"/>
  <c r="P181" i="4"/>
  <c r="O181" i="4"/>
  <c r="N181" i="4"/>
  <c r="M181" i="4"/>
  <c r="L181" i="4"/>
  <c r="P180" i="4"/>
  <c r="O180" i="4"/>
  <c r="N180" i="4"/>
  <c r="M180" i="4"/>
  <c r="L180" i="4"/>
  <c r="P179" i="4"/>
  <c r="O179" i="4"/>
  <c r="N179" i="4"/>
  <c r="M179" i="4"/>
  <c r="L179" i="4"/>
  <c r="P178" i="4"/>
  <c r="O178" i="4"/>
  <c r="N178" i="4"/>
  <c r="M178" i="4"/>
  <c r="L178" i="4"/>
  <c r="P177" i="4"/>
  <c r="O177" i="4"/>
  <c r="N177" i="4"/>
  <c r="M177" i="4"/>
  <c r="L177" i="4"/>
  <c r="P176" i="4"/>
  <c r="O176" i="4"/>
  <c r="N176" i="4"/>
  <c r="M176" i="4"/>
  <c r="L176" i="4"/>
  <c r="P175" i="4"/>
  <c r="O175" i="4"/>
  <c r="N175" i="4"/>
  <c r="M175" i="4"/>
  <c r="L175" i="4"/>
  <c r="P174" i="4"/>
  <c r="O174" i="4"/>
  <c r="N174" i="4"/>
  <c r="M174" i="4"/>
  <c r="L174" i="4"/>
  <c r="N172" i="4"/>
  <c r="M172" i="4"/>
  <c r="L172" i="4"/>
  <c r="N171" i="4"/>
  <c r="M171" i="4"/>
  <c r="L171" i="4"/>
  <c r="N170" i="4"/>
  <c r="M170" i="4"/>
  <c r="L170" i="4"/>
  <c r="N169" i="4"/>
  <c r="M169" i="4"/>
  <c r="L169" i="4"/>
  <c r="N168" i="4"/>
  <c r="M168" i="4"/>
  <c r="L168" i="4"/>
  <c r="N167" i="4"/>
  <c r="M167" i="4"/>
  <c r="L167" i="4"/>
  <c r="N166" i="4"/>
  <c r="M166" i="4"/>
  <c r="L166" i="4"/>
  <c r="N165" i="4"/>
  <c r="M165" i="4"/>
  <c r="L165" i="4"/>
  <c r="N164" i="4"/>
  <c r="M164" i="4"/>
  <c r="L164" i="4"/>
  <c r="N163" i="4"/>
  <c r="M163" i="4"/>
  <c r="L163" i="4"/>
  <c r="N162" i="4"/>
  <c r="M162" i="4"/>
  <c r="L162" i="4"/>
  <c r="N161" i="4"/>
  <c r="M161" i="4"/>
  <c r="L161" i="4"/>
  <c r="N160" i="4"/>
  <c r="M160" i="4"/>
  <c r="L160" i="4"/>
  <c r="P158" i="4"/>
  <c r="O158" i="4"/>
  <c r="N158" i="4"/>
  <c r="M158" i="4"/>
  <c r="L158" i="4"/>
  <c r="I158" i="4"/>
  <c r="H158" i="4"/>
  <c r="P157" i="4"/>
  <c r="O157" i="4"/>
  <c r="N157" i="4"/>
  <c r="M157" i="4"/>
  <c r="L157" i="4"/>
  <c r="I157" i="4"/>
  <c r="H157" i="4"/>
  <c r="P156" i="4"/>
  <c r="O156" i="4"/>
  <c r="N156" i="4"/>
  <c r="M156" i="4"/>
  <c r="L156" i="4"/>
  <c r="I156" i="4"/>
  <c r="H156" i="4"/>
  <c r="P155" i="4"/>
  <c r="O155" i="4"/>
  <c r="N155" i="4"/>
  <c r="M155" i="4"/>
  <c r="L155" i="4"/>
  <c r="I155" i="4"/>
  <c r="H155" i="4"/>
  <c r="P154" i="4"/>
  <c r="O154" i="4"/>
  <c r="N154" i="4"/>
  <c r="M154" i="4"/>
  <c r="L154" i="4"/>
  <c r="I154" i="4"/>
  <c r="H154" i="4"/>
  <c r="P153" i="4"/>
  <c r="O153" i="4"/>
  <c r="N153" i="4"/>
  <c r="M153" i="4"/>
  <c r="L153" i="4"/>
  <c r="I153" i="4"/>
  <c r="H153" i="4"/>
  <c r="P152" i="4"/>
  <c r="O152" i="4"/>
  <c r="N152" i="4"/>
  <c r="M152" i="4"/>
  <c r="L152" i="4"/>
  <c r="I152" i="4"/>
  <c r="H152" i="4"/>
  <c r="P151" i="4"/>
  <c r="O151" i="4"/>
  <c r="N151" i="4"/>
  <c r="M151" i="4"/>
  <c r="L151" i="4"/>
  <c r="I151" i="4"/>
  <c r="H151" i="4"/>
  <c r="P150" i="4"/>
  <c r="O150" i="4"/>
  <c r="N150" i="4"/>
  <c r="M150" i="4"/>
  <c r="L150" i="4"/>
  <c r="I150" i="4"/>
  <c r="H150" i="4"/>
  <c r="P149" i="4"/>
  <c r="O149" i="4"/>
  <c r="N149" i="4"/>
  <c r="M149" i="4"/>
  <c r="L149" i="4"/>
  <c r="I149" i="4"/>
  <c r="H149" i="4"/>
  <c r="P148" i="4"/>
  <c r="O148" i="4"/>
  <c r="N148" i="4"/>
  <c r="M148" i="4"/>
  <c r="L148" i="4"/>
  <c r="I148" i="4"/>
  <c r="H148" i="4"/>
  <c r="P147" i="4"/>
  <c r="O147" i="4"/>
  <c r="N147" i="4"/>
  <c r="M147" i="4"/>
  <c r="L147" i="4"/>
  <c r="I147" i="4"/>
  <c r="H147" i="4"/>
  <c r="P146" i="4"/>
  <c r="O146" i="4"/>
  <c r="N146" i="4"/>
  <c r="M146" i="4"/>
  <c r="L146" i="4"/>
  <c r="I146" i="4"/>
  <c r="H146" i="4"/>
  <c r="P145" i="4"/>
  <c r="O145" i="4"/>
  <c r="N145" i="4"/>
  <c r="M145" i="4"/>
  <c r="L145" i="4"/>
  <c r="I145" i="4"/>
  <c r="H145" i="4"/>
  <c r="P144" i="4"/>
  <c r="O144" i="4"/>
  <c r="N144" i="4"/>
  <c r="M144" i="4"/>
  <c r="L144" i="4"/>
  <c r="I144" i="4"/>
  <c r="H144" i="4"/>
  <c r="P143" i="4"/>
  <c r="O143" i="4"/>
  <c r="N143" i="4"/>
  <c r="M143" i="4"/>
  <c r="L143" i="4"/>
  <c r="I143" i="4"/>
  <c r="H143" i="4"/>
  <c r="P142" i="4"/>
  <c r="O142" i="4"/>
  <c r="N142" i="4"/>
  <c r="M142" i="4"/>
  <c r="L142" i="4"/>
  <c r="I142" i="4"/>
  <c r="H142" i="4"/>
  <c r="P141" i="4"/>
  <c r="O141" i="4"/>
  <c r="N141" i="4"/>
  <c r="M141" i="4"/>
  <c r="L141" i="4"/>
  <c r="I141" i="4"/>
  <c r="H141" i="4"/>
  <c r="P140" i="4"/>
  <c r="O140" i="4"/>
  <c r="N140" i="4"/>
  <c r="M140" i="4"/>
  <c r="L140" i="4"/>
  <c r="I140" i="4"/>
  <c r="H140" i="4"/>
  <c r="P139" i="4"/>
  <c r="O139" i="4"/>
  <c r="N139" i="4"/>
  <c r="M139" i="4"/>
  <c r="L139" i="4"/>
  <c r="I139" i="4"/>
  <c r="H139" i="4"/>
  <c r="P138" i="4"/>
  <c r="O138" i="4"/>
  <c r="N138" i="4"/>
  <c r="M138" i="4"/>
  <c r="L138" i="4"/>
  <c r="I138" i="4"/>
  <c r="H138" i="4"/>
  <c r="P137" i="4"/>
  <c r="O137" i="4"/>
  <c r="N137" i="4"/>
  <c r="M137" i="4"/>
  <c r="L137" i="4"/>
  <c r="I137" i="4"/>
  <c r="H137" i="4"/>
  <c r="P136" i="4"/>
  <c r="O136" i="4"/>
  <c r="N136" i="4"/>
  <c r="M136" i="4"/>
  <c r="L136" i="4"/>
  <c r="I136" i="4"/>
  <c r="H136" i="4"/>
  <c r="P135" i="4"/>
  <c r="O135" i="4"/>
  <c r="N135" i="4"/>
  <c r="M135" i="4"/>
  <c r="L135" i="4"/>
  <c r="I135" i="4"/>
  <c r="H135" i="4"/>
  <c r="P134" i="4"/>
  <c r="O134" i="4"/>
  <c r="N134" i="4"/>
  <c r="M134" i="4"/>
  <c r="L134" i="4"/>
  <c r="I134" i="4"/>
  <c r="H134" i="4"/>
  <c r="P133" i="4"/>
  <c r="O133" i="4"/>
  <c r="N133" i="4"/>
  <c r="M133" i="4"/>
  <c r="L133" i="4"/>
  <c r="I133" i="4"/>
  <c r="H133" i="4"/>
  <c r="P132" i="4"/>
  <c r="O132" i="4"/>
  <c r="N132" i="4"/>
  <c r="M132" i="4"/>
  <c r="L132" i="4"/>
  <c r="I132" i="4"/>
  <c r="H132" i="4"/>
  <c r="P131" i="4"/>
  <c r="O131" i="4"/>
  <c r="N131" i="4"/>
  <c r="M131" i="4"/>
  <c r="L131" i="4"/>
  <c r="I131" i="4"/>
  <c r="H131" i="4"/>
  <c r="P130" i="4"/>
  <c r="O130" i="4"/>
  <c r="N130" i="4"/>
  <c r="M130" i="4"/>
  <c r="L130" i="4"/>
  <c r="I130" i="4"/>
  <c r="H130" i="4"/>
  <c r="P129" i="4"/>
  <c r="O129" i="4"/>
  <c r="N129" i="4"/>
  <c r="M129" i="4"/>
  <c r="L129" i="4"/>
  <c r="I129" i="4"/>
  <c r="H129" i="4"/>
  <c r="P128" i="4"/>
  <c r="O128" i="4"/>
  <c r="N128" i="4"/>
  <c r="M128" i="4"/>
  <c r="L128" i="4"/>
  <c r="I128" i="4"/>
  <c r="H128" i="4"/>
  <c r="P127" i="4"/>
  <c r="O127" i="4"/>
  <c r="N127" i="4"/>
  <c r="M127" i="4"/>
  <c r="L127" i="4"/>
  <c r="I127" i="4"/>
  <c r="H127" i="4"/>
  <c r="P126" i="4"/>
  <c r="O126" i="4"/>
  <c r="N126" i="4"/>
  <c r="M126" i="4"/>
  <c r="L126" i="4"/>
  <c r="I126" i="4"/>
  <c r="H126" i="4"/>
  <c r="P125" i="4"/>
  <c r="O125" i="4"/>
  <c r="N125" i="4"/>
  <c r="M125" i="4"/>
  <c r="L125" i="4"/>
  <c r="I125" i="4"/>
  <c r="H125" i="4"/>
  <c r="P124" i="4"/>
  <c r="O124" i="4"/>
  <c r="N124" i="4"/>
  <c r="M124" i="4"/>
  <c r="L124" i="4"/>
  <c r="I124" i="4"/>
  <c r="H124" i="4"/>
  <c r="P123" i="4"/>
  <c r="O123" i="4"/>
  <c r="N123" i="4"/>
  <c r="M123" i="4"/>
  <c r="L123" i="4"/>
  <c r="I123" i="4"/>
  <c r="H123" i="4"/>
  <c r="P122" i="4"/>
  <c r="O122" i="4"/>
  <c r="N122" i="4"/>
  <c r="M122" i="4"/>
  <c r="L122" i="4"/>
  <c r="I122" i="4"/>
  <c r="H122" i="4"/>
  <c r="P121" i="4"/>
  <c r="O121" i="4"/>
  <c r="N121" i="4"/>
  <c r="M121" i="4"/>
  <c r="L121" i="4"/>
  <c r="I121" i="4"/>
  <c r="H121" i="4"/>
  <c r="P120" i="4"/>
  <c r="O120" i="4"/>
  <c r="N120" i="4"/>
  <c r="M120" i="4"/>
  <c r="L120" i="4"/>
  <c r="I120" i="4"/>
  <c r="H120" i="4"/>
  <c r="P119" i="4"/>
  <c r="O119" i="4"/>
  <c r="N119" i="4"/>
  <c r="M119" i="4"/>
  <c r="L119" i="4"/>
  <c r="I119" i="4"/>
  <c r="H119" i="4"/>
  <c r="P118" i="4"/>
  <c r="O118" i="4"/>
  <c r="N118" i="4"/>
  <c r="M118" i="4"/>
  <c r="L118" i="4"/>
  <c r="I118" i="4"/>
  <c r="H118" i="4"/>
  <c r="P117" i="4"/>
  <c r="O117" i="4"/>
  <c r="N117" i="4"/>
  <c r="M117" i="4"/>
  <c r="L117" i="4"/>
  <c r="I117" i="4"/>
  <c r="H117" i="4"/>
  <c r="P116" i="4"/>
  <c r="O116" i="4"/>
  <c r="N116" i="4"/>
  <c r="M116" i="4"/>
  <c r="L116" i="4"/>
  <c r="I116" i="4"/>
  <c r="H116" i="4"/>
  <c r="P115" i="4"/>
  <c r="O115" i="4"/>
  <c r="N115" i="4"/>
  <c r="M115" i="4"/>
  <c r="L115" i="4"/>
  <c r="I115" i="4"/>
  <c r="H115" i="4"/>
  <c r="P114" i="4"/>
  <c r="O114" i="4"/>
  <c r="N114" i="4"/>
  <c r="M114" i="4"/>
  <c r="L114" i="4"/>
  <c r="I114" i="4"/>
  <c r="H114" i="4"/>
  <c r="P113" i="4"/>
  <c r="O113" i="4"/>
  <c r="N113" i="4"/>
  <c r="M113" i="4"/>
  <c r="L113" i="4"/>
  <c r="I113" i="4"/>
  <c r="H113" i="4"/>
  <c r="P112" i="4"/>
  <c r="O112" i="4"/>
  <c r="N112" i="4"/>
  <c r="M112" i="4"/>
  <c r="L112" i="4"/>
  <c r="I112" i="4"/>
  <c r="H112" i="4"/>
  <c r="P111" i="4"/>
  <c r="O111" i="4"/>
  <c r="N111" i="4"/>
  <c r="M111" i="4"/>
  <c r="L111" i="4"/>
  <c r="I111" i="4"/>
  <c r="H111" i="4"/>
  <c r="P110" i="4"/>
  <c r="O110" i="4"/>
  <c r="N110" i="4"/>
  <c r="M110" i="4"/>
  <c r="L110" i="4"/>
  <c r="I110" i="4"/>
  <c r="H110" i="4"/>
  <c r="P109" i="4"/>
  <c r="O109" i="4"/>
  <c r="N109" i="4"/>
  <c r="M109" i="4"/>
  <c r="L109" i="4"/>
  <c r="I109" i="4"/>
  <c r="H109" i="4"/>
  <c r="P108" i="4"/>
  <c r="O108" i="4"/>
  <c r="N108" i="4"/>
  <c r="M108" i="4"/>
  <c r="L108" i="4"/>
  <c r="I108" i="4"/>
  <c r="H108" i="4"/>
  <c r="P107" i="4"/>
  <c r="O107" i="4"/>
  <c r="N107" i="4"/>
  <c r="M107" i="4"/>
  <c r="L107" i="4"/>
  <c r="I107" i="4"/>
  <c r="H107" i="4"/>
  <c r="P106" i="4"/>
  <c r="O106" i="4"/>
  <c r="N106" i="4"/>
  <c r="M106" i="4"/>
  <c r="L106" i="4"/>
  <c r="I106" i="4"/>
  <c r="H106" i="4"/>
  <c r="P105" i="4"/>
  <c r="O105" i="4"/>
  <c r="N105" i="4"/>
  <c r="M105" i="4"/>
  <c r="L105" i="4"/>
  <c r="I105" i="4"/>
  <c r="H105" i="4"/>
  <c r="P104" i="4"/>
  <c r="O104" i="4"/>
  <c r="N104" i="4"/>
  <c r="M104" i="4"/>
  <c r="L104" i="4"/>
  <c r="I104" i="4"/>
  <c r="H104" i="4"/>
  <c r="P103" i="4"/>
  <c r="O103" i="4"/>
  <c r="N103" i="4"/>
  <c r="M103" i="4"/>
  <c r="L103" i="4"/>
  <c r="I103" i="4"/>
  <c r="H103" i="4"/>
  <c r="P102" i="4"/>
  <c r="O102" i="4"/>
  <c r="N102" i="4"/>
  <c r="M102" i="4"/>
  <c r="L102" i="4"/>
  <c r="I102" i="4"/>
  <c r="H102" i="4"/>
  <c r="P101" i="4"/>
  <c r="O101" i="4"/>
  <c r="N101" i="4"/>
  <c r="M101" i="4"/>
  <c r="L101" i="4"/>
  <c r="I101" i="4"/>
  <c r="H101" i="4"/>
  <c r="P100" i="4"/>
  <c r="O100" i="4"/>
  <c r="N100" i="4"/>
  <c r="M100" i="4"/>
  <c r="L100" i="4"/>
  <c r="I100" i="4"/>
  <c r="H100" i="4"/>
  <c r="P99" i="4"/>
  <c r="O99" i="4"/>
  <c r="N99" i="4"/>
  <c r="M99" i="4"/>
  <c r="L99" i="4"/>
  <c r="I99" i="4"/>
  <c r="H99" i="4"/>
  <c r="P98" i="4"/>
  <c r="O98" i="4"/>
  <c r="N98" i="4"/>
  <c r="M98" i="4"/>
  <c r="L98" i="4"/>
  <c r="I98" i="4"/>
  <c r="H98" i="4"/>
  <c r="P97" i="4"/>
  <c r="O97" i="4"/>
  <c r="N97" i="4"/>
  <c r="M97" i="4"/>
  <c r="L97" i="4"/>
  <c r="I97" i="4"/>
  <c r="H97" i="4"/>
  <c r="P96" i="4"/>
  <c r="O96" i="4"/>
  <c r="N96" i="4"/>
  <c r="M96" i="4"/>
  <c r="L96" i="4"/>
  <c r="I96" i="4"/>
  <c r="H96" i="4"/>
  <c r="P95" i="4"/>
  <c r="O95" i="4"/>
  <c r="N95" i="4"/>
  <c r="M95" i="4"/>
  <c r="L95" i="4"/>
  <c r="I95" i="4"/>
  <c r="H95" i="4"/>
  <c r="P94" i="4"/>
  <c r="O94" i="4"/>
  <c r="N94" i="4"/>
  <c r="M94" i="4"/>
  <c r="L94" i="4"/>
  <c r="I94" i="4"/>
  <c r="H94" i="4"/>
  <c r="P93" i="4"/>
  <c r="O93" i="4"/>
  <c r="N93" i="4"/>
  <c r="M93" i="4"/>
  <c r="L93" i="4"/>
  <c r="I93" i="4"/>
  <c r="H93" i="4"/>
  <c r="P92" i="4"/>
  <c r="O92" i="4"/>
  <c r="N92" i="4"/>
  <c r="M92" i="4"/>
  <c r="L92" i="4"/>
  <c r="I92" i="4"/>
  <c r="H92" i="4"/>
  <c r="P91" i="4"/>
  <c r="O91" i="4"/>
  <c r="N91" i="4"/>
  <c r="M91" i="4"/>
  <c r="L91" i="4"/>
  <c r="I91" i="4"/>
  <c r="H91" i="4"/>
  <c r="P90" i="4"/>
  <c r="O90" i="4"/>
  <c r="N90" i="4"/>
  <c r="M90" i="4"/>
  <c r="L90" i="4"/>
  <c r="I90" i="4"/>
  <c r="H90" i="4"/>
  <c r="P89" i="4"/>
  <c r="O89" i="4"/>
  <c r="N89" i="4"/>
  <c r="M89" i="4"/>
  <c r="L89" i="4"/>
  <c r="I89" i="4"/>
  <c r="H89" i="4"/>
  <c r="P88" i="4"/>
  <c r="O88" i="4"/>
  <c r="N88" i="4"/>
  <c r="M88" i="4"/>
  <c r="L88" i="4"/>
  <c r="I88" i="4"/>
  <c r="H88" i="4"/>
  <c r="P87" i="4"/>
  <c r="O87" i="4"/>
  <c r="N87" i="4"/>
  <c r="M87" i="4"/>
  <c r="L87" i="4"/>
  <c r="I87" i="4"/>
  <c r="H87" i="4"/>
  <c r="P86" i="4"/>
  <c r="O86" i="4"/>
  <c r="N86" i="4"/>
  <c r="M86" i="4"/>
  <c r="L86" i="4"/>
  <c r="I86" i="4"/>
  <c r="H86" i="4"/>
  <c r="P85" i="4"/>
  <c r="O85" i="4"/>
  <c r="N85" i="4"/>
  <c r="M85" i="4"/>
  <c r="L85" i="4"/>
  <c r="I85" i="4"/>
  <c r="H85" i="4"/>
  <c r="P84" i="4"/>
  <c r="O84" i="4"/>
  <c r="N84" i="4"/>
  <c r="M84" i="4"/>
  <c r="L84" i="4"/>
  <c r="I84" i="4"/>
  <c r="H84" i="4"/>
  <c r="P83" i="4"/>
  <c r="O83" i="4"/>
  <c r="N83" i="4"/>
  <c r="M83" i="4"/>
  <c r="L83" i="4"/>
  <c r="I83" i="4"/>
  <c r="H83" i="4"/>
  <c r="P82" i="4"/>
  <c r="O82" i="4"/>
  <c r="N82" i="4"/>
  <c r="M82" i="4"/>
  <c r="L82" i="4"/>
  <c r="I82" i="4"/>
  <c r="H82" i="4"/>
  <c r="P81" i="4"/>
  <c r="O81" i="4"/>
  <c r="N81" i="4"/>
  <c r="M81" i="4"/>
  <c r="L81" i="4"/>
  <c r="I81" i="4"/>
  <c r="H81" i="4"/>
  <c r="P80" i="4"/>
  <c r="O80" i="4"/>
  <c r="N80" i="4"/>
  <c r="M80" i="4"/>
  <c r="L80" i="4"/>
  <c r="I80" i="4"/>
  <c r="H80" i="4"/>
  <c r="P79" i="4"/>
  <c r="O79" i="4"/>
  <c r="N79" i="4"/>
  <c r="M79" i="4"/>
  <c r="L79" i="4"/>
  <c r="I79" i="4"/>
  <c r="H79" i="4"/>
  <c r="P78" i="4"/>
  <c r="O78" i="4"/>
  <c r="N78" i="4"/>
  <c r="M78" i="4"/>
  <c r="L78" i="4"/>
  <c r="I78" i="4"/>
  <c r="H78" i="4"/>
  <c r="P77" i="4"/>
  <c r="O77" i="4"/>
  <c r="N77" i="4"/>
  <c r="M77" i="4"/>
  <c r="L77" i="4"/>
  <c r="I77" i="4"/>
  <c r="H77" i="4"/>
  <c r="P76" i="4"/>
  <c r="O76" i="4"/>
  <c r="N76" i="4"/>
  <c r="M76" i="4"/>
  <c r="L76" i="4"/>
  <c r="I76" i="4"/>
  <c r="H76" i="4"/>
  <c r="P75" i="4"/>
  <c r="O75" i="4"/>
  <c r="N75" i="4"/>
  <c r="M75" i="4"/>
  <c r="L75" i="4"/>
  <c r="I75" i="4"/>
  <c r="H75" i="4"/>
  <c r="P74" i="4"/>
  <c r="O74" i="4"/>
  <c r="N74" i="4"/>
  <c r="M74" i="4"/>
  <c r="L74" i="4"/>
  <c r="I74" i="4"/>
  <c r="H74" i="4"/>
  <c r="P73" i="4"/>
  <c r="O73" i="4"/>
  <c r="N73" i="4"/>
  <c r="M73" i="4"/>
  <c r="L73" i="4"/>
  <c r="I73" i="4"/>
  <c r="H73" i="4"/>
  <c r="P72" i="4"/>
  <c r="O72" i="4"/>
  <c r="N72" i="4"/>
  <c r="M72" i="4"/>
  <c r="L72" i="4"/>
  <c r="I72" i="4"/>
  <c r="H72" i="4"/>
  <c r="P71" i="4"/>
  <c r="O71" i="4"/>
  <c r="N71" i="4"/>
  <c r="M71" i="4"/>
  <c r="L71" i="4"/>
  <c r="I71" i="4"/>
  <c r="H71" i="4"/>
  <c r="P70" i="4"/>
  <c r="O70" i="4"/>
  <c r="N70" i="4"/>
  <c r="M70" i="4"/>
  <c r="L70" i="4"/>
  <c r="I70" i="4"/>
  <c r="H70" i="4"/>
  <c r="P69" i="4"/>
  <c r="O69" i="4"/>
  <c r="N69" i="4"/>
  <c r="M69" i="4"/>
  <c r="L69" i="4"/>
  <c r="I69" i="4"/>
  <c r="H69" i="4"/>
  <c r="P68" i="4"/>
  <c r="O68" i="4"/>
  <c r="N68" i="4"/>
  <c r="M68" i="4"/>
  <c r="L68" i="4"/>
  <c r="I68" i="4"/>
  <c r="H68" i="4"/>
  <c r="P67" i="4"/>
  <c r="O67" i="4"/>
  <c r="N67" i="4"/>
  <c r="M67" i="4"/>
  <c r="L67" i="4"/>
  <c r="I67" i="4"/>
  <c r="H67" i="4"/>
  <c r="P66" i="4"/>
  <c r="O66" i="4"/>
  <c r="N66" i="4"/>
  <c r="M66" i="4"/>
  <c r="L66" i="4"/>
  <c r="I66" i="4"/>
  <c r="H66" i="4"/>
  <c r="P65" i="4"/>
  <c r="O65" i="4"/>
  <c r="N65" i="4"/>
  <c r="M65" i="4"/>
  <c r="L65" i="4"/>
  <c r="I65" i="4"/>
  <c r="H65" i="4"/>
  <c r="P64" i="4"/>
  <c r="O64" i="4"/>
  <c r="N64" i="4"/>
  <c r="M64" i="4"/>
  <c r="L64" i="4"/>
  <c r="I64" i="4"/>
  <c r="H64" i="4"/>
  <c r="P63" i="4"/>
  <c r="O63" i="4"/>
  <c r="N63" i="4"/>
  <c r="M63" i="4"/>
  <c r="L63" i="4"/>
  <c r="I63" i="4"/>
  <c r="H63" i="4"/>
  <c r="P62" i="4"/>
  <c r="O62" i="4"/>
  <c r="N62" i="4"/>
  <c r="M62" i="4"/>
  <c r="L62" i="4"/>
  <c r="I62" i="4"/>
  <c r="H62" i="4"/>
  <c r="P61" i="4"/>
  <c r="O61" i="4"/>
  <c r="N61" i="4"/>
  <c r="M61" i="4"/>
  <c r="L61" i="4"/>
  <c r="I61" i="4"/>
  <c r="H61" i="4"/>
  <c r="P60" i="4"/>
  <c r="O60" i="4"/>
  <c r="N60" i="4"/>
  <c r="M60" i="4"/>
  <c r="L60" i="4"/>
  <c r="I60" i="4"/>
  <c r="H60" i="4"/>
  <c r="P59" i="4"/>
  <c r="O59" i="4"/>
  <c r="N59" i="4"/>
  <c r="M59" i="4"/>
  <c r="L59" i="4"/>
  <c r="I59" i="4"/>
  <c r="H59" i="4"/>
  <c r="P58" i="4"/>
  <c r="O58" i="4"/>
  <c r="N58" i="4"/>
  <c r="M58" i="4"/>
  <c r="L58" i="4"/>
  <c r="I58" i="4"/>
  <c r="H58" i="4"/>
  <c r="P57" i="4"/>
  <c r="O57" i="4"/>
  <c r="N57" i="4"/>
  <c r="M57" i="4"/>
  <c r="L57" i="4"/>
  <c r="I57" i="4"/>
  <c r="H57" i="4"/>
  <c r="P56" i="4"/>
  <c r="O56" i="4"/>
  <c r="N56" i="4"/>
  <c r="M56" i="4"/>
  <c r="L56" i="4"/>
  <c r="I56" i="4"/>
  <c r="H56" i="4"/>
  <c r="P55" i="4"/>
  <c r="O55" i="4"/>
  <c r="N55" i="4"/>
  <c r="M55" i="4"/>
  <c r="L55" i="4"/>
  <c r="I55" i="4"/>
  <c r="H55" i="4"/>
  <c r="P54" i="4"/>
  <c r="O54" i="4"/>
  <c r="N54" i="4"/>
  <c r="M54" i="4"/>
  <c r="L54" i="4"/>
  <c r="I54" i="4"/>
  <c r="H54" i="4"/>
  <c r="P53" i="4"/>
  <c r="O53" i="4"/>
  <c r="N53" i="4"/>
  <c r="M53" i="4"/>
  <c r="L53" i="4"/>
  <c r="I53" i="4"/>
  <c r="H53" i="4"/>
  <c r="P52" i="4"/>
  <c r="O52" i="4"/>
  <c r="N52" i="4"/>
  <c r="M52" i="4"/>
  <c r="L52" i="4"/>
  <c r="I52" i="4"/>
  <c r="H52" i="4"/>
  <c r="P51" i="4"/>
  <c r="O51" i="4"/>
  <c r="N51" i="4"/>
  <c r="M51" i="4"/>
  <c r="L51" i="4"/>
  <c r="I51" i="4"/>
  <c r="H51" i="4"/>
  <c r="P50" i="4"/>
  <c r="O50" i="4"/>
  <c r="N50" i="4"/>
  <c r="M50" i="4"/>
  <c r="L50" i="4"/>
  <c r="I50" i="4"/>
  <c r="H50" i="4"/>
  <c r="P49" i="4"/>
  <c r="O49" i="4"/>
  <c r="N49" i="4"/>
  <c r="M49" i="4"/>
  <c r="L49" i="4"/>
  <c r="I49" i="4"/>
  <c r="H49" i="4"/>
  <c r="P48" i="4"/>
  <c r="O48" i="4"/>
  <c r="N48" i="4"/>
  <c r="M48" i="4"/>
  <c r="L48" i="4"/>
  <c r="I48" i="4"/>
  <c r="H48" i="4"/>
  <c r="P47" i="4"/>
  <c r="O47" i="4"/>
  <c r="N47" i="4"/>
  <c r="M47" i="4"/>
  <c r="L47" i="4"/>
  <c r="I47" i="4"/>
  <c r="H47" i="4"/>
  <c r="P46" i="4"/>
  <c r="O46" i="4"/>
  <c r="N46" i="4"/>
  <c r="M46" i="4"/>
  <c r="L46" i="4"/>
  <c r="I46" i="4"/>
  <c r="H46" i="4"/>
  <c r="P45" i="4"/>
  <c r="O45" i="4"/>
  <c r="N45" i="4"/>
  <c r="M45" i="4"/>
  <c r="L45" i="4"/>
  <c r="I45" i="4"/>
  <c r="H45" i="4"/>
  <c r="P44" i="4"/>
  <c r="O44" i="4"/>
  <c r="N44" i="4"/>
  <c r="M44" i="4"/>
  <c r="L44" i="4"/>
  <c r="I44" i="4"/>
  <c r="H44" i="4"/>
  <c r="P43" i="4"/>
  <c r="O43" i="4"/>
  <c r="N43" i="4"/>
  <c r="M43" i="4"/>
  <c r="L43" i="4"/>
  <c r="I43" i="4"/>
  <c r="H43" i="4"/>
  <c r="P42" i="4"/>
  <c r="O42" i="4"/>
  <c r="N42" i="4"/>
  <c r="M42" i="4"/>
  <c r="L42" i="4"/>
  <c r="I42" i="4"/>
  <c r="H42" i="4"/>
  <c r="P41" i="4"/>
  <c r="O41" i="4"/>
  <c r="N41" i="4"/>
  <c r="M41" i="4"/>
  <c r="L41" i="4"/>
  <c r="I41" i="4"/>
  <c r="H41" i="4"/>
  <c r="P40" i="4"/>
  <c r="O40" i="4"/>
  <c r="N40" i="4"/>
  <c r="M40" i="4"/>
  <c r="L40" i="4"/>
  <c r="I40" i="4"/>
  <c r="H40" i="4"/>
  <c r="P39" i="4"/>
  <c r="O39" i="4"/>
  <c r="N39" i="4"/>
  <c r="M39" i="4"/>
  <c r="L39" i="4"/>
  <c r="I39" i="4"/>
  <c r="H39" i="4"/>
  <c r="P38" i="4"/>
  <c r="O38" i="4"/>
  <c r="N38" i="4"/>
  <c r="M38" i="4"/>
  <c r="L38" i="4"/>
  <c r="I38" i="4"/>
  <c r="H38" i="4"/>
  <c r="P37" i="4"/>
  <c r="O37" i="4"/>
  <c r="N37" i="4"/>
  <c r="M37" i="4"/>
  <c r="L37" i="4"/>
  <c r="I37" i="4"/>
  <c r="H37" i="4"/>
  <c r="P36" i="4"/>
  <c r="O36" i="4"/>
  <c r="N36" i="4"/>
  <c r="M36" i="4"/>
  <c r="L36" i="4"/>
  <c r="I36" i="4"/>
  <c r="H36" i="4"/>
  <c r="P35" i="4"/>
  <c r="O35" i="4"/>
  <c r="N35" i="4"/>
  <c r="M35" i="4"/>
  <c r="L35" i="4"/>
  <c r="I35" i="4"/>
  <c r="H35" i="4"/>
  <c r="P34" i="4"/>
  <c r="O34" i="4"/>
  <c r="N34" i="4"/>
  <c r="M34" i="4"/>
  <c r="L34" i="4"/>
  <c r="I34" i="4"/>
  <c r="H34" i="4"/>
  <c r="P33" i="4"/>
  <c r="O33" i="4"/>
  <c r="N33" i="4"/>
  <c r="M33" i="4"/>
  <c r="L33" i="4"/>
  <c r="I33" i="4"/>
  <c r="H33" i="4"/>
  <c r="P32" i="4"/>
  <c r="O32" i="4"/>
  <c r="N32" i="4"/>
  <c r="M32" i="4"/>
  <c r="L32" i="4"/>
  <c r="I32" i="4"/>
  <c r="H32" i="4"/>
  <c r="P31" i="4"/>
  <c r="O31" i="4"/>
  <c r="N31" i="4"/>
  <c r="M31" i="4"/>
  <c r="L31" i="4"/>
  <c r="I31" i="4"/>
  <c r="H31" i="4"/>
  <c r="P30" i="4"/>
  <c r="O30" i="4"/>
  <c r="N30" i="4"/>
  <c r="M30" i="4"/>
  <c r="L30" i="4"/>
  <c r="I30" i="4"/>
  <c r="H30" i="4"/>
  <c r="P29" i="4"/>
  <c r="O29" i="4"/>
  <c r="N29" i="4"/>
  <c r="M29" i="4"/>
  <c r="L29" i="4"/>
  <c r="I29" i="4"/>
  <c r="H29" i="4"/>
  <c r="P27" i="4"/>
  <c r="O27" i="4"/>
  <c r="N27" i="4"/>
  <c r="M27" i="4"/>
  <c r="L27" i="4"/>
  <c r="H27" i="4"/>
  <c r="P26" i="4"/>
  <c r="O26" i="4"/>
  <c r="N26" i="4"/>
  <c r="M26" i="4"/>
  <c r="L26" i="4"/>
  <c r="H26" i="4"/>
  <c r="P24" i="4"/>
  <c r="O24" i="4"/>
  <c r="N24" i="4"/>
  <c r="M24" i="4"/>
  <c r="L24" i="4"/>
  <c r="P23" i="4"/>
  <c r="O23" i="4"/>
  <c r="N23" i="4"/>
  <c r="M23" i="4"/>
  <c r="L23" i="4"/>
  <c r="P22" i="4"/>
  <c r="O22" i="4"/>
  <c r="N22" i="4"/>
  <c r="M22" i="4"/>
  <c r="L22" i="4"/>
  <c r="P21" i="4"/>
  <c r="O21" i="4"/>
  <c r="N21" i="4"/>
  <c r="M21" i="4"/>
  <c r="L21" i="4"/>
  <c r="P20" i="4"/>
  <c r="O20" i="4"/>
  <c r="N20" i="4"/>
  <c r="M20" i="4"/>
  <c r="L20" i="4"/>
  <c r="P19" i="4"/>
  <c r="O19" i="4"/>
  <c r="N19" i="4"/>
  <c r="M19" i="4"/>
  <c r="L19" i="4"/>
  <c r="P18" i="4"/>
  <c r="O18" i="4"/>
  <c r="N18" i="4"/>
  <c r="M18" i="4"/>
  <c r="L18" i="4"/>
  <c r="P17" i="4"/>
  <c r="O17" i="4"/>
  <c r="N17" i="4"/>
  <c r="M17" i="4"/>
  <c r="L17" i="4"/>
  <c r="P16" i="4"/>
  <c r="O16" i="4"/>
  <c r="N16" i="4"/>
  <c r="M16" i="4"/>
  <c r="L16" i="4"/>
  <c r="P15" i="4"/>
  <c r="O15" i="4"/>
  <c r="N15" i="4"/>
  <c r="M15" i="4"/>
  <c r="L15" i="4"/>
  <c r="P14" i="4"/>
  <c r="O14" i="4"/>
  <c r="N14" i="4"/>
  <c r="M14" i="4"/>
  <c r="L14" i="4"/>
  <c r="P13" i="4"/>
  <c r="O13" i="4"/>
  <c r="N13" i="4"/>
  <c r="M13" i="4"/>
  <c r="L13" i="4"/>
  <c r="P12" i="4"/>
  <c r="O12" i="4"/>
  <c r="N12" i="4"/>
  <c r="M12" i="4"/>
  <c r="L12" i="4"/>
  <c r="P11" i="4"/>
  <c r="O11" i="4"/>
  <c r="N11" i="4"/>
  <c r="M11" i="4"/>
  <c r="L11" i="4"/>
  <c r="P10" i="4"/>
  <c r="O10" i="4"/>
  <c r="N10" i="4"/>
  <c r="M10" i="4"/>
  <c r="L10" i="4"/>
  <c r="P9" i="4"/>
  <c r="O9" i="4"/>
  <c r="N9" i="4"/>
  <c r="M9" i="4"/>
  <c r="L9" i="4"/>
  <c r="P8" i="4"/>
  <c r="O8" i="4"/>
  <c r="N8" i="4"/>
  <c r="M8" i="4"/>
  <c r="L8" i="4"/>
  <c r="P7" i="4"/>
  <c r="O7" i="4"/>
  <c r="N7" i="4"/>
  <c r="M7" i="4"/>
  <c r="L7" i="4"/>
  <c r="P6" i="4"/>
  <c r="O6" i="4"/>
  <c r="N6" i="4"/>
  <c r="M6" i="4"/>
  <c r="L6" i="4"/>
  <c r="P5" i="4"/>
  <c r="O5" i="4"/>
  <c r="N5" i="4"/>
  <c r="M5" i="4"/>
  <c r="L5" i="4"/>
  <c r="P4" i="4"/>
  <c r="O4" i="4"/>
  <c r="N4" i="4"/>
  <c r="M4" i="4"/>
  <c r="L4" i="4"/>
  <c r="P3" i="4"/>
  <c r="O3" i="4"/>
  <c r="N3" i="4"/>
  <c r="M3" i="4"/>
  <c r="L3" i="4"/>
  <c r="P2" i="4"/>
  <c r="O2" i="4"/>
  <c r="N2" i="4"/>
  <c r="M2" i="4"/>
  <c r="L2" i="4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G31" i="3"/>
  <c r="F31" i="3"/>
  <c r="E31" i="3"/>
  <c r="D31" i="3"/>
  <c r="C31" i="3"/>
  <c r="B31" i="3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G30" i="2"/>
  <c r="F30" i="2"/>
  <c r="E30" i="2"/>
  <c r="D30" i="2"/>
  <c r="C30" i="2"/>
  <c r="B30" i="2"/>
  <c r="I69" i="1"/>
  <c r="H69" i="1"/>
  <c r="G69" i="1"/>
  <c r="I40" i="1"/>
  <c r="H40" i="1"/>
  <c r="G40" i="1"/>
  <c r="I39" i="1"/>
  <c r="H39" i="1"/>
  <c r="G39" i="1"/>
  <c r="I38" i="1"/>
  <c r="H38" i="1"/>
  <c r="G38" i="1"/>
  <c r="I36" i="1"/>
  <c r="H36" i="1"/>
  <c r="G36" i="1"/>
  <c r="I35" i="1"/>
  <c r="H35" i="1"/>
  <c r="G35" i="1"/>
  <c r="I34" i="1"/>
  <c r="H34" i="1"/>
  <c r="G34" i="1"/>
  <c r="I33" i="1"/>
  <c r="H33" i="1"/>
  <c r="G33" i="1"/>
  <c r="I32" i="1"/>
  <c r="H32" i="1"/>
  <c r="G32" i="1"/>
  <c r="I31" i="1"/>
  <c r="H31" i="1"/>
  <c r="G31" i="1"/>
  <c r="I30" i="1"/>
  <c r="H30" i="1"/>
  <c r="G30" i="1"/>
  <c r="I29" i="1"/>
  <c r="H29" i="1"/>
  <c r="G29" i="1"/>
  <c r="I28" i="1"/>
  <c r="H28" i="1"/>
  <c r="G28" i="1"/>
  <c r="I27" i="1"/>
  <c r="H27" i="1"/>
  <c r="G27" i="1"/>
  <c r="I26" i="1"/>
  <c r="H26" i="1"/>
  <c r="G26" i="1"/>
  <c r="I25" i="1"/>
  <c r="H25" i="1"/>
  <c r="G25" i="1"/>
  <c r="I24" i="1"/>
  <c r="H24" i="1"/>
  <c r="G24" i="1"/>
  <c r="I23" i="1"/>
  <c r="H23" i="1"/>
  <c r="G23" i="1"/>
  <c r="I22" i="1"/>
  <c r="H22" i="1"/>
  <c r="G22" i="1"/>
  <c r="I21" i="1"/>
  <c r="H21" i="1"/>
  <c r="G21" i="1"/>
  <c r="I20" i="1"/>
  <c r="H20" i="1"/>
  <c r="G20" i="1"/>
  <c r="I19" i="1"/>
  <c r="H19" i="1"/>
  <c r="G19" i="1"/>
  <c r="I18" i="1"/>
  <c r="H18" i="1"/>
  <c r="G18" i="1"/>
  <c r="I17" i="1"/>
  <c r="H17" i="1"/>
  <c r="G17" i="1"/>
  <c r="I16" i="1"/>
  <c r="H16" i="1"/>
  <c r="G16" i="1"/>
  <c r="I15" i="1"/>
  <c r="H15" i="1"/>
  <c r="G15" i="1"/>
  <c r="I14" i="1"/>
  <c r="H14" i="1"/>
  <c r="G14" i="1"/>
  <c r="I13" i="1"/>
  <c r="H13" i="1"/>
  <c r="G13" i="1"/>
  <c r="I12" i="1"/>
  <c r="H12" i="1"/>
  <c r="G12" i="1"/>
  <c r="I11" i="1"/>
  <c r="H11" i="1"/>
  <c r="G11" i="1"/>
  <c r="I8" i="1"/>
  <c r="H8" i="1"/>
  <c r="G8" i="1"/>
  <c r="I7" i="1"/>
  <c r="H7" i="1"/>
  <c r="G7" i="1"/>
  <c r="I6" i="1"/>
  <c r="H6" i="1"/>
  <c r="G6" i="1"/>
  <c r="I5" i="1"/>
  <c r="H5" i="1"/>
  <c r="G5" i="1"/>
  <c r="I4" i="1"/>
  <c r="H4" i="1"/>
  <c r="G4" i="1"/>
  <c r="T3" i="1"/>
  <c r="J3" i="1"/>
  <c r="I3" i="1"/>
  <c r="H3" i="1"/>
  <c r="G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6000000}">
      <text>
        <r>
          <rPr>
            <sz val="10"/>
            <color rgb="FF000000"/>
            <rFont val="Arial"/>
            <scheme val="minor"/>
          </rPr>
          <t>These will be the keys sent in the "values" part of the message to the platform
	-Joel Aumedes Serrano</t>
        </r>
      </text>
    </comment>
    <comment ref="C11" authorId="0" shapeId="0" xr:uid="{00000000-0006-0000-0000-000007000000}">
      <text>
        <r>
          <rPr>
            <sz val="10"/>
            <color rgb="FF000000"/>
            <rFont val="Arial"/>
            <scheme val="minor"/>
          </rPr>
          <t>@mlocascio@uniss.it 
Ciao Mauro, qui ti chiedo di assegnare i nomi dei dispositivi registrati.
	-Francesco Martini
@francesco.martini@abinsula.com ok però non sono abilitato a scrivere nel foglio excell
	-Mauro Lo Cascio
_Contrassegnato come risolto_
Ok scusa ero convinto di aver configurato bene. Prova adesso e dimmi se riesci
	-Francesco Martini
_Riaperto_
	-Francesco Martini</t>
        </r>
      </text>
    </comment>
    <comment ref="K46" authorId="0" shapeId="0" xr:uid="{00000000-0006-0000-0000-000001000000}">
      <text>
        <r>
          <rPr>
            <sz val="10"/>
            <color rgb="FF000000"/>
            <rFont val="Arial"/>
            <scheme val="minor"/>
          </rPr>
          <t>OLD 2CF7F1C052300177
	-Alessandro Casula</t>
        </r>
      </text>
    </comment>
    <comment ref="C75" authorId="0" shapeId="0" xr:uid="{00000000-0006-0000-0000-000005000000}">
      <text>
        <r>
          <rPr>
            <sz val="10"/>
            <color rgb="FF000000"/>
            <rFont val="Arial"/>
            <scheme val="minor"/>
          </rPr>
          <t>In the emails was GPRS but in D3.2 they reported as LoRA
	-Francesco Martini</t>
        </r>
      </text>
    </comment>
    <comment ref="AB75" authorId="0" shapeId="0" xr:uid="{00000000-0006-0000-0000-000002000000}">
      <text>
        <r>
          <rPr>
            <sz val="10"/>
            <color rgb="FF000000"/>
            <rFont val="Arial"/>
            <scheme val="minor"/>
          </rPr>
          <t>As reported in datasheet. To be confirmed
	-Francesco Martini</t>
        </r>
      </text>
    </comment>
    <comment ref="AB76" authorId="0" shapeId="0" xr:uid="{00000000-0006-0000-0000-000003000000}">
      <text>
        <r>
          <rPr>
            <sz val="10"/>
            <color rgb="FF000000"/>
            <rFont val="Arial"/>
            <scheme val="minor"/>
          </rPr>
          <t>As reported in datasheet. To be confirmed
	-Francesco Martini</t>
        </r>
      </text>
    </comment>
    <comment ref="C77" authorId="0" shapeId="0" xr:uid="{00000000-0006-0000-0000-000004000000}">
      <text>
        <r>
          <rPr>
            <sz val="10"/>
            <color rgb="FF000000"/>
            <rFont val="Arial"/>
            <scheme val="minor"/>
          </rPr>
          <t>Not listed in D3.2 but reported here by lebanon site
	-Francesco Martini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9" authorId="0" shapeId="0" xr:uid="{00000000-0006-0000-0300-000001000000}">
      <text>
        <r>
          <rPr>
            <sz val="10"/>
            <color rgb="FF000000"/>
            <rFont val="Arial"/>
            <scheme val="minor"/>
          </rPr>
          <t>Sensors from I001 to I010 already implemented but currently not positioned in the fields. Waiting for the final coordinates from UNISS
	-Francesco Martini
From 1 to 8 correctly positioned in the field
	-Francesco Martini</t>
        </r>
      </text>
    </comment>
  </commentList>
</comments>
</file>

<file path=xl/sharedStrings.xml><?xml version="1.0" encoding="utf-8"?>
<sst xmlns="http://schemas.openxmlformats.org/spreadsheetml/2006/main" count="7977" uniqueCount="965">
  <si>
    <t>LoRaWAN and test codes</t>
  </si>
  <si>
    <t>All Other connection Reference</t>
  </si>
  <si>
    <t>ID</t>
  </si>
  <si>
    <t>PILOT REF</t>
  </si>
  <si>
    <t>Name</t>
  </si>
  <si>
    <t>Lat</t>
  </si>
  <si>
    <t>Lon</t>
  </si>
  <si>
    <t>Device Type</t>
  </si>
  <si>
    <t>FUNCTION</t>
  </si>
  <si>
    <t>BRAND</t>
  </si>
  <si>
    <t>MODEL</t>
  </si>
  <si>
    <t>DEVICE EUI</t>
  </si>
  <si>
    <t>APP EUI 
(SN for Gateway)</t>
  </si>
  <si>
    <t>APP KEY</t>
  </si>
  <si>
    <t>Device Address</t>
  </si>
  <si>
    <t>AppSKey</t>
  </si>
  <si>
    <t>NwkSKey</t>
  </si>
  <si>
    <t>TB token</t>
  </si>
  <si>
    <t>Communication check</t>
  </si>
  <si>
    <t>Decoding check</t>
  </si>
  <si>
    <t>EndPoint</t>
  </si>
  <si>
    <t>EndPoint Type</t>
  </si>
  <si>
    <t>UserName</t>
  </si>
  <si>
    <t>Password</t>
  </si>
  <si>
    <t>Device ID</t>
  </si>
  <si>
    <t>MEASUREMENTS</t>
  </si>
  <si>
    <t>Notes</t>
  </si>
  <si>
    <t>@dropdown</t>
  </si>
  <si>
    <t>DGW01</t>
  </si>
  <si>
    <t>Demo</t>
  </si>
  <si>
    <t>RAK</t>
  </si>
  <si>
    <t>40.726754</t>
  </si>
  <si>
    <t>8.564322</t>
  </si>
  <si>
    <t>GT1</t>
  </si>
  <si>
    <t>AC1F09FFFE091FBD</t>
  </si>
  <si>
    <t>9181000G6020915016</t>
  </si>
  <si>
    <t>D001</t>
  </si>
  <si>
    <t>SenseCAPS2103</t>
  </si>
  <si>
    <t>ST01</t>
  </si>
  <si>
    <t>2cf7f1c043500183</t>
  </si>
  <si>
    <t>2E3F1EFBCD63BC37</t>
  </si>
  <si>
    <t>9FB06416DFFCCE752077C9BC030FDF50</t>
  </si>
  <si>
    <t>isvHssKmSlqaKqlOF2E0</t>
  </si>
  <si>
    <t>ok</t>
  </si>
  <si>
    <t>Air temperature, Air humidity, CO2 concentration</t>
  </si>
  <si>
    <t>D002</t>
  </si>
  <si>
    <t>SenseCAPS868</t>
  </si>
  <si>
    <t>ST02</t>
  </si>
  <si>
    <t>2CF7F12031500017</t>
  </si>
  <si>
    <t>8000000000000009</t>
  </si>
  <si>
    <t>DE914F209AC8A89E4BBB494EDA525441</t>
  </si>
  <si>
    <t>lsp4QbMlO7zaYLzZ2BA1</t>
  </si>
  <si>
    <t>Soil moisture &amp; Temperature</t>
  </si>
  <si>
    <t>D003</t>
  </si>
  <si>
    <t>LoRa_Controller-UC511</t>
  </si>
  <si>
    <t>ST03</t>
  </si>
  <si>
    <t>24e124414b106165</t>
  </si>
  <si>
    <t>24E124C0002A0001</t>
  </si>
  <si>
    <t>5572404C696E6B4C6F52613230313823</t>
  </si>
  <si>
    <t>ORwcidwrRPfXNq3n6NJZ</t>
  </si>
  <si>
    <t>2 x Valve state &amp; Controll</t>
  </si>
  <si>
    <t>D004</t>
  </si>
  <si>
    <t>SenProbe-3A</t>
  </si>
  <si>
    <t>ST04</t>
  </si>
  <si>
    <t>AC1F09FFFE04E43F</t>
  </si>
  <si>
    <t>D34B2F28A10C8DB0</t>
  </si>
  <si>
    <t>D927A47631ECF07A09A2132A66212379</t>
  </si>
  <si>
    <t>NXUY6jsih4vggsxt2APd</t>
  </si>
  <si>
    <t>6X Soil moisture &amp; Soil Temperature + Air Temperature</t>
  </si>
  <si>
    <t>D005</t>
  </si>
  <si>
    <t>SenPulse-3V</t>
  </si>
  <si>
    <t>ST05</t>
  </si>
  <si>
    <t>3738383962376102</t>
  </si>
  <si>
    <t>0101010101010101</t>
  </si>
  <si>
    <t>2B7E151628AED2A6ABF7158809CF4F3C</t>
  </si>
  <si>
    <t>YHYEONmduF3tDNFyBttK</t>
  </si>
  <si>
    <t>Pulse Totaliser</t>
  </si>
  <si>
    <t>PILOT - ITALY</t>
  </si>
  <si>
    <t>IGW01</t>
  </si>
  <si>
    <t>ITALY</t>
  </si>
  <si>
    <t>RAK-UNISS-1</t>
  </si>
  <si>
    <t>AC1F09FFFE0BB7A7</t>
  </si>
  <si>
    <t>918100QN6030313014</t>
  </si>
  <si>
    <t>IGW02</t>
  </si>
  <si>
    <t>RAK-UNISS-2</t>
  </si>
  <si>
    <t>AC1F09FFFE0BB7A9</t>
  </si>
  <si>
    <t>918100QN6030313015</t>
  </si>
  <si>
    <t>I001</t>
  </si>
  <si>
    <t>AC1F09FFFE04E48A</t>
  </si>
  <si>
    <t>I002</t>
  </si>
  <si>
    <t>AC1F09FFFE04E487</t>
  </si>
  <si>
    <t>I003</t>
  </si>
  <si>
    <t>AC1F09FFFE04E4C1</t>
  </si>
  <si>
    <t>I004</t>
  </si>
  <si>
    <t>AC1F09FFFE04E4B1</t>
  </si>
  <si>
    <t>I005</t>
  </si>
  <si>
    <t>AC1F09FFFE04DB8D</t>
  </si>
  <si>
    <t>I006</t>
  </si>
  <si>
    <t>AC1F09FFFE04E488</t>
  </si>
  <si>
    <t>I007</t>
  </si>
  <si>
    <t>AC1F09FFFE04E284</t>
  </si>
  <si>
    <t>I008</t>
  </si>
  <si>
    <t>AC1F09FFFE04E2CB</t>
  </si>
  <si>
    <t>I009</t>
  </si>
  <si>
    <t>AC1F09FFFE04E240</t>
  </si>
  <si>
    <t>I010</t>
  </si>
  <si>
    <t>AC1F09FFFE04E312</t>
  </si>
  <si>
    <t>I011</t>
  </si>
  <si>
    <t>ST06</t>
  </si>
  <si>
    <t>78D800B023960378</t>
  </si>
  <si>
    <t>DAE982C90EE7BDA3CB86210F349A4D8C</t>
  </si>
  <si>
    <t>Water flow</t>
  </si>
  <si>
    <t>I012</t>
  </si>
  <si>
    <t>78D800B023960379</t>
  </si>
  <si>
    <t>AF08096331115DE4E72269A3FF27C6FE</t>
  </si>
  <si>
    <t>I013</t>
  </si>
  <si>
    <t>78D800B023960380</t>
  </si>
  <si>
    <t>31EA10B723E4BB3C4C54E29863CA219F</t>
  </si>
  <si>
    <t>I014</t>
  </si>
  <si>
    <t>78D800B023960381</t>
  </si>
  <si>
    <t>722D42E0C4946986E1B0386AE648AC5E</t>
  </si>
  <si>
    <t>I015</t>
  </si>
  <si>
    <t>78D800B023960382</t>
  </si>
  <si>
    <t>294F8ED6861B691D3CD623E0FB9B79C5</t>
  </si>
  <si>
    <t>I016</t>
  </si>
  <si>
    <t>78D800B023960383</t>
  </si>
  <si>
    <t>5F7A39E4C8EB51602ACA7BB0EAF6B293</t>
  </si>
  <si>
    <t>I017</t>
  </si>
  <si>
    <t>78D800B023960384</t>
  </si>
  <si>
    <t>E0DF3488DCA1A263DF84795017910EDD</t>
  </si>
  <si>
    <t>I018</t>
  </si>
  <si>
    <t>78D800B023960385</t>
  </si>
  <si>
    <t>441F38EFADDE87AFE973207044BAC61E</t>
  </si>
  <si>
    <t>I019</t>
  </si>
  <si>
    <t>78D800B023960386</t>
  </si>
  <si>
    <t>C38B6B249BF2E1F8C70A7EFAFEBD5239</t>
  </si>
  <si>
    <t>I020</t>
  </si>
  <si>
    <t>78D800B023960387</t>
  </si>
  <si>
    <t>4A632FED0C3064F1843D734B56A26961</t>
  </si>
  <si>
    <t>I021</t>
  </si>
  <si>
    <t>78D800B023960388</t>
  </si>
  <si>
    <t>FB973BE21492C41095240D3C30287FED</t>
  </si>
  <si>
    <t>I022</t>
  </si>
  <si>
    <t>78D800B023960389</t>
  </si>
  <si>
    <t>4BFDB80781FB179661DA7FE5B6E43426</t>
  </si>
  <si>
    <t>I023</t>
  </si>
  <si>
    <t>39°56'37.5"N</t>
  </si>
  <si>
    <t>8°41'58.2"E</t>
  </si>
  <si>
    <t>ST07</t>
  </si>
  <si>
    <t>Radial growth, Sap flux density, Stem Water, Tree stability, Air and relative humitity, Soil Moisture</t>
  </si>
  <si>
    <t>I024</t>
  </si>
  <si>
    <t>ST08</t>
  </si>
  <si>
    <t>3632313973396417</t>
  </si>
  <si>
    <t>00CC3212</t>
  </si>
  <si>
    <t>Air Temperature, Air Humidity, Wind strength, Wind direction</t>
  </si>
  <si>
    <t>I025</t>
  </si>
  <si>
    <t>3932303169307818</t>
  </si>
  <si>
    <t>012e8f33</t>
  </si>
  <si>
    <t>I026</t>
  </si>
  <si>
    <t xml:space="preserve">Piezometric well number 10 </t>
  </si>
  <si>
    <t>39°44'46.4"N</t>
  </si>
  <si>
    <t xml:space="preserve"> 8°32'53.0"E</t>
  </si>
  <si>
    <t>ST09</t>
  </si>
  <si>
    <t xml:space="preserve">turbidity, temperature, conductivity, pH, ORP, Nitrate
</t>
  </si>
  <si>
    <t>AquaTROLL 500  &amp; HydroMetrics GW50 Groundwater Optical Nitrate Sensor</t>
  </si>
  <si>
    <t>I027</t>
  </si>
  <si>
    <t>Piezometric well number 8</t>
  </si>
  <si>
    <t>39°45'26.6"N</t>
  </si>
  <si>
    <t>8°34'11.2"E</t>
  </si>
  <si>
    <t>I028</t>
  </si>
  <si>
    <t>Piezometric well number 174</t>
  </si>
  <si>
    <t>39°50'53.2"N</t>
  </si>
  <si>
    <t>8°36'29.7"E</t>
  </si>
  <si>
    <t>PILOT - JORDAN</t>
  </si>
  <si>
    <t>Area: Khalel Al-edwan</t>
  </si>
  <si>
    <t>JGW01</t>
  </si>
  <si>
    <t>Jordan</t>
  </si>
  <si>
    <t>RAK-EUI:AC1F09FFFE0CF302</t>
  </si>
  <si>
    <t>31.840202°</t>
  </si>
  <si>
    <t>35.638401°</t>
  </si>
  <si>
    <t>GT3</t>
  </si>
  <si>
    <t>Gateway</t>
  </si>
  <si>
    <t>RAKWireless</t>
  </si>
  <si>
    <t>7289V2 WisGate Edge Pro</t>
  </si>
  <si>
    <t>AC1F09FFFE0CF302</t>
  </si>
  <si>
    <t>9181100QN60300606047</t>
  </si>
  <si>
    <t>J001</t>
  </si>
  <si>
    <t>WM-SN:2306120026</t>
  </si>
  <si>
    <t>ST11</t>
  </si>
  <si>
    <t>Sensor</t>
  </si>
  <si>
    <t>Shendga</t>
  </si>
  <si>
    <t>Bulk water meter</t>
  </si>
  <si>
    <t>8254812306000026</t>
  </si>
  <si>
    <t>4841434D4C570001</t>
  </si>
  <si>
    <t>4841432D4D4C57202003180000025481</t>
  </si>
  <si>
    <t xml:space="preserve">Water flow </t>
  </si>
  <si>
    <t>J002</t>
  </si>
  <si>
    <t>SM-SN:008000000403FCBF</t>
  </si>
  <si>
    <t>ST12</t>
  </si>
  <si>
    <t>SENSOTERRA</t>
  </si>
  <si>
    <t>Multi Depth Soil Moisture Se</t>
  </si>
  <si>
    <t>008000000403FCBF</t>
  </si>
  <si>
    <t>70B3D5DC90000000</t>
  </si>
  <si>
    <t>87028624AEE3F95EFD186234A575A9B7</t>
  </si>
  <si>
    <t>6 x depths: Soil Moisture, Soil Temperature</t>
  </si>
  <si>
    <t>J003</t>
  </si>
  <si>
    <t>NODE-SN:114992872232300176</t>
  </si>
  <si>
    <t>ST13</t>
  </si>
  <si>
    <t>SenseCap</t>
  </si>
  <si>
    <t>Multi-parameter Analyzer</t>
  </si>
  <si>
    <t xml:space="preserve">2CF7F1C0523000E2 </t>
  </si>
  <si>
    <t>4E6AF369B0999C6B</t>
  </si>
  <si>
    <t>1BF452CDE960F4867EF182FD9C057111</t>
  </si>
  <si>
    <t>pH, EC, NH3, NO4,Temperature, level of ground water</t>
  </si>
  <si>
    <t>SKU:114992872</t>
  </si>
  <si>
    <t>Area: Mahmoud Al-rajbi</t>
  </si>
  <si>
    <t>JGW02</t>
  </si>
  <si>
    <t>RAK-EUI:AC1F09FFFE0CF2F6</t>
  </si>
  <si>
    <t>32.240135°</t>
  </si>
  <si>
    <t>35.613777°</t>
  </si>
  <si>
    <t>AC1F09FFFE0CF2F6</t>
  </si>
  <si>
    <t>9181100QN60300606041</t>
  </si>
  <si>
    <t>J004</t>
  </si>
  <si>
    <t>WM-SN:008000000403FC9C</t>
  </si>
  <si>
    <t>8254812306000030</t>
  </si>
  <si>
    <t>J005</t>
  </si>
  <si>
    <t>SM-SN:2306120030</t>
  </si>
  <si>
    <t>008000000403FCAB</t>
  </si>
  <si>
    <t>98FFD3DD40E6549F45398C156C50A66C</t>
  </si>
  <si>
    <t>J006</t>
  </si>
  <si>
    <t>WM-SN:2306120023</t>
  </si>
  <si>
    <t>32.231155°</t>
  </si>
  <si>
    <t>35.598148°</t>
  </si>
  <si>
    <t>8254812306000023</t>
  </si>
  <si>
    <t>J007</t>
  </si>
  <si>
    <t>SM-SN:008000000403FCAB</t>
  </si>
  <si>
    <t>008000000403FCA5</t>
  </si>
  <si>
    <t>7ABAF12DF82BFED5BFC13923C751538A</t>
  </si>
  <si>
    <t>J008</t>
  </si>
  <si>
    <t>WM-SN:2306120028</t>
  </si>
  <si>
    <t>32.237335°</t>
  </si>
  <si>
    <t>35.595997°</t>
  </si>
  <si>
    <t>8254812306000028</t>
  </si>
  <si>
    <t>J009</t>
  </si>
  <si>
    <t>SM-SN:008000000403FCA5</t>
  </si>
  <si>
    <t>008000000403FCC7</t>
  </si>
  <si>
    <t>C876E1B950FD06B4870BFA650EA76C4D</t>
  </si>
  <si>
    <t>Area: NARC</t>
  </si>
  <si>
    <t>JGW03</t>
  </si>
  <si>
    <t>RAK-EUI:AC1F09FFFE0CFCE</t>
  </si>
  <si>
    <t>32.194249°</t>
  </si>
  <si>
    <t>35.621113°</t>
  </si>
  <si>
    <t>AC1F09FFFE0CF2CE</t>
  </si>
  <si>
    <t>9181100QN60300606021</t>
  </si>
  <si>
    <t>J010</t>
  </si>
  <si>
    <t>WM-SN:2306120027</t>
  </si>
  <si>
    <t>8254812306000027</t>
  </si>
  <si>
    <t>J011</t>
  </si>
  <si>
    <t>SM-SN:008000000403FCC7</t>
  </si>
  <si>
    <t>008000000403FCC4</t>
  </si>
  <si>
    <t>2DE9359F593AAE1D6C2BCB85DF47E1FB</t>
  </si>
  <si>
    <t>J012</t>
  </si>
  <si>
    <t>WM-SN:2306120029</t>
  </si>
  <si>
    <t>32.174145°</t>
  </si>
  <si>
    <t>35.613014°</t>
  </si>
  <si>
    <t>8254812306000029</t>
  </si>
  <si>
    <t>J013</t>
  </si>
  <si>
    <t>SM-SN:008000000403FCC4</t>
  </si>
  <si>
    <t>008000000403FCEE</t>
  </si>
  <si>
    <t>5996F09DD3B7FD51D6C8167CC8F8B083</t>
  </si>
  <si>
    <t>Area: Faisal Neimat</t>
  </si>
  <si>
    <t>JGW04</t>
  </si>
  <si>
    <t>RAK-EUI:AC1F09FFFE0CF2EC</t>
  </si>
  <si>
    <t>32.180439°</t>
  </si>
  <si>
    <t>35.629711°</t>
  </si>
  <si>
    <t>AC1F09FFFE0CF30A</t>
  </si>
  <si>
    <t>918100QN6030606051</t>
  </si>
  <si>
    <t>this gateway maybe eliminated and this farm will be connected to NARC</t>
  </si>
  <si>
    <t>J014</t>
  </si>
  <si>
    <t>WM-SN:2306120024</t>
  </si>
  <si>
    <t>8254812306000024</t>
  </si>
  <si>
    <t>J015</t>
  </si>
  <si>
    <t>SM-SN:008000000403FCEE</t>
  </si>
  <si>
    <t>008000000403FC9C</t>
  </si>
  <si>
    <t>914735D8A1111FD661DB9F328ECC31C2</t>
  </si>
  <si>
    <t>Area: Telal Al Thahab</t>
  </si>
  <si>
    <t>JGW05</t>
  </si>
  <si>
    <t>32.188872°</t>
  </si>
  <si>
    <t>35.685885°</t>
  </si>
  <si>
    <t>AC1F09FFFE0CF2EC</t>
  </si>
  <si>
    <t>9181100QN60300606036</t>
  </si>
  <si>
    <t>J016</t>
  </si>
  <si>
    <t>NODE-SN:114992872232300104</t>
  </si>
  <si>
    <t>2CF7F1C05230012F</t>
  </si>
  <si>
    <t>CBB61DF2EFD97736</t>
  </si>
  <si>
    <t>7B005F0C5D9934B0783B716794E22609</t>
  </si>
  <si>
    <t>pH, EC, NH4, NO3,Temperature, level of ground water</t>
  </si>
  <si>
    <t>???</t>
  </si>
  <si>
    <t>ST10</t>
  </si>
  <si>
    <t>PILOT - LEBANON</t>
  </si>
  <si>
    <t>L001</t>
  </si>
  <si>
    <t>Lebanon</t>
  </si>
  <si>
    <t>Agrometeorology station</t>
  </si>
  <si>
    <t>Pessel</t>
  </si>
  <si>
    <t>Fieldclimate - Legacy</t>
  </si>
  <si>
    <t>L002</t>
  </si>
  <si>
    <t>L003</t>
  </si>
  <si>
    <t>L004</t>
  </si>
  <si>
    <t>SQ-R non-contact flowmeter
LORA Modem MODBUS Interface</t>
  </si>
  <si>
    <t>Sommer</t>
  </si>
  <si>
    <t>Water speed</t>
  </si>
  <si>
    <t>L005</t>
  </si>
  <si>
    <t>Aquatroll 200 Level Sensor and datalogger</t>
  </si>
  <si>
    <t>Aquatroll</t>
  </si>
  <si>
    <t>Aquatroll 200</t>
  </si>
  <si>
    <t>Temperature, level, conductivity</t>
  </si>
  <si>
    <t>L006</t>
  </si>
  <si>
    <t>Aquatroll 500 Multiparameter (Not-vented)</t>
  </si>
  <si>
    <t>Multiparameter 500</t>
  </si>
  <si>
    <t>Temperature, conductivity, pH, ORP, Nitrate, Chlorophyll</t>
  </si>
  <si>
    <t>L007</t>
  </si>
  <si>
    <t>Soil Moisture Sensor</t>
  </si>
  <si>
    <t>Enviroprosoilprobes</t>
  </si>
  <si>
    <t>EP100G-16</t>
  </si>
  <si>
    <t>16 x depths: Soil Moisture, Soil Temperature, Soil Salinity</t>
  </si>
  <si>
    <t>L008</t>
  </si>
  <si>
    <t>L009</t>
  </si>
  <si>
    <t>L010</t>
  </si>
  <si>
    <t>L011</t>
  </si>
  <si>
    <t>L012</t>
  </si>
  <si>
    <t>L013</t>
  </si>
  <si>
    <t>L014</t>
  </si>
  <si>
    <t>L015</t>
  </si>
  <si>
    <t>PILOT - TUNISIA</t>
  </si>
  <si>
    <t>Area: Farmer 1 - Noureddine Rojbani</t>
  </si>
  <si>
    <t>TGW01</t>
  </si>
  <si>
    <t>Tunisia</t>
  </si>
  <si>
    <t>Base unit (3G-GSM-GPRS)</t>
  </si>
  <si>
    <t>33.310748</t>
  </si>
  <si>
    <t>10.350577</t>
  </si>
  <si>
    <t xml:space="preserve">3G gateway </t>
  </si>
  <si>
    <t>DELTAOHM</t>
  </si>
  <si>
    <t>HD35APGMT</t>
  </si>
  <si>
    <t xml:space="preserve">Farmer 1 Noureddine Rojbani
</t>
  </si>
  <si>
    <t>TGW012</t>
  </si>
  <si>
    <t xml:space="preserve">GSM remote control box </t>
  </si>
  <si>
    <t xml:space="preserve">Solenoid valve controlling  </t>
  </si>
  <si>
    <t>Blue Whale</t>
  </si>
  <si>
    <t>SMARTCAN_COMMAND</t>
  </si>
  <si>
    <t xml:space="preserve">Farmer 1 Noureddine Rojbani
</t>
  </si>
  <si>
    <t>TDL01</t>
  </si>
  <si>
    <t>Wireless data logger for Anemometer</t>
  </si>
  <si>
    <t xml:space="preserve">Datalogging </t>
  </si>
  <si>
    <t>HD35ED[L]W-MB</t>
  </si>
  <si>
    <t>TDL02</t>
  </si>
  <si>
    <t xml:space="preserve">Wireless data logger for Rain gauge </t>
  </si>
  <si>
    <t>HD35EDWPTC</t>
  </si>
  <si>
    <t>TDL03</t>
  </si>
  <si>
    <t>Wireless data logger for Soil moisture</t>
  </si>
  <si>
    <t>HD35EDWN/3TC</t>
  </si>
  <si>
    <t>TDL04</t>
  </si>
  <si>
    <t>TDL011</t>
  </si>
  <si>
    <t>Wireless data logger for Impulse water meter</t>
  </si>
  <si>
    <t>HD35EDWH</t>
  </si>
  <si>
    <t>TDL012</t>
  </si>
  <si>
    <t>TS01</t>
  </si>
  <si>
    <t>Two Axes Ultrasonic Anemometer</t>
  </si>
  <si>
    <t>HD 52.3DP147</t>
  </si>
  <si>
    <t xml:space="preserve">Wind speed and direction, solar radiation, temperature, relative humidity,
barometric pressure, Evapotranspiration </t>
  </si>
  <si>
    <t>TS02</t>
  </si>
  <si>
    <t>Rain gauge with tipping bucket 200 cm2</t>
  </si>
  <si>
    <t>HD2015</t>
  </si>
  <si>
    <t>Cumulative Rainfall, Rain Intensity</t>
  </si>
  <si>
    <t>TS03</t>
  </si>
  <si>
    <t>Probes (two electrodes)</t>
  </si>
  <si>
    <t>HD3910</t>
  </si>
  <si>
    <t>Soil Volumetric water content, Soil Temperature</t>
  </si>
  <si>
    <t>TS04</t>
  </si>
  <si>
    <t>TS05</t>
  </si>
  <si>
    <t>TS06</t>
  </si>
  <si>
    <t>TS07</t>
  </si>
  <si>
    <t>TS08</t>
  </si>
  <si>
    <t>TS027</t>
  </si>
  <si>
    <t>Impulse water meter {DN 63}</t>
  </si>
  <si>
    <t>ZENNER</t>
  </si>
  <si>
    <t>Woltman WPD</t>
  </si>
  <si>
    <t>Water Flow</t>
  </si>
  <si>
    <t>TS032</t>
  </si>
  <si>
    <t>Impulse water meter {DN 75}</t>
  </si>
  <si>
    <t>TS041</t>
  </si>
  <si>
    <t>Motorized valve {DN 63}</t>
  </si>
  <si>
    <t>Open / close the valve</t>
  </si>
  <si>
    <t>VALPES</t>
  </si>
  <si>
    <t>JR66.712.101</t>
  </si>
  <si>
    <t>Area: Farmer 2 - Jomaa Dhibi</t>
  </si>
  <si>
    <t>TGW02</t>
  </si>
  <si>
    <t>33.322935</t>
  </si>
  <si>
    <t>10.389754</t>
  </si>
  <si>
    <t>Farmer 2 Jomaa Dhibi</t>
  </si>
  <si>
    <t>TGW013</t>
  </si>
  <si>
    <t>TDL05</t>
  </si>
  <si>
    <t>TDL06</t>
  </si>
  <si>
    <t>TDL013</t>
  </si>
  <si>
    <t>TDL014</t>
  </si>
  <si>
    <t>TS09</t>
  </si>
  <si>
    <t>TS010</t>
  </si>
  <si>
    <t>TS011</t>
  </si>
  <si>
    <t>TS012</t>
  </si>
  <si>
    <t>TS013</t>
  </si>
  <si>
    <t>TS014</t>
  </si>
  <si>
    <t>TS028</t>
  </si>
  <si>
    <t>TS033</t>
  </si>
  <si>
    <t>TS042</t>
  </si>
  <si>
    <t>Area: Farmer 3 - Lamine Moussa</t>
  </si>
  <si>
    <t>TGW03</t>
  </si>
  <si>
    <t>33.309655</t>
  </si>
  <si>
    <t>10.336111</t>
  </si>
  <si>
    <t>Farmer 3 Lamine Moussa</t>
  </si>
  <si>
    <t>TGW014</t>
  </si>
  <si>
    <t>TDL07</t>
  </si>
  <si>
    <t>TDL08</t>
  </si>
  <si>
    <t>TDL015</t>
  </si>
  <si>
    <t>TDL016</t>
  </si>
  <si>
    <t>TS015</t>
  </si>
  <si>
    <t>TS016</t>
  </si>
  <si>
    <t>TS017</t>
  </si>
  <si>
    <t>TS018</t>
  </si>
  <si>
    <t>TS019</t>
  </si>
  <si>
    <t>TS020</t>
  </si>
  <si>
    <t>TS029</t>
  </si>
  <si>
    <t>TS034</t>
  </si>
  <si>
    <t>TS043</t>
  </si>
  <si>
    <t>Area: Farmer 4 - Mabrouka Company</t>
  </si>
  <si>
    <t>TGW04</t>
  </si>
  <si>
    <t>33.341304</t>
  </si>
  <si>
    <t>10.325000</t>
  </si>
  <si>
    <t>Farmer 4 Mabrouka Company</t>
  </si>
  <si>
    <t>TGW015</t>
  </si>
  <si>
    <t>TDL09</t>
  </si>
  <si>
    <t>TDL010</t>
  </si>
  <si>
    <t>TDL017</t>
  </si>
  <si>
    <t>TDL018</t>
  </si>
  <si>
    <t>TS021</t>
  </si>
  <si>
    <t>TS022</t>
  </si>
  <si>
    <t>TS023</t>
  </si>
  <si>
    <t>TS024</t>
  </si>
  <si>
    <t>TS025</t>
  </si>
  <si>
    <t>TS026</t>
  </si>
  <si>
    <t>TS030</t>
  </si>
  <si>
    <t>TS035</t>
  </si>
  <si>
    <t>TS045</t>
  </si>
  <si>
    <t>Area: Well drilling 1 - SONEDE</t>
  </si>
  <si>
    <t>TGW05</t>
  </si>
  <si>
    <t>33.340523</t>
  </si>
  <si>
    <t>10.357336</t>
  </si>
  <si>
    <t>Well drilling SONEDE 1</t>
  </si>
  <si>
    <t>TDL019</t>
  </si>
  <si>
    <t>TS037</t>
  </si>
  <si>
    <t>Impulse water meter {DN 100}</t>
  </si>
  <si>
    <t>Area: Well drilling 2 - SONEDE</t>
  </si>
  <si>
    <t>TGW06</t>
  </si>
  <si>
    <t>33.321849</t>
  </si>
  <si>
    <t>10.384967</t>
  </si>
  <si>
    <t>Well drilling SONEDE 2</t>
  </si>
  <si>
    <t>TDL020</t>
  </si>
  <si>
    <t>TS038</t>
  </si>
  <si>
    <t>Area: Well drilling 3 - SONEDE</t>
  </si>
  <si>
    <t>TGW07</t>
  </si>
  <si>
    <t>33.283907</t>
  </si>
  <si>
    <t>10.427504</t>
  </si>
  <si>
    <t>Well drilling SONEDE 3</t>
  </si>
  <si>
    <t>TDL021</t>
  </si>
  <si>
    <t>TS039</t>
  </si>
  <si>
    <t>Area: Well drilling 4 - SONEDE</t>
  </si>
  <si>
    <t>TGW08</t>
  </si>
  <si>
    <t>33.306839</t>
  </si>
  <si>
    <t>10.371282</t>
  </si>
  <si>
    <t>Well drilling SONEDE 4</t>
  </si>
  <si>
    <t>TDL022</t>
  </si>
  <si>
    <t>TS040</t>
  </si>
  <si>
    <t>Impulse water meter {DN 200}</t>
  </si>
  <si>
    <t>Area: Well drilling 5 - SONEDE</t>
  </si>
  <si>
    <t>TGW09</t>
  </si>
  <si>
    <t>33.406333</t>
  </si>
  <si>
    <t>10.433408</t>
  </si>
  <si>
    <t>Well drilling SONEDE 5</t>
  </si>
  <si>
    <t>TDL023</t>
  </si>
  <si>
    <t>TS031</t>
  </si>
  <si>
    <t>Area: Well drilling 6 - SONEDE</t>
  </si>
  <si>
    <t>Well drilling SONEDE 6</t>
  </si>
  <si>
    <t>TDL024</t>
  </si>
  <si>
    <t>TS036</t>
  </si>
  <si>
    <t>Impulse water meter {DN 80}</t>
  </si>
  <si>
    <t>Area: Drilling of recharge well 1</t>
  </si>
  <si>
    <t>TGW010</t>
  </si>
  <si>
    <t>33.245896</t>
  </si>
  <si>
    <t>10.444596</t>
  </si>
  <si>
    <t>Drilling of recharge wells 1</t>
  </si>
  <si>
    <t>TDL026</t>
  </si>
  <si>
    <t xml:space="preserve">Wireless data logger for Piezometric Level </t>
  </si>
  <si>
    <t>HD35ED(L)WDPTC</t>
  </si>
  <si>
    <t>TS048</t>
  </si>
  <si>
    <t>Level sensing pressure transmitters</t>
  </si>
  <si>
    <t>HUBA CONTROLE</t>
  </si>
  <si>
    <t>Level sensing, Pressure</t>
  </si>
  <si>
    <t>Area: Drilling of recharge well 2</t>
  </si>
  <si>
    <t>TGW011</t>
  </si>
  <si>
    <t>33.318260</t>
  </si>
  <si>
    <t>10.380013</t>
  </si>
  <si>
    <t>Drilling of recharge wells 2</t>
  </si>
  <si>
    <t>TDL027</t>
  </si>
  <si>
    <t>TS049</t>
  </si>
  <si>
    <t>Area: Well water quality 1</t>
  </si>
  <si>
    <t>TGW016</t>
  </si>
  <si>
    <t>4G Remote telemetry monitoring</t>
  </si>
  <si>
    <t>33.241616</t>
  </si>
  <si>
    <t>10.443274</t>
  </si>
  <si>
    <t xml:space="preserve">Data logger and global cellular telemetry </t>
  </si>
  <si>
    <t>In-Situ</t>
  </si>
  <si>
    <t>VuLink</t>
  </si>
  <si>
    <t>Well water quality 1</t>
  </si>
  <si>
    <t>TS046</t>
  </si>
  <si>
    <t>Multiparameter Sonde Aqua TROLL</t>
  </si>
  <si>
    <t>IN-SITU</t>
  </si>
  <si>
    <t>Aqua TROLL 500</t>
  </si>
  <si>
    <t>pH/ORP, Temperature, Conductivity, Nitrate
and the water level</t>
  </si>
  <si>
    <t>Area: Well water quality 2</t>
  </si>
  <si>
    <t>TGW017</t>
  </si>
  <si>
    <t>33.306816</t>
  </si>
  <si>
    <t>10.371316</t>
  </si>
  <si>
    <t>Well water quality 2</t>
  </si>
  <si>
    <t>TS047</t>
  </si>
  <si>
    <t>DEVICE TYPE</t>
  </si>
  <si>
    <t>ST14</t>
  </si>
  <si>
    <t>Weather station</t>
  </si>
  <si>
    <t>Sensore</t>
  </si>
  <si>
    <t>Rackwireless</t>
  </si>
  <si>
    <t>Seeeds</t>
  </si>
  <si>
    <t>Milesight</t>
  </si>
  <si>
    <t>IQNexus</t>
  </si>
  <si>
    <t>Maddalena</t>
  </si>
  <si>
    <t>Nature4</t>
  </si>
  <si>
    <t>PrimoPrincipio</t>
  </si>
  <si>
    <t>VanWalt</t>
  </si>
  <si>
    <t>No-lora</t>
  </si>
  <si>
    <t>Shangai BOQU</t>
  </si>
  <si>
    <t>RAK7240</t>
  </si>
  <si>
    <t>SenseCAP Soil Moisture and Temperature</t>
  </si>
  <si>
    <t>LoRa_Controlle-UC511</t>
  </si>
  <si>
    <t>SenProbe - 3B-LR12</t>
  </si>
  <si>
    <t>SenPulse-PCT-3A-LR-S</t>
  </si>
  <si>
    <t>Arrow split 2</t>
  </si>
  <si>
    <t>SapFlow</t>
  </si>
  <si>
    <t>Quido</t>
  </si>
  <si>
    <t>DataHub</t>
  </si>
  <si>
    <t>Weather station - old</t>
  </si>
  <si>
    <t>Weather station - new</t>
  </si>
  <si>
    <t xml:space="preserve">Bulk water meter </t>
  </si>
  <si>
    <t xml:space="preserve">Multi Depth Soil Moisture Sensor </t>
  </si>
  <si>
    <t>Note</t>
  </si>
  <si>
    <t>Italy</t>
  </si>
  <si>
    <t>Message 1</t>
  </si>
  <si>
    <t>Timestamp</t>
  </si>
  <si>
    <t>Air_Humidity</t>
  </si>
  <si>
    <t>Soil_Moisture</t>
  </si>
  <si>
    <t>battery_level</t>
  </si>
  <si>
    <t>Hmd Field 1</t>
  </si>
  <si>
    <t>Count</t>
  </si>
  <si>
    <t>GatewayEui</t>
  </si>
  <si>
    <t>Air_Temperature</t>
  </si>
  <si>
    <t>Soil_Temperature</t>
  </si>
  <si>
    <t>valve1_pulse</t>
  </si>
  <si>
    <t>Hmd Field 2</t>
  </si>
  <si>
    <t>Leak</t>
  </si>
  <si>
    <t>DevAddr</t>
  </si>
  <si>
    <t>CO2</t>
  </si>
  <si>
    <t>CRC</t>
  </si>
  <si>
    <t>valve1_status</t>
  </si>
  <si>
    <t>Hmd Field 3</t>
  </si>
  <si>
    <t>Quarte of Day</t>
  </si>
  <si>
    <t>DevEui</t>
  </si>
  <si>
    <t>Fport</t>
  </si>
  <si>
    <t>valve2_pulse</t>
  </si>
  <si>
    <t>Hmd Field 4</t>
  </si>
  <si>
    <t>System Voltage</t>
  </si>
  <si>
    <t>Frequency</t>
  </si>
  <si>
    <t>MType</t>
  </si>
  <si>
    <t>valve2_status</t>
  </si>
  <si>
    <t>Hmd Field 5</t>
  </si>
  <si>
    <t>Type</t>
  </si>
  <si>
    <t>Mic</t>
  </si>
  <si>
    <t>Hmd Field 6</t>
  </si>
  <si>
    <t>SpreadingFactor</t>
  </si>
  <si>
    <t>Rssi</t>
  </si>
  <si>
    <t>Sistem Voltage</t>
  </si>
  <si>
    <t>FPort</t>
  </si>
  <si>
    <t>Snr</t>
  </si>
  <si>
    <t>FCnt</t>
  </si>
  <si>
    <t>CodeRate</t>
  </si>
  <si>
    <t>DataRate</t>
  </si>
  <si>
    <t>Bandwidth</t>
  </si>
  <si>
    <t>Message 2</t>
  </si>
  <si>
    <t>Ambient Tmp</t>
  </si>
  <si>
    <t>Tmp Field 1</t>
  </si>
  <si>
    <t>Tmp Field 2</t>
  </si>
  <si>
    <t>Tmp Field 3</t>
  </si>
  <si>
    <t>Tmp Field 4</t>
  </si>
  <si>
    <t>Tmp Field 5</t>
  </si>
  <si>
    <t>Tmp Field 6</t>
  </si>
  <si>
    <t>Time Stamp</t>
  </si>
  <si>
    <t>Q.ty of measurment</t>
  </si>
  <si>
    <t>Q.ty of devices</t>
  </si>
  <si>
    <t>JORDAN</t>
  </si>
  <si>
    <t>TUNISIA</t>
  </si>
  <si>
    <t>LEBANON</t>
  </si>
  <si>
    <t>Device description</t>
  </si>
  <si>
    <t>Compact and versatile environmental sensor module designed for monitoring temperature and humidity in various applications.</t>
  </si>
  <si>
    <t>A sensor module for measuring soil moisture and temperature, ideal for agriculture and environmental monitoring.</t>
  </si>
  <si>
    <t>A LoRa-enabled controller for managing and controlling IoT devices, facilitating long-range wireless communication.</t>
  </si>
  <si>
    <t>An advanced sensor capable of monitoring temperature and moisture at different depths. Useful for agronomic research activities.</t>
  </si>
  <si>
    <t>A sensor for counting and transmitting the pulse produced by a flowmeter</t>
  </si>
  <si>
    <t>Pilot</t>
  </si>
  <si>
    <t>Field Name</t>
  </si>
  <si>
    <t>Field Description</t>
  </si>
  <si>
    <t>Field Longitude</t>
  </si>
  <si>
    <t>Field Latitude</t>
  </si>
  <si>
    <t>Device Description</t>
  </si>
  <si>
    <t>Device EUI</t>
  </si>
  <si>
    <t>Property Key</t>
  </si>
  <si>
    <t>Property Name</t>
  </si>
  <si>
    <t>Property Description</t>
  </si>
  <si>
    <t>Unit Of Measurement</t>
  </si>
  <si>
    <t>Unit Of Measurement Symbol</t>
  </si>
  <si>
    <t>Datastream Name</t>
  </si>
  <si>
    <t>Datastream Description</t>
  </si>
  <si>
    <t>Demo Field</t>
  </si>
  <si>
    <t>Demo sensors in ABI</t>
  </si>
  <si>
    <t>air_temperature</t>
  </si>
  <si>
    <t>Air Temperature</t>
  </si>
  <si>
    <t>air_humidity</t>
  </si>
  <si>
    <t>Air Humidity</t>
  </si>
  <si>
    <t>co2_concentration</t>
  </si>
  <si>
    <t>CO2 Concentration</t>
  </si>
  <si>
    <t>soil_moisture</t>
  </si>
  <si>
    <t>Soil Moisture</t>
  </si>
  <si>
    <t>soil_temperature</t>
  </si>
  <si>
    <t>Soil Temperature</t>
  </si>
  <si>
    <t>Battery Level</t>
  </si>
  <si>
    <t>Flowmeter pulses</t>
  </si>
  <si>
    <t>Valve status</t>
  </si>
  <si>
    <t>soil_moisture_1</t>
  </si>
  <si>
    <t>soil_moisture_2</t>
  </si>
  <si>
    <t>soil_moisture_3</t>
  </si>
  <si>
    <t>soil_moisture_4</t>
  </si>
  <si>
    <t>soil_moisture_5</t>
  </si>
  <si>
    <t>soil_moisture_6</t>
  </si>
  <si>
    <t>ambient_temperature</t>
  </si>
  <si>
    <t>soil_temperature_1</t>
  </si>
  <si>
    <t>soil_temperature_2</t>
  </si>
  <si>
    <t>soil_temperature_3</t>
  </si>
  <si>
    <t>soil_temperature_4</t>
  </si>
  <si>
    <t>soil_temperature_5</t>
  </si>
  <si>
    <t>soil_temperature_6</t>
  </si>
  <si>
    <t>A sensor for counting and transmitting the pulse produced by a flowmeter.</t>
  </si>
  <si>
    <t xml:space="preserve">AC1F09FFFE04E43F </t>
  </si>
  <si>
    <t>Leak warning</t>
  </si>
  <si>
    <t>Torresan</t>
  </si>
  <si>
    <t>Sensors owned by UNISS</t>
  </si>
  <si>
    <t>Pinos</t>
  </si>
  <si>
    <t>Centro Aziendale</t>
  </si>
  <si>
    <t>Camedda</t>
  </si>
  <si>
    <t>Perra 2</t>
  </si>
  <si>
    <t>Mazzacaddeo</t>
  </si>
  <si>
    <t>Flussimeter</t>
  </si>
  <si>
    <t>prev_eod_read</t>
  </si>
  <si>
    <t>prev_base_read</t>
  </si>
  <si>
    <t>delta_read_1</t>
  </si>
  <si>
    <t>delta_read_2</t>
  </si>
  <si>
    <t>delta_read_3</t>
  </si>
  <si>
    <t>delta_read_4</t>
  </si>
  <si>
    <t>delta_read_5</t>
  </si>
  <si>
    <t>delta_read_6</t>
  </si>
  <si>
    <t>delta_read_7</t>
  </si>
  <si>
    <t>delta_read_8</t>
  </si>
  <si>
    <t>delta_read_9</t>
  </si>
  <si>
    <t>delta_read_10</t>
  </si>
  <si>
    <t>delta_read_11</t>
  </si>
  <si>
    <t>z6-19947</t>
  </si>
  <si>
    <t>Weather station in Jordan managed with ZentraCloud</t>
  </si>
  <si>
    <t>A weather station in Jordan obtaining data from multiple sources</t>
  </si>
  <si>
    <t>STATION</t>
  </si>
  <si>
    <t>-</t>
  </si>
  <si>
    <t>Atmospheric Pressure</t>
  </si>
  <si>
    <t>Battery Percent</t>
  </si>
  <si>
    <t>Battery Voltage</t>
  </si>
  <si>
    <t>Gust Speed</t>
  </si>
  <si>
    <t>Lightning Activity</t>
  </si>
  <si>
    <t>Lightning Distance</t>
  </si>
  <si>
    <t>Logger Temperature</t>
  </si>
  <si>
    <t>Max Precip Rate</t>
  </si>
  <si>
    <t>Max Precipitation Rate</t>
  </si>
  <si>
    <t>Precipitation</t>
  </si>
  <si>
    <t>RH Sensor Temp</t>
  </si>
  <si>
    <t>Reference Pressure</t>
  </si>
  <si>
    <t>Solar Radiation</t>
  </si>
  <si>
    <t>Temperature</t>
  </si>
  <si>
    <t>VPD</t>
  </si>
  <si>
    <t>Vapor Pressure</t>
  </si>
  <si>
    <t>Wind Direction</t>
  </si>
  <si>
    <t>Wind Speed</t>
  </si>
  <si>
    <t>X-axis Level</t>
  </si>
  <si>
    <t>Y-axis Level</t>
  </si>
  <si>
    <t>z6-19948</t>
  </si>
  <si>
    <t>000008DD</t>
  </si>
  <si>
    <t>Weather station in Lebanon managed with FieldClimate</t>
  </si>
  <si>
    <t>A weather station in Lebanon obtaining data from multiple sources</t>
  </si>
  <si>
    <t>Wind direction avg</t>
  </si>
  <si>
    <t>Wind direction last</t>
  </si>
  <si>
    <t>Precipitation sum</t>
  </si>
  <si>
    <t>Wind speed avg</t>
  </si>
  <si>
    <t>Wind speed max</t>
  </si>
  <si>
    <t>Battery last</t>
  </si>
  <si>
    <t>Leaf Wetness time</t>
  </si>
  <si>
    <t>Leaf Wetness</t>
  </si>
  <si>
    <t>HC Air temperature avg</t>
  </si>
  <si>
    <t>HC Air temperature max</t>
  </si>
  <si>
    <t>HC Air temperature min</t>
  </si>
  <si>
    <t>HC Relative humidity avg</t>
  </si>
  <si>
    <t>HC Relative humidity max</t>
  </si>
  <si>
    <t>HC Relative humidity min</t>
  </si>
  <si>
    <t>Dew Point avg</t>
  </si>
  <si>
    <t>Dew Point</t>
  </si>
  <si>
    <t>Dew Point min</t>
  </si>
  <si>
    <t>Air pressure avg</t>
  </si>
  <si>
    <t>Air pressure max</t>
  </si>
  <si>
    <t>Air pressure min</t>
  </si>
  <si>
    <t>Wind orientation</t>
  </si>
  <si>
    <t>Midnight</t>
  </si>
  <si>
    <t>000008E0</t>
  </si>
  <si>
    <t>Solar Panel last</t>
  </si>
  <si>
    <t>Solar Panel</t>
  </si>
  <si>
    <t>HC Serial Number last</t>
  </si>
  <si>
    <t>Serial Number</t>
  </si>
  <si>
    <t>VPD avg</t>
  </si>
  <si>
    <t>VPD min</t>
  </si>
  <si>
    <t>000008E4</t>
  </si>
  <si>
    <t>000008F7</t>
  </si>
  <si>
    <t>Solar radiation avg</t>
  </si>
  <si>
    <t>000010CC</t>
  </si>
  <si>
    <t>00001896</t>
  </si>
  <si>
    <t>@Chain node last</t>
  </si>
  <si>
    <t>Chain Node</t>
  </si>
  <si>
    <t>Soil temperature 1 avg</t>
  </si>
  <si>
    <t>Soil temperature 1 max</t>
  </si>
  <si>
    <t>Soil temperature 1 min</t>
  </si>
  <si>
    <t>Soil temperature 2 avg</t>
  </si>
  <si>
    <t>Soil temperature 2 max</t>
  </si>
  <si>
    <t>Soil temperature 2 min</t>
  </si>
  <si>
    <t>ET0</t>
  </si>
  <si>
    <t>Reference evapotranspiration</t>
  </si>
  <si>
    <t>000025BD</t>
  </si>
  <si>
    <t>Wind speed max max</t>
  </si>
  <si>
    <t>00204B21</t>
  </si>
  <si>
    <t>Wetbulb temperature avg</t>
  </si>
  <si>
    <t>Wetbulb temperature max</t>
  </si>
  <si>
    <t>Wetbulb temperature min</t>
  </si>
  <si>
    <t>DeltaT avg</t>
  </si>
  <si>
    <t>DeltaT</t>
  </si>
  <si>
    <t>DeltaT max</t>
  </si>
  <si>
    <t>DeltaT min</t>
  </si>
  <si>
    <t>00204EB1</t>
  </si>
  <si>
    <t>Soil temperature avg</t>
  </si>
  <si>
    <t>Soil temperature max</t>
  </si>
  <si>
    <t>Soil temperature min</t>
  </si>
  <si>
    <t>Latitude last</t>
  </si>
  <si>
    <t>Latitude</t>
  </si>
  <si>
    <t>Longitude last</t>
  </si>
  <si>
    <t>Longitude</t>
  </si>
  <si>
    <t>Altitude last</t>
  </si>
  <si>
    <t>Altitude</t>
  </si>
  <si>
    <t>Horizontal dilusion of position last</t>
  </si>
  <si>
    <t>Horizontal dilusion</t>
  </si>
  <si>
    <t>5TE Battery voltage last</t>
  </si>
  <si>
    <t>PI54a (VWC) avg</t>
  </si>
  <si>
    <t>Watermark 1 avg</t>
  </si>
  <si>
    <t>Watermark 2 avg</t>
  </si>
  <si>
    <t>Drybulb temperature avg</t>
  </si>
  <si>
    <t>Drybulb temperature max</t>
  </si>
  <si>
    <t>Drybulb temperature min</t>
  </si>
  <si>
    <t>000008D6</t>
  </si>
  <si>
    <t>Tensiometer avg</t>
  </si>
  <si>
    <t>Tensiometer</t>
  </si>
  <si>
    <t>Tensiometer max</t>
  </si>
  <si>
    <t>Tensiometer min</t>
  </si>
  <si>
    <t>Watermark avg</t>
  </si>
  <si>
    <t>000008E5</t>
  </si>
  <si>
    <t>ed_11174</t>
  </si>
  <si>
    <t>Weather station in Tunisia managed with Ira Data</t>
  </si>
  <si>
    <t>A weather station in Tunisia obtaining data from multiple sources</t>
  </si>
  <si>
    <t>MEAS_1</t>
  </si>
  <si>
    <t>Unknown</t>
  </si>
  <si>
    <t>MEAS_2</t>
  </si>
  <si>
    <t>MEAS_3</t>
  </si>
  <si>
    <t>MEAS_4</t>
  </si>
  <si>
    <t>MEAS_5</t>
  </si>
  <si>
    <t>MEAS_6</t>
  </si>
  <si>
    <t>MEAS_7</t>
  </si>
  <si>
    <t>MEAS_8</t>
  </si>
  <si>
    <t>MEAS_9</t>
  </si>
  <si>
    <t>MEAS_10</t>
  </si>
  <si>
    <t>MEAS_11</t>
  </si>
  <si>
    <t>MEAS_12</t>
  </si>
  <si>
    <t>ed_11181</t>
  </si>
  <si>
    <t>ed_11182</t>
  </si>
  <si>
    <t>ed_11216</t>
  </si>
  <si>
    <t>Khalil Al-Edwan</t>
  </si>
  <si>
    <t>Field in Jordan</t>
  </si>
  <si>
    <t>Specialized device designed for accurately measuring large volumes of water flow.</t>
  </si>
  <si>
    <t>water_flow</t>
  </si>
  <si>
    <t>Technology that measures soil moisture at multiple depths.</t>
  </si>
  <si>
    <t>Device capable of analyzing various environmental parameters simultaneously.</t>
  </si>
  <si>
    <t>ph</t>
  </si>
  <si>
    <t>pH</t>
  </si>
  <si>
    <t>ec</t>
  </si>
  <si>
    <t>Electric Conductivity</t>
  </si>
  <si>
    <t>nh3</t>
  </si>
  <si>
    <t>NH3 / Ammonia</t>
  </si>
  <si>
    <t>no4</t>
  </si>
  <si>
    <t>NO4 / Nitrate</t>
  </si>
  <si>
    <t>temperature</t>
  </si>
  <si>
    <t>gw_level</t>
  </si>
  <si>
    <t>Groundwater Level</t>
  </si>
  <si>
    <t>Mahmoud Al-Rajbi</t>
  </si>
  <si>
    <t>NARC</t>
  </si>
  <si>
    <t>NARC Research Site in Jordan</t>
  </si>
  <si>
    <t>Faisal Neimat</t>
  </si>
  <si>
    <t>Telal Al Thahab</t>
  </si>
  <si>
    <t>Noureddine Rojbani</t>
  </si>
  <si>
    <t>Field in Tunisia</t>
  </si>
  <si>
    <t>Device that measures wind speed and direction.</t>
  </si>
  <si>
    <t>wind_speed</t>
  </si>
  <si>
    <t>wind_direction</t>
  </si>
  <si>
    <t>solar_radiation</t>
  </si>
  <si>
    <t>Simple mechanism used to measure rainfall.</t>
  </si>
  <si>
    <t>rain_intensity</t>
  </si>
  <si>
    <t>cumulative_rainfall</t>
  </si>
  <si>
    <t>Cumulative Rainfall</t>
  </si>
  <si>
    <t>Probe for soil volumetric water content measurement.</t>
  </si>
  <si>
    <t>Water meter that utilizes the Woltman principle for measuring water flow in large industrial and commercial applications.</t>
  </si>
  <si>
    <t>Jomaa Dhibi</t>
  </si>
  <si>
    <t>Lamine Moussa</t>
  </si>
  <si>
    <t>Mabrouka Company</t>
  </si>
  <si>
    <t>SONEDE - Well Drilling 1</t>
  </si>
  <si>
    <t>Well in Tunisia</t>
  </si>
  <si>
    <t>SONEDE - Well Drilling 2</t>
  </si>
  <si>
    <t>SONEDE - Well Drilling 3</t>
  </si>
  <si>
    <t>SONEDE - Well Drilling 4</t>
  </si>
  <si>
    <t>SONEDE - Well Drilling 5</t>
  </si>
  <si>
    <t>SONEDE - Well Drilling 6</t>
  </si>
  <si>
    <t>DRW 1</t>
  </si>
  <si>
    <t>Drilling in Tunisia</t>
  </si>
  <si>
    <t>Device that detects the level of liquids and other fluids and fluidized solids.</t>
  </si>
  <si>
    <t>level</t>
  </si>
  <si>
    <t>pressure</t>
  </si>
  <si>
    <t>DRW 2</t>
  </si>
  <si>
    <t>WWQ 1</t>
  </si>
  <si>
    <t>Well water quality site in Tunisia</t>
  </si>
  <si>
    <t>Compact sonde or sensor which could monitor temperature, pH value, turbidity, conductivity and dissolved oxygen in one instrument.</t>
  </si>
  <si>
    <t>electric_conductivity</t>
  </si>
  <si>
    <t>nitrate</t>
  </si>
  <si>
    <t>water_level</t>
  </si>
  <si>
    <t>WWQ 2</t>
  </si>
  <si>
    <t>The amount of moisture or water vapor present in the air, often expressed as a percentage of the maximum amount the air could hold at a given temperature.</t>
  </si>
  <si>
    <t>Percentage</t>
  </si>
  <si>
    <t>%</t>
  </si>
  <si>
    <t>The measure of the hotness or coldness of the air.</t>
  </si>
  <si>
    <t>Degrees Celsius</t>
  </si>
  <si>
    <t>ºC</t>
  </si>
  <si>
    <t>The vertical distance of a location above a reference point, typically sea level, measured in meters or feet.</t>
  </si>
  <si>
    <t>Meters</t>
  </si>
  <si>
    <t>m</t>
  </si>
  <si>
    <t>The force exerted by the weight of the air above a given point on Earth's surface, which can vary with changes in weather and altitude.</t>
  </si>
  <si>
    <t>Kilopascal</t>
  </si>
  <si>
    <t>kPa</t>
  </si>
  <si>
    <t>The percentage of battery level associated to the specific sensor.</t>
  </si>
  <si>
    <t>The electrical potential in a battery, indicating its charge level.</t>
  </si>
  <si>
    <t>Millivolts</t>
  </si>
  <si>
    <t>mV</t>
  </si>
  <si>
    <t>A point or device within a blockchain network that validates and records transactions, contributing to the decentralized nature of the technology.</t>
  </si>
  <si>
    <t>The quantity of carbon dioxide gas present in the air, used to assess air quality and monitor environmental conditions.</t>
  </si>
  <si>
    <t>Parts per million</t>
  </si>
  <si>
    <t>ppm</t>
  </si>
  <si>
    <t>The difference in time between two events, often used in various scientific contexts.</t>
  </si>
  <si>
    <t>Seconds</t>
  </si>
  <si>
    <t>s</t>
  </si>
  <si>
    <t>The temperature at which air becomes saturated with moisture, leading to the formation of dew or condensation.</t>
  </si>
  <si>
    <t>Measure of the ability of a solution to conduct electricity.</t>
  </si>
  <si>
    <t>Siemens per meter</t>
  </si>
  <si>
    <t>S/m</t>
  </si>
  <si>
    <t>The number of pulses read by flowmeter. Depending on flowmeter configuration it could correspond to a different number of cubic meter of water</t>
  </si>
  <si>
    <t>Number of pulses</t>
  </si>
  <si>
    <t>N/A</t>
  </si>
  <si>
    <t>The depth at which the water table is found beneath the Earth's surface.</t>
  </si>
  <si>
    <t>The maximum sudden burst of wind speed.</t>
  </si>
  <si>
    <t>Meters per second</t>
  </si>
  <si>
    <t>m/s</t>
  </si>
  <si>
    <t>A measure of the spread of GPS satellite signals as they reach a receiver on the Earth's surface, affecting the accuracy of position calculations.</t>
  </si>
  <si>
    <t>The angular distance of a location north or south of the equator, measured in degrees.</t>
  </si>
  <si>
    <t>Degrees</t>
  </si>
  <si>
    <t>º</t>
  </si>
  <si>
    <t>The presence of moisture on the surface of plant leaves, often indicating favorable conditions for disease development.</t>
  </si>
  <si>
    <t>A warning in case of water leak detected</t>
  </si>
  <si>
    <t>True / False</t>
  </si>
  <si>
    <t>The occurrence of electrical discharges in the atmosphere, typically during thunderstorms.</t>
  </si>
  <si>
    <t>The distance from a location to the nearest lightning strike.</t>
  </si>
  <si>
    <t>Kilometers</t>
  </si>
  <si>
    <t>km</t>
  </si>
  <si>
    <t>The temperature measured by a data logger or recording device.</t>
  </si>
  <si>
    <t>The angular distance of a location east or west of the prime meridian, measured in degrees.</t>
  </si>
  <si>
    <t>The highest rate at which rain or other forms of precipitation fall in a given period.</t>
  </si>
  <si>
    <t>Millimeters per hour</t>
  </si>
  <si>
    <t>mm/h</t>
  </si>
  <si>
    <t>The point in time at the middle of the night, commonly defined as 12:00 AM.</t>
  </si>
  <si>
    <t>Concentration of ammonia.</t>
  </si>
  <si>
    <t>Concentration of nitrogen.</t>
  </si>
  <si>
    <t>ORP</t>
  </si>
  <si>
    <t>Oxidation and Reduction Potential</t>
  </si>
  <si>
    <t>Measure of the acidity or alkalinity of a solution.</t>
  </si>
  <si>
    <t>Any form of water, liquid or solid, falling from the sky, such as rain, snow, or sleet.</t>
  </si>
  <si>
    <t>Millimeters</t>
  </si>
  <si>
    <t>mm</t>
  </si>
  <si>
    <t>The measure of the amount of water evaporated from a standardized reference surface, often used in agriculture for irrigation management.</t>
  </si>
  <si>
    <t>Millimeters per day</t>
  </si>
  <si>
    <t>mm/day</t>
  </si>
  <si>
    <t>A standard pressure value used as a basis for comparison in meteorology.</t>
  </si>
  <si>
    <t>The temperature at which a relative humidity sensor operates.</t>
  </si>
  <si>
    <t>A unique identifier assigned to an individual item, facilitating its tracking and differentiation from others.</t>
  </si>
  <si>
    <t>The amount of moisture present in the soil, often expressed as a percentage of the maximum amount the soil could hold at a given temperature.</t>
  </si>
  <si>
    <t>The measure of temperature of the soil.</t>
  </si>
  <si>
    <t>A device that converts sunlight into electricity by harnessing the photovoltaic effect.</t>
  </si>
  <si>
    <t>Energy from the sun in the form of electromagnetic waves.</t>
  </si>
  <si>
    <t>Watts per square meter</t>
  </si>
  <si>
    <t>W/m²</t>
  </si>
  <si>
    <t>The measure of the hotness or coldness of something.</t>
  </si>
  <si>
    <t>Device used to measure the surface tension of a liquid, typically by observing the height to which the liquid rises in a fine tube against the force of gravity.</t>
  </si>
  <si>
    <t>Newtons per meter</t>
  </si>
  <si>
    <t>N/m</t>
  </si>
  <si>
    <t>Type of the packet received from the sensor (Eg. Start, Data, Error)</t>
  </si>
  <si>
    <t>String</t>
  </si>
  <si>
    <t>The current condition of the valve controlled (opened or closed)</t>
  </si>
  <si>
    <t>ON / OFF</t>
  </si>
  <si>
    <t>The pressure exerted by water vapor in the air.</t>
  </si>
  <si>
    <t>The difference between the amount of moisture in the air and the maximum amount of moisture the air can hold at a given temperature.</t>
  </si>
  <si>
    <t>The continuous movement of water in a particular direction.</t>
  </si>
  <si>
    <t>Cubic meters per second</t>
  </si>
  <si>
    <t>m^3/s</t>
  </si>
  <si>
    <t>The compass direction from which the wind is blowing.</t>
  </si>
  <si>
    <t>The rate at which the air is moving horizontally, often measured in miles per hour or meters per second.</t>
  </si>
  <si>
    <t>The position or value along the horizontal axis of a graph or coordinate system.</t>
  </si>
  <si>
    <t>The position or value along the vertical axis of a graph or coordinate system.</t>
  </si>
  <si>
    <t>Chlorophill</t>
  </si>
  <si>
    <t>Several related green pigments found in cyanobacteria and in the chloroplasts of algae and plants.</t>
  </si>
  <si>
    <t>Cumulatime Rainfall.</t>
  </si>
  <si>
    <t>Liters per square meter</t>
  </si>
  <si>
    <t>L/m^2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</si>
</sst>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"/>
    <numFmt numFmtId="165" formatCode="#,##0.000000"/>
  </numFmts>
  <fonts count="28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rgb="FFCCCCCC"/>
      <name val="Arial"/>
    </font>
    <font>
      <b/>
      <sz val="11"/>
      <color theme="1"/>
      <name val="Arial"/>
    </font>
    <font>
      <b/>
      <sz val="13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1"/>
      <color theme="1"/>
      <name val="Arial"/>
    </font>
    <font>
      <sz val="14"/>
      <color theme="1"/>
      <name val="Arial"/>
    </font>
    <font>
      <sz val="11"/>
      <color rgb="FF000000"/>
      <name val="Arial"/>
    </font>
    <font>
      <b/>
      <sz val="12"/>
      <color rgb="FF6AA84F"/>
      <name val="Arial"/>
    </font>
    <font>
      <sz val="10"/>
      <color theme="1"/>
      <name val="Arial"/>
    </font>
    <font>
      <sz val="11"/>
      <color theme="7"/>
      <name val="Arial"/>
    </font>
    <font>
      <sz val="11"/>
      <color rgb="FF34A853"/>
      <name val="Arial"/>
    </font>
    <font>
      <b/>
      <sz val="12"/>
      <color rgb="FFA61C00"/>
      <name val="Arial"/>
    </font>
    <font>
      <b/>
      <sz val="12"/>
      <color theme="1"/>
      <name val="&quot;Times New Roman&quot;"/>
    </font>
    <font>
      <sz val="12"/>
      <color theme="1"/>
      <name val="&quot;Times New Roman&quot;"/>
    </font>
    <font>
      <sz val="12"/>
      <color rgb="FF980000"/>
      <name val="&quot;Times New Roman&quot;"/>
    </font>
    <font>
      <sz val="11"/>
      <color rgb="FF0000FF"/>
      <name val="Arial"/>
    </font>
    <font>
      <sz val="11"/>
      <color rgb="FF980000"/>
      <name val="Arial"/>
    </font>
    <font>
      <b/>
      <sz val="12"/>
      <color rgb="FF0000FF"/>
      <name val="Arial"/>
    </font>
    <font>
      <b/>
      <sz val="12"/>
      <color rgb="FF783F04"/>
      <name val="Arial"/>
    </font>
    <font>
      <sz val="11"/>
      <color theme="1"/>
      <name val="Arial"/>
      <scheme val="minor"/>
    </font>
    <font>
      <b/>
      <sz val="10"/>
      <color theme="1"/>
      <name val="Arial"/>
      <scheme val="minor"/>
    </font>
    <font>
      <sz val="11"/>
      <color rgb="FF000000"/>
      <name val="Calibri"/>
    </font>
    <font>
      <sz val="10"/>
      <color rgb="FF000000"/>
      <name val="Arial"/>
      <scheme val="minor"/>
    </font>
    <font>
      <sz val="11"/>
      <color rgb="FFD4D4D4"/>
      <name val="Consolas"/>
    </font>
    <font>
      <sz val="11"/>
      <color rgb="FFCE9178"/>
      <name val="Consolas"/>
    </font>
  </fonts>
  <fills count="2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7E1CD"/>
        <bgColor rgb="FFB7E1CD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B7B7B7"/>
        <bgColor rgb="FFB7B7B7"/>
      </patternFill>
    </fill>
    <fill>
      <patternFill patternType="solid">
        <fgColor rgb="FF34A853"/>
        <bgColor rgb="FF34A853"/>
      </patternFill>
    </fill>
    <fill>
      <patternFill patternType="solid">
        <fgColor rgb="FFB45F06"/>
        <bgColor rgb="FFB45F06"/>
      </patternFill>
    </fill>
    <fill>
      <patternFill patternType="solid">
        <fgColor rgb="FFD5A6BD"/>
        <bgColor rgb="FFD5A6BD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/>
    <xf numFmtId="0" fontId="1" fillId="0" borderId="4" xfId="0" applyFont="1" applyBorder="1"/>
    <xf numFmtId="0" fontId="1" fillId="0" borderId="4" xfId="0" applyFont="1" applyBorder="1" applyAlignment="1">
      <alignment horizontal="center" wrapText="1"/>
    </xf>
    <xf numFmtId="0" fontId="7" fillId="0" borderId="4" xfId="0" applyFont="1" applyBorder="1" applyAlignment="1">
      <alignment vertical="center"/>
    </xf>
    <xf numFmtId="0" fontId="7" fillId="0" borderId="4" xfId="0" quotePrefix="1" applyFont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0" fontId="8" fillId="0" borderId="5" xfId="0" applyFont="1" applyBorder="1" applyAlignment="1">
      <alignment horizontal="center" vertical="center" textRotation="90"/>
    </xf>
    <xf numFmtId="0" fontId="7" fillId="0" borderId="4" xfId="0" applyFont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vertical="center"/>
    </xf>
    <xf numFmtId="0" fontId="8" fillId="0" borderId="6" xfId="0" applyFont="1" applyBorder="1" applyAlignment="1">
      <alignment horizontal="center" vertical="center" textRotation="90"/>
    </xf>
    <xf numFmtId="0" fontId="7" fillId="0" borderId="4" xfId="0" applyFont="1" applyBorder="1" applyAlignment="1">
      <alignment horizontal="center" vertical="center"/>
    </xf>
    <xf numFmtId="0" fontId="7" fillId="3" borderId="4" xfId="0" applyFont="1" applyFill="1" applyBorder="1"/>
    <xf numFmtId="0" fontId="7" fillId="0" borderId="4" xfId="0" applyFont="1" applyBorder="1"/>
    <xf numFmtId="0" fontId="9" fillId="4" borderId="0" xfId="0" applyFont="1" applyFill="1" applyAlignment="1">
      <alignment horizontal="left" vertical="center"/>
    </xf>
    <xf numFmtId="0" fontId="6" fillId="0" borderId="4" xfId="0" applyFont="1" applyBorder="1" applyAlignment="1">
      <alignment vertical="center"/>
    </xf>
    <xf numFmtId="0" fontId="6" fillId="0" borderId="4" xfId="0" applyFont="1" applyBorder="1"/>
    <xf numFmtId="0" fontId="7" fillId="0" borderId="4" xfId="0" quotePrefix="1" applyFont="1" applyBorder="1" applyAlignment="1">
      <alignment horizontal="left" vertical="center"/>
    </xf>
    <xf numFmtId="0" fontId="7" fillId="5" borderId="4" xfId="0" applyFont="1" applyFill="1" applyBorder="1" applyAlignment="1">
      <alignment vertical="center"/>
    </xf>
    <xf numFmtId="0" fontId="8" fillId="5" borderId="6" xfId="0" applyFont="1" applyFill="1" applyBorder="1" applyAlignment="1">
      <alignment horizontal="center" vertical="center" textRotation="90"/>
    </xf>
    <xf numFmtId="0" fontId="7" fillId="5" borderId="4" xfId="0" applyFont="1" applyFill="1" applyBorder="1" applyAlignment="1">
      <alignment horizontal="left" vertical="center"/>
    </xf>
    <xf numFmtId="0" fontId="11" fillId="0" borderId="0" xfId="0" applyFont="1"/>
    <xf numFmtId="0" fontId="6" fillId="0" borderId="0" xfId="0" applyFont="1" applyAlignment="1">
      <alignment vertical="center"/>
    </xf>
    <xf numFmtId="0" fontId="12" fillId="0" borderId="4" xfId="0" applyFont="1" applyBorder="1" applyAlignment="1">
      <alignment vertical="center"/>
    </xf>
    <xf numFmtId="0" fontId="13" fillId="0" borderId="3" xfId="0" applyFont="1" applyBorder="1"/>
    <xf numFmtId="0" fontId="11" fillId="0" borderId="3" xfId="0" applyFont="1" applyBorder="1"/>
    <xf numFmtId="0" fontId="7" fillId="0" borderId="3" xfId="0" applyFont="1" applyBorder="1"/>
    <xf numFmtId="0" fontId="7" fillId="2" borderId="3" xfId="0" applyFont="1" applyFill="1" applyBorder="1"/>
    <xf numFmtId="0" fontId="11" fillId="0" borderId="7" xfId="0" applyFont="1" applyBorder="1"/>
    <xf numFmtId="0" fontId="11" fillId="3" borderId="3" xfId="0" applyFont="1" applyFill="1" applyBorder="1"/>
    <xf numFmtId="0" fontId="7" fillId="6" borderId="3" xfId="0" applyFont="1" applyFill="1" applyBorder="1" applyAlignment="1">
      <alignment horizontal="center"/>
    </xf>
    <xf numFmtId="0" fontId="7" fillId="0" borderId="8" xfId="0" applyFont="1" applyBorder="1"/>
    <xf numFmtId="0" fontId="13" fillId="0" borderId="9" xfId="0" applyFont="1" applyBorder="1"/>
    <xf numFmtId="0" fontId="11" fillId="0" borderId="9" xfId="0" applyFont="1" applyBorder="1"/>
    <xf numFmtId="0" fontId="7" fillId="0" borderId="9" xfId="0" applyFont="1" applyBorder="1"/>
    <xf numFmtId="0" fontId="7" fillId="2" borderId="9" xfId="0" applyFont="1" applyFill="1" applyBorder="1"/>
    <xf numFmtId="0" fontId="11" fillId="3" borderId="9" xfId="0" applyFont="1" applyFill="1" applyBorder="1"/>
    <xf numFmtId="0" fontId="7" fillId="6" borderId="9" xfId="0" applyFont="1" applyFill="1" applyBorder="1" applyAlignment="1">
      <alignment horizontal="center"/>
    </xf>
    <xf numFmtId="0" fontId="7" fillId="7" borderId="4" xfId="0" applyFont="1" applyFill="1" applyBorder="1" applyAlignment="1">
      <alignment vertical="center"/>
    </xf>
    <xf numFmtId="0" fontId="16" fillId="0" borderId="8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6" fillId="0" borderId="9" xfId="0" applyFont="1" applyBorder="1"/>
    <xf numFmtId="0" fontId="16" fillId="0" borderId="9" xfId="0" applyFont="1" applyBorder="1" applyAlignment="1">
      <alignment horizontal="center"/>
    </xf>
    <xf numFmtId="0" fontId="16" fillId="2" borderId="9" xfId="0" applyFont="1" applyFill="1" applyBorder="1" applyAlignment="1">
      <alignment horizontal="center"/>
    </xf>
    <xf numFmtId="0" fontId="16" fillId="0" borderId="10" xfId="0" applyFont="1" applyBorder="1" applyAlignment="1">
      <alignment horizontal="center" wrapText="1"/>
    </xf>
    <xf numFmtId="0" fontId="11" fillId="3" borderId="10" xfId="0" applyFont="1" applyFill="1" applyBorder="1"/>
    <xf numFmtId="0" fontId="11" fillId="0" borderId="4" xfId="0" applyFont="1" applyBorder="1"/>
    <xf numFmtId="0" fontId="16" fillId="0" borderId="10" xfId="0" applyFont="1" applyBorder="1" applyAlignment="1">
      <alignment horizontal="center"/>
    </xf>
    <xf numFmtId="0" fontId="18" fillId="0" borderId="4" xfId="0" applyFont="1" applyBorder="1"/>
    <xf numFmtId="0" fontId="19" fillId="0" borderId="4" xfId="0" applyFont="1" applyBorder="1" applyAlignment="1">
      <alignment vertic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0" borderId="8" xfId="0" applyFont="1" applyBorder="1" applyAlignment="1">
      <alignment horizontal="center" vertical="center" textRotation="90"/>
    </xf>
    <xf numFmtId="0" fontId="7" fillId="9" borderId="4" xfId="0" applyFont="1" applyFill="1" applyBorder="1" applyAlignment="1">
      <alignment wrapText="1"/>
    </xf>
    <xf numFmtId="0" fontId="7" fillId="9" borderId="3" xfId="0" applyFont="1" applyFill="1" applyBorder="1" applyAlignment="1">
      <alignment wrapText="1"/>
    </xf>
    <xf numFmtId="49" fontId="7" fillId="9" borderId="3" xfId="0" applyNumberFormat="1" applyFont="1" applyFill="1" applyBorder="1" applyAlignment="1">
      <alignment wrapText="1"/>
    </xf>
    <xf numFmtId="0" fontId="11" fillId="9" borderId="3" xfId="0" applyFont="1" applyFill="1" applyBorder="1"/>
    <xf numFmtId="0" fontId="22" fillId="0" borderId="0" xfId="0" applyFont="1"/>
    <xf numFmtId="0" fontId="7" fillId="9" borderId="8" xfId="0" applyFont="1" applyFill="1" applyBorder="1" applyAlignment="1">
      <alignment wrapText="1"/>
    </xf>
    <xf numFmtId="0" fontId="7" fillId="9" borderId="9" xfId="0" applyFont="1" applyFill="1" applyBorder="1" applyAlignment="1">
      <alignment wrapText="1"/>
    </xf>
    <xf numFmtId="49" fontId="7" fillId="9" borderId="9" xfId="0" applyNumberFormat="1" applyFont="1" applyFill="1" applyBorder="1" applyAlignment="1">
      <alignment wrapText="1"/>
    </xf>
    <xf numFmtId="0" fontId="11" fillId="9" borderId="9" xfId="0" applyFont="1" applyFill="1" applyBorder="1"/>
    <xf numFmtId="0" fontId="7" fillId="9" borderId="3" xfId="0" applyFont="1" applyFill="1" applyBorder="1"/>
    <xf numFmtId="0" fontId="7" fillId="9" borderId="9" xfId="0" applyFont="1" applyFill="1" applyBorder="1"/>
    <xf numFmtId="0" fontId="7" fillId="10" borderId="8" xfId="0" applyFont="1" applyFill="1" applyBorder="1" applyAlignment="1">
      <alignment wrapText="1"/>
    </xf>
    <xf numFmtId="0" fontId="7" fillId="10" borderId="9" xfId="0" applyFont="1" applyFill="1" applyBorder="1" applyAlignment="1">
      <alignment wrapText="1"/>
    </xf>
    <xf numFmtId="49" fontId="7" fillId="10" borderId="9" xfId="0" applyNumberFormat="1" applyFont="1" applyFill="1" applyBorder="1" applyAlignment="1">
      <alignment wrapText="1"/>
    </xf>
    <xf numFmtId="0" fontId="11" fillId="10" borderId="9" xfId="0" applyFont="1" applyFill="1" applyBorder="1"/>
    <xf numFmtId="0" fontId="7" fillId="10" borderId="9" xfId="0" applyFont="1" applyFill="1" applyBorder="1"/>
    <xf numFmtId="0" fontId="7" fillId="10" borderId="4" xfId="0" applyFont="1" applyFill="1" applyBorder="1" applyAlignment="1">
      <alignment wrapText="1"/>
    </xf>
    <xf numFmtId="0" fontId="7" fillId="10" borderId="3" xfId="0" applyFont="1" applyFill="1" applyBorder="1" applyAlignment="1">
      <alignment wrapText="1"/>
    </xf>
    <xf numFmtId="49" fontId="7" fillId="10" borderId="3" xfId="0" applyNumberFormat="1" applyFont="1" applyFill="1" applyBorder="1" applyAlignment="1">
      <alignment wrapText="1"/>
    </xf>
    <xf numFmtId="0" fontId="11" fillId="10" borderId="3" xfId="0" applyFont="1" applyFill="1" applyBorder="1"/>
    <xf numFmtId="0" fontId="7" fillId="10" borderId="3" xfId="0" applyFont="1" applyFill="1" applyBorder="1"/>
    <xf numFmtId="0" fontId="7" fillId="11" borderId="8" xfId="0" applyFont="1" applyFill="1" applyBorder="1" applyAlignment="1">
      <alignment wrapText="1"/>
    </xf>
    <xf numFmtId="0" fontId="7" fillId="11" borderId="9" xfId="0" applyFont="1" applyFill="1" applyBorder="1" applyAlignment="1">
      <alignment wrapText="1"/>
    </xf>
    <xf numFmtId="49" fontId="7" fillId="11" borderId="9" xfId="0" applyNumberFormat="1" applyFont="1" applyFill="1" applyBorder="1" applyAlignment="1">
      <alignment wrapText="1"/>
    </xf>
    <xf numFmtId="0" fontId="11" fillId="11" borderId="9" xfId="0" applyFont="1" applyFill="1" applyBorder="1"/>
    <xf numFmtId="0" fontId="7" fillId="11" borderId="9" xfId="0" applyFont="1" applyFill="1" applyBorder="1"/>
    <xf numFmtId="0" fontId="7" fillId="12" borderId="8" xfId="0" applyFont="1" applyFill="1" applyBorder="1" applyAlignment="1">
      <alignment wrapText="1"/>
    </xf>
    <xf numFmtId="0" fontId="7" fillId="12" borderId="9" xfId="0" applyFont="1" applyFill="1" applyBorder="1" applyAlignment="1">
      <alignment wrapText="1"/>
    </xf>
    <xf numFmtId="49" fontId="7" fillId="12" borderId="9" xfId="0" applyNumberFormat="1" applyFont="1" applyFill="1" applyBorder="1" applyAlignment="1">
      <alignment wrapText="1"/>
    </xf>
    <xf numFmtId="0" fontId="11" fillId="12" borderId="9" xfId="0" applyFont="1" applyFill="1" applyBorder="1"/>
    <xf numFmtId="0" fontId="7" fillId="12" borderId="9" xfId="0" applyFont="1" applyFill="1" applyBorder="1"/>
    <xf numFmtId="0" fontId="7" fillId="5" borderId="8" xfId="0" applyFont="1" applyFill="1" applyBorder="1" applyAlignment="1">
      <alignment wrapText="1"/>
    </xf>
    <xf numFmtId="0" fontId="7" fillId="5" borderId="9" xfId="0" applyFont="1" applyFill="1" applyBorder="1" applyAlignment="1">
      <alignment wrapText="1"/>
    </xf>
    <xf numFmtId="49" fontId="7" fillId="5" borderId="9" xfId="0" applyNumberFormat="1" applyFont="1" applyFill="1" applyBorder="1" applyAlignment="1">
      <alignment wrapText="1"/>
    </xf>
    <xf numFmtId="0" fontId="11" fillId="5" borderId="9" xfId="0" applyFont="1" applyFill="1" applyBorder="1"/>
    <xf numFmtId="0" fontId="7" fillId="5" borderId="9" xfId="0" applyFont="1" applyFill="1" applyBorder="1"/>
    <xf numFmtId="0" fontId="7" fillId="13" borderId="8" xfId="0" applyFont="1" applyFill="1" applyBorder="1" applyAlignment="1">
      <alignment wrapText="1"/>
    </xf>
    <xf numFmtId="0" fontId="7" fillId="13" borderId="9" xfId="0" applyFont="1" applyFill="1" applyBorder="1" applyAlignment="1">
      <alignment wrapText="1"/>
    </xf>
    <xf numFmtId="49" fontId="7" fillId="13" borderId="9" xfId="0" applyNumberFormat="1" applyFont="1" applyFill="1" applyBorder="1" applyAlignment="1">
      <alignment wrapText="1"/>
    </xf>
    <xf numFmtId="0" fontId="11" fillId="13" borderId="9" xfId="0" applyFont="1" applyFill="1" applyBorder="1"/>
    <xf numFmtId="0" fontId="7" fillId="13" borderId="9" xfId="0" applyFont="1" applyFill="1" applyBorder="1"/>
    <xf numFmtId="0" fontId="7" fillId="14" borderId="8" xfId="0" applyFont="1" applyFill="1" applyBorder="1" applyAlignment="1">
      <alignment wrapText="1"/>
    </xf>
    <xf numFmtId="0" fontId="7" fillId="14" borderId="9" xfId="0" applyFont="1" applyFill="1" applyBorder="1" applyAlignment="1">
      <alignment wrapText="1"/>
    </xf>
    <xf numFmtId="49" fontId="7" fillId="14" borderId="9" xfId="0" applyNumberFormat="1" applyFont="1" applyFill="1" applyBorder="1" applyAlignment="1">
      <alignment wrapText="1"/>
    </xf>
    <xf numFmtId="0" fontId="11" fillId="14" borderId="9" xfId="0" applyFont="1" applyFill="1" applyBorder="1"/>
    <xf numFmtId="0" fontId="7" fillId="14" borderId="9" xfId="0" applyFont="1" applyFill="1" applyBorder="1"/>
    <xf numFmtId="0" fontId="7" fillId="15" borderId="8" xfId="0" applyFont="1" applyFill="1" applyBorder="1" applyAlignment="1">
      <alignment wrapText="1"/>
    </xf>
    <xf numFmtId="0" fontId="7" fillId="15" borderId="9" xfId="0" applyFont="1" applyFill="1" applyBorder="1" applyAlignment="1">
      <alignment wrapText="1"/>
    </xf>
    <xf numFmtId="49" fontId="7" fillId="15" borderId="9" xfId="0" applyNumberFormat="1" applyFont="1" applyFill="1" applyBorder="1" applyAlignment="1">
      <alignment wrapText="1"/>
    </xf>
    <xf numFmtId="0" fontId="11" fillId="15" borderId="9" xfId="0" applyFont="1" applyFill="1" applyBorder="1"/>
    <xf numFmtId="0" fontId="7" fillId="15" borderId="9" xfId="0" applyFont="1" applyFill="1" applyBorder="1"/>
    <xf numFmtId="0" fontId="7" fillId="16" borderId="8" xfId="0" applyFont="1" applyFill="1" applyBorder="1" applyAlignment="1">
      <alignment wrapText="1"/>
    </xf>
    <xf numFmtId="0" fontId="7" fillId="16" borderId="9" xfId="0" applyFont="1" applyFill="1" applyBorder="1" applyAlignment="1">
      <alignment wrapText="1"/>
    </xf>
    <xf numFmtId="49" fontId="7" fillId="16" borderId="9" xfId="0" applyNumberFormat="1" applyFont="1" applyFill="1" applyBorder="1" applyAlignment="1">
      <alignment wrapText="1"/>
    </xf>
    <xf numFmtId="0" fontId="11" fillId="16" borderId="9" xfId="0" applyFont="1" applyFill="1" applyBorder="1"/>
    <xf numFmtId="0" fontId="7" fillId="16" borderId="9" xfId="0" applyFont="1" applyFill="1" applyBorder="1"/>
    <xf numFmtId="0" fontId="7" fillId="17" borderId="8" xfId="0" applyFont="1" applyFill="1" applyBorder="1" applyAlignment="1">
      <alignment wrapText="1"/>
    </xf>
    <xf numFmtId="0" fontId="7" fillId="17" borderId="9" xfId="0" applyFont="1" applyFill="1" applyBorder="1" applyAlignment="1">
      <alignment wrapText="1"/>
    </xf>
    <xf numFmtId="49" fontId="7" fillId="17" borderId="9" xfId="0" applyNumberFormat="1" applyFont="1" applyFill="1" applyBorder="1" applyAlignment="1">
      <alignment wrapText="1"/>
    </xf>
    <xf numFmtId="0" fontId="11" fillId="17" borderId="9" xfId="0" applyFont="1" applyFill="1" applyBorder="1"/>
    <xf numFmtId="0" fontId="7" fillId="17" borderId="9" xfId="0" applyFont="1" applyFill="1" applyBorder="1"/>
    <xf numFmtId="0" fontId="7" fillId="0" borderId="8" xfId="0" applyFont="1" applyBorder="1" applyAlignment="1">
      <alignment wrapText="1"/>
    </xf>
    <xf numFmtId="0" fontId="7" fillId="0" borderId="9" xfId="0" applyFont="1" applyBorder="1" applyAlignment="1">
      <alignment wrapText="1"/>
    </xf>
    <xf numFmtId="49" fontId="7" fillId="0" borderId="9" xfId="0" applyNumberFormat="1" applyFont="1" applyBorder="1" applyAlignment="1">
      <alignment wrapText="1"/>
    </xf>
    <xf numFmtId="0" fontId="7" fillId="4" borderId="9" xfId="0" applyFont="1" applyFill="1" applyBorder="1" applyAlignment="1">
      <alignment wrapText="1"/>
    </xf>
    <xf numFmtId="0" fontId="11" fillId="4" borderId="9" xfId="0" applyFont="1" applyFill="1" applyBorder="1"/>
    <xf numFmtId="0" fontId="7" fillId="4" borderId="9" xfId="0" applyFont="1" applyFill="1" applyBorder="1"/>
    <xf numFmtId="0" fontId="7" fillId="18" borderId="8" xfId="0" applyFont="1" applyFill="1" applyBorder="1" applyAlignment="1">
      <alignment wrapText="1"/>
    </xf>
    <xf numFmtId="0" fontId="7" fillId="18" borderId="9" xfId="0" applyFont="1" applyFill="1" applyBorder="1" applyAlignment="1">
      <alignment wrapText="1"/>
    </xf>
    <xf numFmtId="49" fontId="7" fillId="18" borderId="9" xfId="0" applyNumberFormat="1" applyFont="1" applyFill="1" applyBorder="1" applyAlignment="1">
      <alignment wrapText="1"/>
    </xf>
    <xf numFmtId="0" fontId="11" fillId="18" borderId="9" xfId="0" applyFont="1" applyFill="1" applyBorder="1"/>
    <xf numFmtId="0" fontId="7" fillId="18" borderId="9" xfId="0" applyFont="1" applyFill="1" applyBorder="1"/>
    <xf numFmtId="0" fontId="7" fillId="19" borderId="8" xfId="0" applyFont="1" applyFill="1" applyBorder="1" applyAlignment="1">
      <alignment wrapText="1"/>
    </xf>
    <xf numFmtId="0" fontId="7" fillId="19" borderId="9" xfId="0" applyFont="1" applyFill="1" applyBorder="1" applyAlignment="1">
      <alignment wrapText="1"/>
    </xf>
    <xf numFmtId="49" fontId="7" fillId="19" borderId="9" xfId="0" applyNumberFormat="1" applyFont="1" applyFill="1" applyBorder="1" applyAlignment="1">
      <alignment wrapText="1"/>
    </xf>
    <xf numFmtId="0" fontId="11" fillId="19" borderId="9" xfId="0" applyFont="1" applyFill="1" applyBorder="1"/>
    <xf numFmtId="0" fontId="7" fillId="19" borderId="9" xfId="0" applyFont="1" applyFill="1" applyBorder="1"/>
    <xf numFmtId="0" fontId="23" fillId="0" borderId="4" xfId="0" applyFont="1" applyBorder="1"/>
    <xf numFmtId="0" fontId="6" fillId="0" borderId="7" xfId="0" applyFont="1" applyBorder="1"/>
    <xf numFmtId="0" fontId="24" fillId="0" borderId="4" xfId="0" applyFont="1" applyBorder="1"/>
    <xf numFmtId="0" fontId="24" fillId="0" borderId="5" xfId="0" applyFont="1" applyBorder="1"/>
    <xf numFmtId="0" fontId="24" fillId="0" borderId="6" xfId="0" applyFont="1" applyBorder="1"/>
    <xf numFmtId="0" fontId="24" fillId="0" borderId="8" xfId="0" applyFont="1" applyBorder="1"/>
    <xf numFmtId="0" fontId="24" fillId="0" borderId="0" xfId="0" applyFont="1"/>
    <xf numFmtId="0" fontId="24" fillId="0" borderId="0" xfId="0" applyFont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25" fillId="0" borderId="0" xfId="0" applyFont="1"/>
    <xf numFmtId="0" fontId="26" fillId="0" borderId="0" xfId="0" applyFont="1"/>
    <xf numFmtId="0" fontId="27" fillId="0" borderId="0" xfId="0" applyFont="1"/>
    <xf numFmtId="0" fontId="23" fillId="0" borderId="0" xfId="0" applyFont="1"/>
    <xf numFmtId="164" fontId="6" fillId="0" borderId="0" xfId="0" applyNumberFormat="1" applyFont="1"/>
    <xf numFmtId="49" fontId="6" fillId="0" borderId="0" xfId="0" applyNumberFormat="1" applyFont="1"/>
    <xf numFmtId="164" fontId="25" fillId="0" borderId="0" xfId="0" applyNumberFormat="1" applyFont="1"/>
    <xf numFmtId="165" fontId="6" fillId="0" borderId="0" xfId="0" applyNumberFormat="1" applyFont="1"/>
    <xf numFmtId="0" fontId="7" fillId="0" borderId="1" xfId="0" applyFont="1" applyBorder="1" applyAlignment="1">
      <alignment horizontal="left" vertical="center"/>
    </xf>
    <xf numFmtId="0" fontId="5" fillId="0" borderId="2" xfId="0" applyFont="1" applyBorder="1"/>
    <xf numFmtId="0" fontId="5" fillId="0" borderId="3" xfId="0" applyFont="1" applyBorder="1"/>
    <xf numFmtId="0" fontId="11" fillId="0" borderId="2" xfId="0" applyFont="1" applyBorder="1"/>
    <xf numFmtId="0" fontId="15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textRotation="90"/>
    </xf>
    <xf numFmtId="0" fontId="5" fillId="0" borderId="6" xfId="0" applyFont="1" applyBorder="1"/>
    <xf numFmtId="0" fontId="5" fillId="0" borderId="8" xfId="0" applyFont="1" applyBorder="1"/>
  </cellXfs>
  <cellStyles count="1">
    <cellStyle name="Normal" xfId="0" builtinId="0"/>
  </cellStyles>
  <dxfs count="6"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W1083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outlineLevelCol="1"/>
  <cols>
    <col min="1" max="1" width="7.42578125" customWidth="1"/>
    <col min="2" max="2" width="9.7109375" customWidth="1"/>
    <col min="3" max="3" width="15.42578125" customWidth="1"/>
    <col min="4" max="6" width="10.5703125" customWidth="1"/>
    <col min="7" max="7" width="9.5703125" customWidth="1"/>
    <col min="8" max="8" width="13.85546875" customWidth="1"/>
    <col min="9" max="9" width="21.5703125" customWidth="1"/>
    <col min="10" max="10" width="4.28515625" customWidth="1"/>
    <col min="11" max="11" width="20.42578125" customWidth="1" outlineLevel="1"/>
    <col min="12" max="12" width="23.140625" customWidth="1" outlineLevel="1"/>
    <col min="13" max="13" width="37.42578125" customWidth="1" outlineLevel="1"/>
    <col min="14" max="14" width="21.85546875" customWidth="1" outlineLevel="1"/>
    <col min="15" max="16" width="36.28515625" customWidth="1" outlineLevel="1"/>
    <col min="17" max="17" width="21.85546875" customWidth="1" outlineLevel="1"/>
    <col min="18" max="18" width="14" customWidth="1"/>
    <col min="19" max="19" width="12.42578125" customWidth="1"/>
    <col min="20" max="20" width="3.42578125" customWidth="1" collapsed="1"/>
    <col min="21" max="21" width="15.85546875" hidden="1" customWidth="1" outlineLevel="1"/>
    <col min="22" max="25" width="12.42578125" hidden="1" customWidth="1" outlineLevel="1"/>
    <col min="26" max="27" width="12.42578125" customWidth="1"/>
    <col min="28" max="28" width="40.42578125" customWidth="1"/>
    <col min="29" max="29" width="43.7109375" customWidth="1"/>
  </cols>
  <sheetData>
    <row r="1" spans="1:49" ht="16.5">
      <c r="A1" s="1"/>
      <c r="B1" s="1"/>
      <c r="C1" s="1"/>
      <c r="D1" s="1"/>
      <c r="E1" s="1"/>
      <c r="F1" s="1"/>
      <c r="G1" s="2">
        <v>1</v>
      </c>
      <c r="H1" s="2">
        <v>2</v>
      </c>
      <c r="I1" s="2">
        <v>3</v>
      </c>
      <c r="J1" s="3"/>
      <c r="K1" s="156" t="s">
        <v>0</v>
      </c>
      <c r="L1" s="152"/>
      <c r="M1" s="152"/>
      <c r="N1" s="152"/>
      <c r="O1" s="152"/>
      <c r="P1" s="152"/>
      <c r="Q1" s="152"/>
      <c r="R1" s="152"/>
      <c r="S1" s="153"/>
      <c r="T1" s="1"/>
      <c r="U1" s="157" t="s">
        <v>1</v>
      </c>
      <c r="V1" s="152"/>
      <c r="W1" s="152"/>
      <c r="X1" s="152"/>
      <c r="Y1" s="152"/>
      <c r="Z1" s="152"/>
      <c r="AA1" s="153"/>
      <c r="AB1" s="1"/>
      <c r="AC1" s="1"/>
      <c r="AD1" s="4"/>
    </row>
    <row r="2" spans="1:49" ht="31.5" customHeight="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/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6" t="s">
        <v>18</v>
      </c>
      <c r="S2" s="6" t="s">
        <v>19</v>
      </c>
      <c r="T2" s="5"/>
      <c r="U2" s="5" t="s">
        <v>20</v>
      </c>
      <c r="V2" s="5" t="s">
        <v>21</v>
      </c>
      <c r="W2" s="5" t="s">
        <v>22</v>
      </c>
      <c r="X2" s="5" t="s">
        <v>23</v>
      </c>
      <c r="Y2" s="5" t="s">
        <v>24</v>
      </c>
      <c r="Z2" s="6" t="s">
        <v>18</v>
      </c>
      <c r="AA2" s="6" t="s">
        <v>19</v>
      </c>
      <c r="AB2" s="5" t="s">
        <v>25</v>
      </c>
      <c r="AC2" s="5" t="s">
        <v>26</v>
      </c>
      <c r="AD2" s="4" t="s">
        <v>27</v>
      </c>
    </row>
    <row r="3" spans="1:49" ht="30.75" customHeight="1">
      <c r="A3" s="7" t="s">
        <v>28</v>
      </c>
      <c r="B3" s="7" t="s">
        <v>29</v>
      </c>
      <c r="C3" s="7" t="s">
        <v>30</v>
      </c>
      <c r="D3" s="8" t="s">
        <v>31</v>
      </c>
      <c r="E3" s="8" t="s">
        <v>32</v>
      </c>
      <c r="F3" s="7" t="s">
        <v>33</v>
      </c>
      <c r="G3" s="9" t="str">
        <f>HLOOKUP($F3,'Sensor Type Details'!$B$1:$R$4,G$1+1)</f>
        <v>Gateway</v>
      </c>
      <c r="H3" s="9" t="str">
        <f>HLOOKUP($F3,'Sensor Type Details'!$B$1:$R$4,H$1+1)</f>
        <v>Rackwireless</v>
      </c>
      <c r="I3" s="9" t="str">
        <f>HLOOKUP($F3,'Sensor Type Details'!$B$1:$R$4,I$1+1)</f>
        <v>RAK7240</v>
      </c>
      <c r="J3" s="10" t="str">
        <f>K1</f>
        <v>LoRaWAN and test codes</v>
      </c>
      <c r="K3" s="11" t="s">
        <v>34</v>
      </c>
      <c r="L3" s="11" t="s">
        <v>35</v>
      </c>
      <c r="M3" s="12"/>
      <c r="N3" s="12"/>
      <c r="O3" s="12"/>
      <c r="P3" s="12"/>
      <c r="Q3" s="12"/>
      <c r="R3" s="12"/>
      <c r="S3" s="12"/>
      <c r="T3" s="10" t="str">
        <f>U1</f>
        <v>All Other connection Reference</v>
      </c>
      <c r="U3" s="13"/>
      <c r="V3" s="13"/>
      <c r="W3" s="13"/>
      <c r="X3" s="13"/>
      <c r="Y3" s="13"/>
      <c r="Z3" s="13"/>
      <c r="AA3" s="13"/>
      <c r="AB3" s="13"/>
      <c r="AC3" s="7"/>
    </row>
    <row r="4" spans="1:49" ht="30.75" customHeight="1">
      <c r="A4" s="7" t="s">
        <v>36</v>
      </c>
      <c r="B4" s="7" t="s">
        <v>29</v>
      </c>
      <c r="C4" s="7" t="s">
        <v>37</v>
      </c>
      <c r="D4" s="8" t="s">
        <v>31</v>
      </c>
      <c r="E4" s="8" t="s">
        <v>32</v>
      </c>
      <c r="F4" s="7" t="s">
        <v>38</v>
      </c>
      <c r="G4" s="9" t="str">
        <f>HLOOKUP($F4,'Sensor Type Details'!$B$1:$R$4,G$1+1)</f>
        <v>Sensor</v>
      </c>
      <c r="H4" s="9" t="str">
        <f>HLOOKUP($F4,'Sensor Type Details'!$B$1:$R$4,H$1+1)</f>
        <v>Seeeds</v>
      </c>
      <c r="I4" s="9" t="str">
        <f>HLOOKUP($F4,'Sensor Type Details'!$B$1:$R$4,I$1+1)</f>
        <v>SenseCAPS2103</v>
      </c>
      <c r="J4" s="14"/>
      <c r="K4" s="11" t="s">
        <v>39</v>
      </c>
      <c r="L4" s="11" t="s">
        <v>40</v>
      </c>
      <c r="M4" s="11" t="s">
        <v>41</v>
      </c>
      <c r="N4" s="12"/>
      <c r="O4" s="12"/>
      <c r="P4" s="12"/>
      <c r="Q4" s="11" t="s">
        <v>42</v>
      </c>
      <c r="R4" s="15" t="s">
        <v>43</v>
      </c>
      <c r="S4" s="15" t="s">
        <v>43</v>
      </c>
      <c r="T4" s="14"/>
      <c r="U4" s="13"/>
      <c r="V4" s="13"/>
      <c r="W4" s="13"/>
      <c r="X4" s="13"/>
      <c r="Y4" s="13"/>
      <c r="Z4" s="13"/>
      <c r="AA4" s="13"/>
      <c r="AB4" s="7" t="s">
        <v>44</v>
      </c>
      <c r="AC4" s="7"/>
    </row>
    <row r="5" spans="1:49" ht="30.75" customHeight="1">
      <c r="A5" s="7" t="s">
        <v>45</v>
      </c>
      <c r="B5" s="7" t="s">
        <v>29</v>
      </c>
      <c r="C5" s="7" t="s">
        <v>46</v>
      </c>
      <c r="D5" s="8" t="s">
        <v>31</v>
      </c>
      <c r="E5" s="8" t="s">
        <v>32</v>
      </c>
      <c r="F5" s="7" t="s">
        <v>47</v>
      </c>
      <c r="G5" s="9" t="str">
        <f>HLOOKUP($F5,'Sensor Type Details'!$B$1:$R$4,G$1+1)</f>
        <v>Sensor</v>
      </c>
      <c r="H5" s="9" t="str">
        <f>HLOOKUP($F5,'Sensor Type Details'!$B$1:$R$4,H$1+1)</f>
        <v>Seeeds</v>
      </c>
      <c r="I5" s="9" t="str">
        <f>HLOOKUP($F5,'Sensor Type Details'!$B$1:$R$4,I$1+1)</f>
        <v>SenseCAP Soil Moisture and Temperature</v>
      </c>
      <c r="J5" s="14"/>
      <c r="K5" s="11" t="s">
        <v>48</v>
      </c>
      <c r="L5" s="11" t="s">
        <v>49</v>
      </c>
      <c r="M5" s="11" t="s">
        <v>50</v>
      </c>
      <c r="N5" s="12"/>
      <c r="O5" s="12"/>
      <c r="P5" s="12"/>
      <c r="Q5" s="11" t="s">
        <v>51</v>
      </c>
      <c r="R5" s="15" t="s">
        <v>43</v>
      </c>
      <c r="S5" s="15" t="s">
        <v>43</v>
      </c>
      <c r="T5" s="14"/>
      <c r="U5" s="16"/>
      <c r="V5" s="16"/>
      <c r="W5" s="16"/>
      <c r="X5" s="16"/>
      <c r="Y5" s="16"/>
      <c r="Z5" s="16"/>
      <c r="AA5" s="16"/>
      <c r="AB5" s="17" t="s">
        <v>52</v>
      </c>
      <c r="AC5" s="7"/>
    </row>
    <row r="6" spans="1:49" ht="30.75" customHeight="1">
      <c r="A6" s="7" t="s">
        <v>53</v>
      </c>
      <c r="B6" s="7" t="s">
        <v>29</v>
      </c>
      <c r="C6" s="7" t="s">
        <v>54</v>
      </c>
      <c r="D6" s="8" t="s">
        <v>31</v>
      </c>
      <c r="E6" s="8" t="s">
        <v>32</v>
      </c>
      <c r="F6" s="7" t="s">
        <v>55</v>
      </c>
      <c r="G6" s="9" t="str">
        <f>HLOOKUP($F6,'Sensor Type Details'!$B$1:$R$4,G$1+1)</f>
        <v>Sensor</v>
      </c>
      <c r="H6" s="9" t="str">
        <f>HLOOKUP($F6,'Sensor Type Details'!$B$1:$R$4,H$1+1)</f>
        <v>Milesight</v>
      </c>
      <c r="I6" s="9" t="str">
        <f>HLOOKUP($F6,'Sensor Type Details'!$B$1:$R$4,I$1+1)</f>
        <v>LoRa_Controlle-UC511</v>
      </c>
      <c r="J6" s="14"/>
      <c r="K6" s="11" t="s">
        <v>56</v>
      </c>
      <c r="L6" s="11" t="s">
        <v>57</v>
      </c>
      <c r="M6" s="11" t="s">
        <v>58</v>
      </c>
      <c r="N6" s="12"/>
      <c r="O6" s="12"/>
      <c r="P6" s="12"/>
      <c r="Q6" s="18" t="s">
        <v>59</v>
      </c>
      <c r="R6" s="15" t="s">
        <v>43</v>
      </c>
      <c r="S6" s="15" t="s">
        <v>43</v>
      </c>
      <c r="T6" s="14"/>
      <c r="U6" s="16"/>
      <c r="V6" s="16"/>
      <c r="W6" s="16"/>
      <c r="X6" s="16"/>
      <c r="Y6" s="16"/>
      <c r="Z6" s="16"/>
      <c r="AA6" s="16"/>
      <c r="AB6" s="7" t="s">
        <v>60</v>
      </c>
      <c r="AC6" s="19"/>
    </row>
    <row r="7" spans="1:49" ht="30.75" customHeight="1">
      <c r="A7" s="7" t="s">
        <v>61</v>
      </c>
      <c r="B7" s="7" t="s">
        <v>29</v>
      </c>
      <c r="C7" s="7" t="s">
        <v>62</v>
      </c>
      <c r="D7" s="8" t="s">
        <v>31</v>
      </c>
      <c r="E7" s="8" t="s">
        <v>32</v>
      </c>
      <c r="F7" s="7" t="s">
        <v>63</v>
      </c>
      <c r="G7" s="9" t="str">
        <f>HLOOKUP($F7,'Sensor Type Details'!$B$1:$R$4,G$1+1)</f>
        <v>Sensor</v>
      </c>
      <c r="H7" s="9" t="str">
        <f>HLOOKUP($F7,'Sensor Type Details'!$B$1:$R$4,H$1+1)</f>
        <v>IQNexus</v>
      </c>
      <c r="I7" s="9" t="str">
        <f>HLOOKUP($F7,'Sensor Type Details'!$B$1:$R$4,I$1+1)</f>
        <v>SenProbe - 3B-LR12</v>
      </c>
      <c r="J7" s="14"/>
      <c r="K7" s="11" t="s">
        <v>64</v>
      </c>
      <c r="L7" s="11" t="s">
        <v>65</v>
      </c>
      <c r="M7" s="11" t="s">
        <v>66</v>
      </c>
      <c r="N7" s="12"/>
      <c r="O7" s="12"/>
      <c r="P7" s="12"/>
      <c r="Q7" s="11" t="s">
        <v>67</v>
      </c>
      <c r="R7" s="15" t="s">
        <v>43</v>
      </c>
      <c r="S7" s="15" t="s">
        <v>43</v>
      </c>
      <c r="T7" s="14"/>
      <c r="U7" s="16"/>
      <c r="V7" s="16"/>
      <c r="W7" s="16"/>
      <c r="X7" s="16"/>
      <c r="Y7" s="16"/>
      <c r="Z7" s="16"/>
      <c r="AA7" s="16"/>
      <c r="AB7" s="17" t="s">
        <v>68</v>
      </c>
      <c r="AC7" s="20"/>
    </row>
    <row r="8" spans="1:49" ht="30.75" customHeight="1">
      <c r="A8" s="7" t="s">
        <v>69</v>
      </c>
      <c r="B8" s="7" t="s">
        <v>29</v>
      </c>
      <c r="C8" s="7" t="s">
        <v>70</v>
      </c>
      <c r="D8" s="8" t="s">
        <v>31</v>
      </c>
      <c r="E8" s="8" t="s">
        <v>32</v>
      </c>
      <c r="F8" s="7" t="s">
        <v>71</v>
      </c>
      <c r="G8" s="9" t="str">
        <f>HLOOKUP($F8,'Sensor Type Details'!$B$1:$R$4,G$1+1)</f>
        <v>Sensor</v>
      </c>
      <c r="H8" s="9" t="str">
        <f>HLOOKUP($F8,'Sensor Type Details'!$B$1:$R$4,H$1+1)</f>
        <v>IQNexus</v>
      </c>
      <c r="I8" s="9" t="str">
        <f>HLOOKUP($F8,'Sensor Type Details'!$B$1:$R$4,I$1+1)</f>
        <v>SenPulse-PCT-3A-LR-S</v>
      </c>
      <c r="J8" s="14"/>
      <c r="K8" s="11" t="s">
        <v>72</v>
      </c>
      <c r="L8" s="21" t="s">
        <v>73</v>
      </c>
      <c r="M8" s="11" t="s">
        <v>74</v>
      </c>
      <c r="N8" s="12"/>
      <c r="O8" s="12"/>
      <c r="P8" s="12"/>
      <c r="Q8" s="11" t="s">
        <v>75</v>
      </c>
      <c r="R8" s="15" t="s">
        <v>43</v>
      </c>
      <c r="S8" s="15" t="s">
        <v>43</v>
      </c>
      <c r="T8" s="14"/>
      <c r="U8" s="16"/>
      <c r="V8" s="16"/>
      <c r="W8" s="16"/>
      <c r="X8" s="16"/>
      <c r="Y8" s="16"/>
      <c r="Z8" s="16"/>
      <c r="AA8" s="16"/>
      <c r="AB8" s="17" t="s">
        <v>76</v>
      </c>
      <c r="AC8" s="17"/>
    </row>
    <row r="9" spans="1:49" ht="30.75" customHeight="1">
      <c r="A9" s="22"/>
      <c r="B9" s="22"/>
      <c r="C9" s="22"/>
      <c r="D9" s="22"/>
      <c r="E9" s="22"/>
      <c r="F9" s="22"/>
      <c r="G9" s="22"/>
      <c r="H9" s="22"/>
      <c r="I9" s="22"/>
      <c r="J9" s="23"/>
      <c r="K9" s="24"/>
      <c r="L9" s="24"/>
      <c r="M9" s="24"/>
      <c r="N9" s="12"/>
      <c r="O9" s="12"/>
      <c r="P9" s="12"/>
      <c r="Q9" s="11"/>
      <c r="R9" s="15"/>
      <c r="S9" s="15"/>
      <c r="T9" s="14"/>
      <c r="U9" s="16"/>
      <c r="V9" s="16"/>
      <c r="W9" s="16"/>
      <c r="X9" s="16"/>
      <c r="Y9" s="16"/>
      <c r="Z9" s="16"/>
      <c r="AA9" s="16"/>
      <c r="AB9" s="17"/>
      <c r="AC9" s="17"/>
    </row>
    <row r="10" spans="1:49" ht="30.75" customHeight="1">
      <c r="A10" s="158" t="s">
        <v>77</v>
      </c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3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6"/>
      <c r="AW10" s="26"/>
    </row>
    <row r="11" spans="1:49" ht="30.75" customHeight="1">
      <c r="A11" s="7" t="s">
        <v>78</v>
      </c>
      <c r="B11" s="27" t="s">
        <v>79</v>
      </c>
      <c r="C11" s="7" t="s">
        <v>80</v>
      </c>
      <c r="D11" s="7"/>
      <c r="E11" s="7"/>
      <c r="F11" s="7" t="s">
        <v>33</v>
      </c>
      <c r="G11" s="9" t="str">
        <f>HLOOKUP($F11,'Sensor Type Details'!$B$1:$R$4,G$1+1)</f>
        <v>Gateway</v>
      </c>
      <c r="H11" s="9" t="str">
        <f>HLOOKUP($F11,'Sensor Type Details'!$B$1:$R$4,H$1+1)</f>
        <v>Rackwireless</v>
      </c>
      <c r="I11" s="9" t="str">
        <f>HLOOKUP($F11,'Sensor Type Details'!$B$1:$R$4,I$1+1)</f>
        <v>RAK7240</v>
      </c>
      <c r="J11" s="14"/>
      <c r="K11" s="11" t="s">
        <v>81</v>
      </c>
      <c r="L11" s="11" t="s">
        <v>82</v>
      </c>
      <c r="M11" s="12"/>
      <c r="N11" s="12"/>
      <c r="O11" s="12"/>
      <c r="P11" s="12"/>
      <c r="Q11" s="12"/>
      <c r="R11" s="12"/>
      <c r="S11" s="12"/>
      <c r="T11" s="14"/>
      <c r="U11" s="13"/>
      <c r="V11" s="13"/>
      <c r="W11" s="13"/>
      <c r="X11" s="13"/>
      <c r="Y11" s="13"/>
      <c r="Z11" s="13"/>
      <c r="AA11" s="13"/>
      <c r="AB11" s="13"/>
      <c r="AC11" s="19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</row>
    <row r="12" spans="1:49" ht="30.75" customHeight="1">
      <c r="A12" s="7" t="s">
        <v>83</v>
      </c>
      <c r="B12" s="27" t="s">
        <v>79</v>
      </c>
      <c r="C12" s="7" t="s">
        <v>84</v>
      </c>
      <c r="D12" s="7"/>
      <c r="E12" s="7"/>
      <c r="F12" s="7" t="s">
        <v>33</v>
      </c>
      <c r="G12" s="9" t="str">
        <f>HLOOKUP($F12,'Sensor Type Details'!$B$1:$R$4,G$1+1)</f>
        <v>Gateway</v>
      </c>
      <c r="H12" s="9" t="str">
        <f>HLOOKUP($F12,'Sensor Type Details'!$B$1:$R$4,H$1+1)</f>
        <v>Rackwireless</v>
      </c>
      <c r="I12" s="9" t="str">
        <f>HLOOKUP($F12,'Sensor Type Details'!$B$1:$R$4,I$1+1)</f>
        <v>RAK7240</v>
      </c>
      <c r="J12" s="14"/>
      <c r="K12" s="11" t="s">
        <v>85</v>
      </c>
      <c r="L12" s="11" t="s">
        <v>86</v>
      </c>
      <c r="M12" s="12"/>
      <c r="N12" s="12"/>
      <c r="O12" s="12"/>
      <c r="P12" s="12"/>
      <c r="Q12" s="12"/>
      <c r="R12" s="12"/>
      <c r="S12" s="12"/>
      <c r="T12" s="14"/>
      <c r="U12" s="13"/>
      <c r="V12" s="13"/>
      <c r="W12" s="13"/>
      <c r="X12" s="13"/>
      <c r="Y12" s="13"/>
      <c r="Z12" s="13"/>
      <c r="AA12" s="13"/>
      <c r="AB12" s="13"/>
      <c r="AC12" s="19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</row>
    <row r="13" spans="1:49" ht="30.75" customHeight="1">
      <c r="A13" s="7" t="s">
        <v>87</v>
      </c>
      <c r="B13" s="27" t="s">
        <v>79</v>
      </c>
      <c r="C13" s="7"/>
      <c r="D13" s="7"/>
      <c r="E13" s="7"/>
      <c r="F13" s="7" t="s">
        <v>63</v>
      </c>
      <c r="G13" s="9" t="str">
        <f>HLOOKUP($F13,'Sensor Type Details'!$B$1:$R$4,G$1+1)</f>
        <v>Sensor</v>
      </c>
      <c r="H13" s="9" t="str">
        <f>HLOOKUP($F13,'Sensor Type Details'!$B$1:$R$4,H$1+1)</f>
        <v>IQNexus</v>
      </c>
      <c r="I13" s="9" t="str">
        <f>HLOOKUP($F13,'Sensor Type Details'!$B$1:$R$4,I$1+1)</f>
        <v>SenProbe - 3B-LR12</v>
      </c>
      <c r="J13" s="14"/>
      <c r="K13" s="11" t="s">
        <v>88</v>
      </c>
      <c r="L13" s="21" t="s">
        <v>73</v>
      </c>
      <c r="M13" s="11" t="s">
        <v>74</v>
      </c>
      <c r="N13" s="12"/>
      <c r="O13" s="12"/>
      <c r="P13" s="12"/>
      <c r="Q13" s="12"/>
      <c r="R13" s="15" t="s">
        <v>43</v>
      </c>
      <c r="S13" s="15"/>
      <c r="T13" s="14"/>
      <c r="U13" s="13"/>
      <c r="V13" s="13"/>
      <c r="W13" s="13"/>
      <c r="X13" s="13"/>
      <c r="Y13" s="13"/>
      <c r="Z13" s="13"/>
      <c r="AA13" s="13"/>
      <c r="AB13" s="17" t="s">
        <v>68</v>
      </c>
      <c r="AC13" s="19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</row>
    <row r="14" spans="1:49" ht="30.75" customHeight="1">
      <c r="A14" s="7" t="s">
        <v>89</v>
      </c>
      <c r="B14" s="27" t="s">
        <v>79</v>
      </c>
      <c r="C14" s="7"/>
      <c r="D14" s="7"/>
      <c r="E14" s="7"/>
      <c r="F14" s="7" t="s">
        <v>63</v>
      </c>
      <c r="G14" s="9" t="str">
        <f>HLOOKUP($F14,'Sensor Type Details'!$B$1:$R$4,G$1+1)</f>
        <v>Sensor</v>
      </c>
      <c r="H14" s="9" t="str">
        <f>HLOOKUP($F14,'Sensor Type Details'!$B$1:$R$4,H$1+1)</f>
        <v>IQNexus</v>
      </c>
      <c r="I14" s="9" t="str">
        <f>HLOOKUP($F14,'Sensor Type Details'!$B$1:$R$4,I$1+1)</f>
        <v>SenProbe - 3B-LR12</v>
      </c>
      <c r="J14" s="14"/>
      <c r="K14" s="11" t="s">
        <v>90</v>
      </c>
      <c r="L14" s="21" t="s">
        <v>73</v>
      </c>
      <c r="M14" s="11" t="s">
        <v>74</v>
      </c>
      <c r="N14" s="12"/>
      <c r="O14" s="12"/>
      <c r="P14" s="12"/>
      <c r="Q14" s="12"/>
      <c r="R14" s="15" t="s">
        <v>43</v>
      </c>
      <c r="S14" s="15"/>
      <c r="T14" s="14"/>
      <c r="U14" s="13"/>
      <c r="V14" s="13"/>
      <c r="W14" s="13"/>
      <c r="X14" s="13"/>
      <c r="Y14" s="13"/>
      <c r="Z14" s="13"/>
      <c r="AA14" s="13"/>
      <c r="AB14" s="17" t="s">
        <v>68</v>
      </c>
      <c r="AC14" s="19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</row>
    <row r="15" spans="1:49" ht="30.75" customHeight="1">
      <c r="A15" s="7" t="s">
        <v>91</v>
      </c>
      <c r="B15" s="27" t="s">
        <v>79</v>
      </c>
      <c r="C15" s="7"/>
      <c r="D15" s="7"/>
      <c r="E15" s="7"/>
      <c r="F15" s="7" t="s">
        <v>63</v>
      </c>
      <c r="G15" s="9" t="str">
        <f>HLOOKUP($F15,'Sensor Type Details'!$B$1:$R$4,G$1+1)</f>
        <v>Sensor</v>
      </c>
      <c r="H15" s="9" t="str">
        <f>HLOOKUP($F15,'Sensor Type Details'!$B$1:$R$4,H$1+1)</f>
        <v>IQNexus</v>
      </c>
      <c r="I15" s="9" t="str">
        <f>HLOOKUP($F15,'Sensor Type Details'!$B$1:$R$4,I$1+1)</f>
        <v>SenProbe - 3B-LR12</v>
      </c>
      <c r="J15" s="14"/>
      <c r="K15" s="11" t="s">
        <v>92</v>
      </c>
      <c r="L15" s="21" t="s">
        <v>73</v>
      </c>
      <c r="M15" s="11" t="s">
        <v>74</v>
      </c>
      <c r="N15" s="12"/>
      <c r="O15" s="12"/>
      <c r="P15" s="12"/>
      <c r="Q15" s="12"/>
      <c r="R15" s="15" t="s">
        <v>43</v>
      </c>
      <c r="S15" s="15"/>
      <c r="T15" s="14"/>
      <c r="U15" s="13"/>
      <c r="V15" s="13"/>
      <c r="W15" s="13"/>
      <c r="X15" s="13"/>
      <c r="Y15" s="13"/>
      <c r="Z15" s="13"/>
      <c r="AA15" s="13"/>
      <c r="AB15" s="17" t="s">
        <v>68</v>
      </c>
      <c r="AC15" s="19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</row>
    <row r="16" spans="1:49" ht="30.75" customHeight="1">
      <c r="A16" s="7" t="s">
        <v>93</v>
      </c>
      <c r="B16" s="27" t="s">
        <v>79</v>
      </c>
      <c r="C16" s="7"/>
      <c r="D16" s="7"/>
      <c r="E16" s="7"/>
      <c r="F16" s="7" t="s">
        <v>63</v>
      </c>
      <c r="G16" s="9" t="str">
        <f>HLOOKUP($F16,'Sensor Type Details'!$B$1:$R$4,G$1+1)</f>
        <v>Sensor</v>
      </c>
      <c r="H16" s="9" t="str">
        <f>HLOOKUP($F16,'Sensor Type Details'!$B$1:$R$4,H$1+1)</f>
        <v>IQNexus</v>
      </c>
      <c r="I16" s="9" t="str">
        <f>HLOOKUP($F16,'Sensor Type Details'!$B$1:$R$4,I$1+1)</f>
        <v>SenProbe - 3B-LR12</v>
      </c>
      <c r="J16" s="14"/>
      <c r="K16" s="11" t="s">
        <v>94</v>
      </c>
      <c r="L16" s="21" t="s">
        <v>73</v>
      </c>
      <c r="M16" s="11" t="s">
        <v>74</v>
      </c>
      <c r="N16" s="12"/>
      <c r="O16" s="12"/>
      <c r="P16" s="12"/>
      <c r="Q16" s="12"/>
      <c r="R16" s="15" t="s">
        <v>43</v>
      </c>
      <c r="S16" s="15"/>
      <c r="T16" s="14"/>
      <c r="U16" s="13"/>
      <c r="V16" s="13"/>
      <c r="W16" s="13"/>
      <c r="X16" s="13"/>
      <c r="Y16" s="13"/>
      <c r="Z16" s="13"/>
      <c r="AA16" s="13"/>
      <c r="AB16" s="17" t="s">
        <v>68</v>
      </c>
      <c r="AC16" s="19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</row>
    <row r="17" spans="1:49" ht="30.75" customHeight="1">
      <c r="A17" s="7" t="s">
        <v>95</v>
      </c>
      <c r="B17" s="27" t="s">
        <v>79</v>
      </c>
      <c r="C17" s="7"/>
      <c r="D17" s="7"/>
      <c r="E17" s="7"/>
      <c r="F17" s="7" t="s">
        <v>63</v>
      </c>
      <c r="G17" s="9" t="str">
        <f>HLOOKUP($F17,'Sensor Type Details'!$B$1:$R$4,G$1+1)</f>
        <v>Sensor</v>
      </c>
      <c r="H17" s="9" t="str">
        <f>HLOOKUP($F17,'Sensor Type Details'!$B$1:$R$4,H$1+1)</f>
        <v>IQNexus</v>
      </c>
      <c r="I17" s="9" t="str">
        <f>HLOOKUP($F17,'Sensor Type Details'!$B$1:$R$4,I$1+1)</f>
        <v>SenProbe - 3B-LR12</v>
      </c>
      <c r="J17" s="14"/>
      <c r="K17" s="11" t="s">
        <v>96</v>
      </c>
      <c r="L17" s="21" t="s">
        <v>73</v>
      </c>
      <c r="M17" s="11" t="s">
        <v>74</v>
      </c>
      <c r="N17" s="12"/>
      <c r="O17" s="12"/>
      <c r="P17" s="12"/>
      <c r="Q17" s="12"/>
      <c r="R17" s="15" t="s">
        <v>43</v>
      </c>
      <c r="S17" s="15"/>
      <c r="T17" s="14"/>
      <c r="U17" s="13"/>
      <c r="V17" s="13"/>
      <c r="W17" s="13"/>
      <c r="X17" s="13"/>
      <c r="Y17" s="13"/>
      <c r="Z17" s="13"/>
      <c r="AA17" s="13"/>
      <c r="AB17" s="17" t="s">
        <v>68</v>
      </c>
      <c r="AC17" s="19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</row>
    <row r="18" spans="1:49" ht="30.75" customHeight="1">
      <c r="A18" s="7" t="s">
        <v>97</v>
      </c>
      <c r="B18" s="27" t="s">
        <v>79</v>
      </c>
      <c r="C18" s="7"/>
      <c r="D18" s="7"/>
      <c r="E18" s="7"/>
      <c r="F18" s="7" t="s">
        <v>63</v>
      </c>
      <c r="G18" s="9" t="str">
        <f>HLOOKUP($F18,'Sensor Type Details'!$B$1:$R$4,G$1+1)</f>
        <v>Sensor</v>
      </c>
      <c r="H18" s="9" t="str">
        <f>HLOOKUP($F18,'Sensor Type Details'!$B$1:$R$4,H$1+1)</f>
        <v>IQNexus</v>
      </c>
      <c r="I18" s="9" t="str">
        <f>HLOOKUP($F18,'Sensor Type Details'!$B$1:$R$4,I$1+1)</f>
        <v>SenProbe - 3B-LR12</v>
      </c>
      <c r="J18" s="14"/>
      <c r="K18" s="11" t="s">
        <v>98</v>
      </c>
      <c r="L18" s="21" t="s">
        <v>73</v>
      </c>
      <c r="M18" s="11" t="s">
        <v>74</v>
      </c>
      <c r="N18" s="12"/>
      <c r="O18" s="12"/>
      <c r="P18" s="12"/>
      <c r="Q18" s="12"/>
      <c r="R18" s="15" t="s">
        <v>43</v>
      </c>
      <c r="S18" s="15"/>
      <c r="T18" s="14"/>
      <c r="U18" s="13"/>
      <c r="V18" s="13"/>
      <c r="W18" s="13"/>
      <c r="X18" s="13"/>
      <c r="Y18" s="13"/>
      <c r="Z18" s="13"/>
      <c r="AA18" s="13"/>
      <c r="AB18" s="17" t="s">
        <v>68</v>
      </c>
      <c r="AC18" s="19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</row>
    <row r="19" spans="1:49" ht="30.75" customHeight="1">
      <c r="A19" s="7" t="s">
        <v>99</v>
      </c>
      <c r="B19" s="27" t="s">
        <v>79</v>
      </c>
      <c r="C19" s="7"/>
      <c r="D19" s="7"/>
      <c r="E19" s="7"/>
      <c r="F19" s="7" t="s">
        <v>63</v>
      </c>
      <c r="G19" s="9" t="str">
        <f>HLOOKUP($F19,'Sensor Type Details'!$B$1:$R$4,G$1+1)</f>
        <v>Sensor</v>
      </c>
      <c r="H19" s="9" t="str">
        <f>HLOOKUP($F19,'Sensor Type Details'!$B$1:$R$4,H$1+1)</f>
        <v>IQNexus</v>
      </c>
      <c r="I19" s="9" t="str">
        <f>HLOOKUP($F19,'Sensor Type Details'!$B$1:$R$4,I$1+1)</f>
        <v>SenProbe - 3B-LR12</v>
      </c>
      <c r="J19" s="14"/>
      <c r="K19" s="11" t="s">
        <v>100</v>
      </c>
      <c r="L19" s="21" t="s">
        <v>73</v>
      </c>
      <c r="M19" s="11" t="s">
        <v>74</v>
      </c>
      <c r="N19" s="12"/>
      <c r="O19" s="12"/>
      <c r="P19" s="12"/>
      <c r="Q19" s="12"/>
      <c r="R19" s="15" t="s">
        <v>43</v>
      </c>
      <c r="S19" s="15"/>
      <c r="T19" s="14"/>
      <c r="U19" s="13"/>
      <c r="V19" s="13"/>
      <c r="W19" s="13"/>
      <c r="X19" s="13"/>
      <c r="Y19" s="13"/>
      <c r="Z19" s="13"/>
      <c r="AA19" s="13"/>
      <c r="AB19" s="17" t="s">
        <v>68</v>
      </c>
      <c r="AC19" s="19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</row>
    <row r="20" spans="1:49" ht="30.75" customHeight="1">
      <c r="A20" s="7" t="s">
        <v>101</v>
      </c>
      <c r="B20" s="27" t="s">
        <v>79</v>
      </c>
      <c r="C20" s="7"/>
      <c r="D20" s="7"/>
      <c r="E20" s="7"/>
      <c r="F20" s="7" t="s">
        <v>63</v>
      </c>
      <c r="G20" s="9" t="str">
        <f>HLOOKUP($F20,'Sensor Type Details'!$B$1:$R$4,G$1+1)</f>
        <v>Sensor</v>
      </c>
      <c r="H20" s="9" t="str">
        <f>HLOOKUP($F20,'Sensor Type Details'!$B$1:$R$4,H$1+1)</f>
        <v>IQNexus</v>
      </c>
      <c r="I20" s="9" t="str">
        <f>HLOOKUP($F20,'Sensor Type Details'!$B$1:$R$4,I$1+1)</f>
        <v>SenProbe - 3B-LR12</v>
      </c>
      <c r="J20" s="14"/>
      <c r="K20" s="11" t="s">
        <v>102</v>
      </c>
      <c r="L20" s="21" t="s">
        <v>73</v>
      </c>
      <c r="M20" s="11" t="s">
        <v>74</v>
      </c>
      <c r="N20" s="12"/>
      <c r="O20" s="12"/>
      <c r="P20" s="12"/>
      <c r="Q20" s="12"/>
      <c r="R20" s="15" t="s">
        <v>43</v>
      </c>
      <c r="S20" s="15"/>
      <c r="T20" s="14"/>
      <c r="U20" s="13"/>
      <c r="V20" s="13"/>
      <c r="W20" s="13"/>
      <c r="X20" s="13"/>
      <c r="Y20" s="13"/>
      <c r="Z20" s="13"/>
      <c r="AA20" s="13"/>
      <c r="AB20" s="17" t="s">
        <v>68</v>
      </c>
      <c r="AC20" s="19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</row>
    <row r="21" spans="1:49" ht="30.75" customHeight="1">
      <c r="A21" s="7" t="s">
        <v>103</v>
      </c>
      <c r="B21" s="27" t="s">
        <v>79</v>
      </c>
      <c r="C21" s="7"/>
      <c r="D21" s="7"/>
      <c r="E21" s="7"/>
      <c r="F21" s="7" t="s">
        <v>63</v>
      </c>
      <c r="G21" s="9" t="str">
        <f>HLOOKUP($F21,'Sensor Type Details'!$B$1:$R$4,G$1+1)</f>
        <v>Sensor</v>
      </c>
      <c r="H21" s="9" t="str">
        <f>HLOOKUP($F21,'Sensor Type Details'!$B$1:$R$4,H$1+1)</f>
        <v>IQNexus</v>
      </c>
      <c r="I21" s="9" t="str">
        <f>HLOOKUP($F21,'Sensor Type Details'!$B$1:$R$4,I$1+1)</f>
        <v>SenProbe - 3B-LR12</v>
      </c>
      <c r="J21" s="14"/>
      <c r="K21" s="11" t="s">
        <v>104</v>
      </c>
      <c r="L21" s="21" t="s">
        <v>73</v>
      </c>
      <c r="M21" s="11" t="s">
        <v>74</v>
      </c>
      <c r="N21" s="12"/>
      <c r="O21" s="12"/>
      <c r="P21" s="12"/>
      <c r="Q21" s="12"/>
      <c r="R21" s="15"/>
      <c r="S21" s="15"/>
      <c r="T21" s="14"/>
      <c r="U21" s="13"/>
      <c r="V21" s="13"/>
      <c r="W21" s="13"/>
      <c r="X21" s="13"/>
      <c r="Y21" s="13"/>
      <c r="Z21" s="13"/>
      <c r="AA21" s="13"/>
      <c r="AB21" s="17" t="s">
        <v>68</v>
      </c>
      <c r="AC21" s="19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</row>
    <row r="22" spans="1:49" ht="30.75" customHeight="1">
      <c r="A22" s="7" t="s">
        <v>105</v>
      </c>
      <c r="B22" s="27" t="s">
        <v>79</v>
      </c>
      <c r="C22" s="7"/>
      <c r="D22" s="7"/>
      <c r="E22" s="7"/>
      <c r="F22" s="7" t="s">
        <v>63</v>
      </c>
      <c r="G22" s="9" t="str">
        <f>HLOOKUP($F22,'Sensor Type Details'!$B$1:$R$4,G$1+1)</f>
        <v>Sensor</v>
      </c>
      <c r="H22" s="9" t="str">
        <f>HLOOKUP($F22,'Sensor Type Details'!$B$1:$R$4,H$1+1)</f>
        <v>IQNexus</v>
      </c>
      <c r="I22" s="9" t="str">
        <f>HLOOKUP($F22,'Sensor Type Details'!$B$1:$R$4,I$1+1)</f>
        <v>SenProbe - 3B-LR12</v>
      </c>
      <c r="J22" s="14"/>
      <c r="K22" s="11" t="s">
        <v>106</v>
      </c>
      <c r="L22" s="21" t="s">
        <v>73</v>
      </c>
      <c r="M22" s="11" t="s">
        <v>74</v>
      </c>
      <c r="N22" s="12"/>
      <c r="O22" s="12"/>
      <c r="P22" s="12"/>
      <c r="Q22" s="12"/>
      <c r="R22" s="15"/>
      <c r="S22" s="15"/>
      <c r="T22" s="14"/>
      <c r="U22" s="13"/>
      <c r="V22" s="13"/>
      <c r="W22" s="13"/>
      <c r="X22" s="13"/>
      <c r="Y22" s="13"/>
      <c r="Z22" s="13"/>
      <c r="AA22" s="13"/>
      <c r="AB22" s="17" t="s">
        <v>68</v>
      </c>
      <c r="AC22" s="19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</row>
    <row r="23" spans="1:49" ht="30.75" customHeight="1">
      <c r="A23" s="7" t="s">
        <v>107</v>
      </c>
      <c r="B23" s="27" t="s">
        <v>79</v>
      </c>
      <c r="C23" s="7"/>
      <c r="D23" s="7"/>
      <c r="E23" s="7"/>
      <c r="F23" s="7" t="s">
        <v>108</v>
      </c>
      <c r="G23" s="9" t="str">
        <f>HLOOKUP($F23,'Sensor Type Details'!$B$1:$R$4,G$1+1)</f>
        <v>Sensor</v>
      </c>
      <c r="H23" s="9" t="str">
        <f>HLOOKUP($F23,'Sensor Type Details'!$B$1:$R$4,H$1+1)</f>
        <v>Maddalena</v>
      </c>
      <c r="I23" s="9" t="str">
        <f>HLOOKUP($F23,'Sensor Type Details'!$B$1:$R$4,I$1+1)</f>
        <v>Arrow split 2</v>
      </c>
      <c r="J23" s="14"/>
      <c r="K23" s="11" t="s">
        <v>109</v>
      </c>
      <c r="L23" s="21" t="s">
        <v>73</v>
      </c>
      <c r="M23" s="11" t="s">
        <v>110</v>
      </c>
      <c r="N23" s="12"/>
      <c r="O23" s="12"/>
      <c r="P23" s="12"/>
      <c r="Q23" s="12"/>
      <c r="R23" s="15" t="s">
        <v>43</v>
      </c>
      <c r="S23" s="15" t="s">
        <v>43</v>
      </c>
      <c r="T23" s="14"/>
      <c r="U23" s="13"/>
      <c r="V23" s="13"/>
      <c r="W23" s="13"/>
      <c r="X23" s="13"/>
      <c r="Y23" s="13"/>
      <c r="Z23" s="13"/>
      <c r="AA23" s="13"/>
      <c r="AB23" s="7" t="s">
        <v>111</v>
      </c>
      <c r="AC23" s="19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</row>
    <row r="24" spans="1:49" ht="30.75" customHeight="1">
      <c r="A24" s="7" t="s">
        <v>112</v>
      </c>
      <c r="B24" s="27" t="s">
        <v>79</v>
      </c>
      <c r="C24" s="7"/>
      <c r="D24" s="7"/>
      <c r="E24" s="7"/>
      <c r="F24" s="7" t="s">
        <v>108</v>
      </c>
      <c r="G24" s="9" t="str">
        <f>HLOOKUP($F24,'Sensor Type Details'!$B$1:$R$4,G$1+1)</f>
        <v>Sensor</v>
      </c>
      <c r="H24" s="9" t="str">
        <f>HLOOKUP($F24,'Sensor Type Details'!$B$1:$R$4,H$1+1)</f>
        <v>Maddalena</v>
      </c>
      <c r="I24" s="9" t="str">
        <f>HLOOKUP($F24,'Sensor Type Details'!$B$1:$R$4,I$1+1)</f>
        <v>Arrow split 2</v>
      </c>
      <c r="J24" s="14"/>
      <c r="K24" s="11" t="s">
        <v>113</v>
      </c>
      <c r="L24" s="21" t="s">
        <v>73</v>
      </c>
      <c r="M24" s="11" t="s">
        <v>114</v>
      </c>
      <c r="N24" s="12"/>
      <c r="O24" s="12"/>
      <c r="P24" s="12"/>
      <c r="Q24" s="12"/>
      <c r="R24" s="15"/>
      <c r="S24" s="15" t="s">
        <v>43</v>
      </c>
      <c r="T24" s="14"/>
      <c r="U24" s="13"/>
      <c r="V24" s="13"/>
      <c r="W24" s="13"/>
      <c r="X24" s="13"/>
      <c r="Y24" s="13"/>
      <c r="Z24" s="13"/>
      <c r="AA24" s="13"/>
      <c r="AB24" s="7" t="s">
        <v>111</v>
      </c>
      <c r="AC24" s="19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</row>
    <row r="25" spans="1:49" ht="30.75" customHeight="1">
      <c r="A25" s="7" t="s">
        <v>115</v>
      </c>
      <c r="B25" s="27" t="s">
        <v>79</v>
      </c>
      <c r="C25" s="7"/>
      <c r="D25" s="7"/>
      <c r="E25" s="7"/>
      <c r="F25" s="7" t="s">
        <v>108</v>
      </c>
      <c r="G25" s="9" t="str">
        <f>HLOOKUP($F25,'Sensor Type Details'!$B$1:$R$4,G$1+1)</f>
        <v>Sensor</v>
      </c>
      <c r="H25" s="9" t="str">
        <f>HLOOKUP($F25,'Sensor Type Details'!$B$1:$R$4,H$1+1)</f>
        <v>Maddalena</v>
      </c>
      <c r="I25" s="9" t="str">
        <f>HLOOKUP($F25,'Sensor Type Details'!$B$1:$R$4,I$1+1)</f>
        <v>Arrow split 2</v>
      </c>
      <c r="J25" s="14"/>
      <c r="K25" s="11" t="s">
        <v>116</v>
      </c>
      <c r="L25" s="21" t="s">
        <v>73</v>
      </c>
      <c r="M25" s="11" t="s">
        <v>117</v>
      </c>
      <c r="N25" s="12"/>
      <c r="O25" s="12"/>
      <c r="P25" s="12"/>
      <c r="Q25" s="12"/>
      <c r="R25" s="15"/>
      <c r="S25" s="15" t="s">
        <v>43</v>
      </c>
      <c r="T25" s="14"/>
      <c r="U25" s="13"/>
      <c r="V25" s="13"/>
      <c r="W25" s="13"/>
      <c r="X25" s="13"/>
      <c r="Y25" s="13"/>
      <c r="Z25" s="13"/>
      <c r="AA25" s="13"/>
      <c r="AB25" s="7" t="s">
        <v>111</v>
      </c>
      <c r="AC25" s="19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</row>
    <row r="26" spans="1:49" ht="30.75" customHeight="1">
      <c r="A26" s="7" t="s">
        <v>118</v>
      </c>
      <c r="B26" s="27" t="s">
        <v>79</v>
      </c>
      <c r="C26" s="7"/>
      <c r="D26" s="7"/>
      <c r="E26" s="7"/>
      <c r="F26" s="7" t="s">
        <v>108</v>
      </c>
      <c r="G26" s="9" t="str">
        <f>HLOOKUP($F26,'Sensor Type Details'!$B$1:$R$4,G$1+1)</f>
        <v>Sensor</v>
      </c>
      <c r="H26" s="9" t="str">
        <f>HLOOKUP($F26,'Sensor Type Details'!$B$1:$R$4,H$1+1)</f>
        <v>Maddalena</v>
      </c>
      <c r="I26" s="9" t="str">
        <f>HLOOKUP($F26,'Sensor Type Details'!$B$1:$R$4,I$1+1)</f>
        <v>Arrow split 2</v>
      </c>
      <c r="J26" s="14"/>
      <c r="K26" s="11" t="s">
        <v>119</v>
      </c>
      <c r="L26" s="21" t="s">
        <v>73</v>
      </c>
      <c r="M26" s="11" t="s">
        <v>120</v>
      </c>
      <c r="N26" s="12"/>
      <c r="O26" s="12"/>
      <c r="P26" s="12"/>
      <c r="Q26" s="12"/>
      <c r="R26" s="15"/>
      <c r="S26" s="15" t="s">
        <v>43</v>
      </c>
      <c r="T26" s="14"/>
      <c r="U26" s="13"/>
      <c r="V26" s="13"/>
      <c r="W26" s="13"/>
      <c r="X26" s="13"/>
      <c r="Y26" s="13"/>
      <c r="Z26" s="13"/>
      <c r="AA26" s="13"/>
      <c r="AB26" s="7" t="s">
        <v>111</v>
      </c>
      <c r="AC26" s="19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</row>
    <row r="27" spans="1:49" ht="30.75" customHeight="1">
      <c r="A27" s="7" t="s">
        <v>121</v>
      </c>
      <c r="B27" s="27" t="s">
        <v>79</v>
      </c>
      <c r="C27" s="7"/>
      <c r="D27" s="7"/>
      <c r="E27" s="7"/>
      <c r="F27" s="7" t="s">
        <v>108</v>
      </c>
      <c r="G27" s="9" t="str">
        <f>HLOOKUP($F27,'Sensor Type Details'!$B$1:$R$4,G$1+1)</f>
        <v>Sensor</v>
      </c>
      <c r="H27" s="9" t="str">
        <f>HLOOKUP($F27,'Sensor Type Details'!$B$1:$R$4,H$1+1)</f>
        <v>Maddalena</v>
      </c>
      <c r="I27" s="9" t="str">
        <f>HLOOKUP($F27,'Sensor Type Details'!$B$1:$R$4,I$1+1)</f>
        <v>Arrow split 2</v>
      </c>
      <c r="J27" s="14"/>
      <c r="K27" s="11" t="s">
        <v>122</v>
      </c>
      <c r="L27" s="21" t="s">
        <v>73</v>
      </c>
      <c r="M27" s="11" t="s">
        <v>123</v>
      </c>
      <c r="N27" s="12"/>
      <c r="O27" s="12"/>
      <c r="P27" s="12"/>
      <c r="Q27" s="12"/>
      <c r="R27" s="15"/>
      <c r="S27" s="15" t="s">
        <v>43</v>
      </c>
      <c r="T27" s="14"/>
      <c r="U27" s="13"/>
      <c r="V27" s="13"/>
      <c r="W27" s="13"/>
      <c r="X27" s="13"/>
      <c r="Y27" s="13"/>
      <c r="Z27" s="13"/>
      <c r="AA27" s="13"/>
      <c r="AB27" s="7" t="s">
        <v>111</v>
      </c>
      <c r="AC27" s="19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</row>
    <row r="28" spans="1:49" ht="30.75" customHeight="1">
      <c r="A28" s="7" t="s">
        <v>124</v>
      </c>
      <c r="B28" s="27" t="s">
        <v>79</v>
      </c>
      <c r="C28" s="7"/>
      <c r="D28" s="7"/>
      <c r="E28" s="7"/>
      <c r="F28" s="7" t="s">
        <v>108</v>
      </c>
      <c r="G28" s="9" t="str">
        <f>HLOOKUP($F28,'Sensor Type Details'!$B$1:$R$4,G$1+1)</f>
        <v>Sensor</v>
      </c>
      <c r="H28" s="9" t="str">
        <f>HLOOKUP($F28,'Sensor Type Details'!$B$1:$R$4,H$1+1)</f>
        <v>Maddalena</v>
      </c>
      <c r="I28" s="9" t="str">
        <f>HLOOKUP($F28,'Sensor Type Details'!$B$1:$R$4,I$1+1)</f>
        <v>Arrow split 2</v>
      </c>
      <c r="J28" s="14"/>
      <c r="K28" s="11" t="s">
        <v>125</v>
      </c>
      <c r="L28" s="21" t="s">
        <v>73</v>
      </c>
      <c r="M28" s="11" t="s">
        <v>126</v>
      </c>
      <c r="N28" s="12"/>
      <c r="O28" s="12"/>
      <c r="P28" s="12"/>
      <c r="Q28" s="12"/>
      <c r="R28" s="15"/>
      <c r="S28" s="15" t="s">
        <v>43</v>
      </c>
      <c r="T28" s="14"/>
      <c r="U28" s="13"/>
      <c r="V28" s="13"/>
      <c r="W28" s="13"/>
      <c r="X28" s="13"/>
      <c r="Y28" s="13"/>
      <c r="Z28" s="13"/>
      <c r="AA28" s="13"/>
      <c r="AB28" s="7" t="s">
        <v>111</v>
      </c>
      <c r="AC28" s="19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</row>
    <row r="29" spans="1:49" ht="30.75" customHeight="1">
      <c r="A29" s="7" t="s">
        <v>127</v>
      </c>
      <c r="B29" s="27" t="s">
        <v>79</v>
      </c>
      <c r="C29" s="7"/>
      <c r="D29" s="7"/>
      <c r="E29" s="7"/>
      <c r="F29" s="7" t="s">
        <v>108</v>
      </c>
      <c r="G29" s="9" t="str">
        <f>HLOOKUP($F29,'Sensor Type Details'!$B$1:$R$4,G$1+1)</f>
        <v>Sensor</v>
      </c>
      <c r="H29" s="9" t="str">
        <f>HLOOKUP($F29,'Sensor Type Details'!$B$1:$R$4,H$1+1)</f>
        <v>Maddalena</v>
      </c>
      <c r="I29" s="9" t="str">
        <f>HLOOKUP($F29,'Sensor Type Details'!$B$1:$R$4,I$1+1)</f>
        <v>Arrow split 2</v>
      </c>
      <c r="J29" s="14"/>
      <c r="K29" s="11" t="s">
        <v>128</v>
      </c>
      <c r="L29" s="21" t="s">
        <v>73</v>
      </c>
      <c r="M29" s="11" t="s">
        <v>129</v>
      </c>
      <c r="N29" s="12"/>
      <c r="O29" s="12"/>
      <c r="P29" s="12"/>
      <c r="Q29" s="12"/>
      <c r="R29" s="15"/>
      <c r="S29" s="15" t="s">
        <v>43</v>
      </c>
      <c r="T29" s="14"/>
      <c r="U29" s="13"/>
      <c r="V29" s="13"/>
      <c r="W29" s="13"/>
      <c r="X29" s="13"/>
      <c r="Y29" s="13"/>
      <c r="Z29" s="13"/>
      <c r="AA29" s="13"/>
      <c r="AB29" s="7" t="s">
        <v>111</v>
      </c>
      <c r="AC29" s="19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</row>
    <row r="30" spans="1:49" ht="30.75" customHeight="1">
      <c r="A30" s="7" t="s">
        <v>130</v>
      </c>
      <c r="B30" s="27" t="s">
        <v>79</v>
      </c>
      <c r="C30" s="7"/>
      <c r="D30" s="7"/>
      <c r="E30" s="7"/>
      <c r="F30" s="7" t="s">
        <v>108</v>
      </c>
      <c r="G30" s="9" t="str">
        <f>HLOOKUP($F30,'Sensor Type Details'!$B$1:$R$4,G$1+1)</f>
        <v>Sensor</v>
      </c>
      <c r="H30" s="9" t="str">
        <f>HLOOKUP($F30,'Sensor Type Details'!$B$1:$R$4,H$1+1)</f>
        <v>Maddalena</v>
      </c>
      <c r="I30" s="9" t="str">
        <f>HLOOKUP($F30,'Sensor Type Details'!$B$1:$R$4,I$1+1)</f>
        <v>Arrow split 2</v>
      </c>
      <c r="J30" s="14"/>
      <c r="K30" s="11" t="s">
        <v>131</v>
      </c>
      <c r="L30" s="21" t="s">
        <v>73</v>
      </c>
      <c r="M30" s="11" t="s">
        <v>132</v>
      </c>
      <c r="N30" s="12"/>
      <c r="O30" s="12"/>
      <c r="P30" s="12"/>
      <c r="Q30" s="12"/>
      <c r="R30" s="15"/>
      <c r="S30" s="15" t="s">
        <v>43</v>
      </c>
      <c r="T30" s="14"/>
      <c r="U30" s="13"/>
      <c r="V30" s="13"/>
      <c r="W30" s="13"/>
      <c r="X30" s="13"/>
      <c r="Y30" s="13"/>
      <c r="Z30" s="13"/>
      <c r="AA30" s="13"/>
      <c r="AB30" s="7" t="s">
        <v>111</v>
      </c>
      <c r="AC30" s="19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</row>
    <row r="31" spans="1:49" ht="30.75" customHeight="1">
      <c r="A31" s="7" t="s">
        <v>133</v>
      </c>
      <c r="B31" s="27" t="s">
        <v>79</v>
      </c>
      <c r="C31" s="7"/>
      <c r="D31" s="7"/>
      <c r="E31" s="7"/>
      <c r="F31" s="7" t="s">
        <v>108</v>
      </c>
      <c r="G31" s="9" t="str">
        <f>HLOOKUP($F31,'Sensor Type Details'!$B$1:$R$4,G$1+1)</f>
        <v>Sensor</v>
      </c>
      <c r="H31" s="9" t="str">
        <f>HLOOKUP($F31,'Sensor Type Details'!$B$1:$R$4,H$1+1)</f>
        <v>Maddalena</v>
      </c>
      <c r="I31" s="9" t="str">
        <f>HLOOKUP($F31,'Sensor Type Details'!$B$1:$R$4,I$1+1)</f>
        <v>Arrow split 2</v>
      </c>
      <c r="J31" s="14"/>
      <c r="K31" s="11" t="s">
        <v>134</v>
      </c>
      <c r="L31" s="21" t="s">
        <v>73</v>
      </c>
      <c r="M31" s="11" t="s">
        <v>135</v>
      </c>
      <c r="N31" s="12"/>
      <c r="O31" s="12"/>
      <c r="P31" s="12"/>
      <c r="Q31" s="12"/>
      <c r="R31" s="15"/>
      <c r="S31" s="15" t="s">
        <v>43</v>
      </c>
      <c r="T31" s="14"/>
      <c r="U31" s="13"/>
      <c r="V31" s="13"/>
      <c r="W31" s="13"/>
      <c r="X31" s="13"/>
      <c r="Y31" s="13"/>
      <c r="Z31" s="13"/>
      <c r="AA31" s="13"/>
      <c r="AB31" s="7" t="s">
        <v>111</v>
      </c>
      <c r="AC31" s="19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</row>
    <row r="32" spans="1:49" ht="30.75" customHeight="1">
      <c r="A32" s="7" t="s">
        <v>136</v>
      </c>
      <c r="B32" s="27" t="s">
        <v>79</v>
      </c>
      <c r="C32" s="7"/>
      <c r="D32" s="7"/>
      <c r="E32" s="7"/>
      <c r="F32" s="7" t="s">
        <v>108</v>
      </c>
      <c r="G32" s="9" t="str">
        <f>HLOOKUP($F32,'Sensor Type Details'!$B$1:$R$4,G$1+1)</f>
        <v>Sensor</v>
      </c>
      <c r="H32" s="9" t="str">
        <f>HLOOKUP($F32,'Sensor Type Details'!$B$1:$R$4,H$1+1)</f>
        <v>Maddalena</v>
      </c>
      <c r="I32" s="9" t="str">
        <f>HLOOKUP($F32,'Sensor Type Details'!$B$1:$R$4,I$1+1)</f>
        <v>Arrow split 2</v>
      </c>
      <c r="J32" s="14"/>
      <c r="K32" s="11" t="s">
        <v>137</v>
      </c>
      <c r="L32" s="21" t="s">
        <v>73</v>
      </c>
      <c r="M32" s="11" t="s">
        <v>138</v>
      </c>
      <c r="N32" s="12"/>
      <c r="O32" s="12"/>
      <c r="P32" s="12"/>
      <c r="Q32" s="12"/>
      <c r="R32" s="15"/>
      <c r="S32" s="15" t="s">
        <v>43</v>
      </c>
      <c r="T32" s="14"/>
      <c r="U32" s="13"/>
      <c r="V32" s="13"/>
      <c r="W32" s="13"/>
      <c r="X32" s="13"/>
      <c r="Y32" s="13"/>
      <c r="Z32" s="13"/>
      <c r="AA32" s="13"/>
      <c r="AB32" s="7" t="s">
        <v>111</v>
      </c>
      <c r="AC32" s="19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</row>
    <row r="33" spans="1:49" ht="30.75" customHeight="1">
      <c r="A33" s="17" t="s">
        <v>139</v>
      </c>
      <c r="B33" s="28" t="s">
        <v>79</v>
      </c>
      <c r="C33" s="29"/>
      <c r="D33" s="29"/>
      <c r="E33" s="29"/>
      <c r="F33" s="30" t="s">
        <v>108</v>
      </c>
      <c r="G33" s="31" t="str">
        <f>HLOOKUP($F33,'Sensor Type Details'!$B$1:$R$4,G$1+1)</f>
        <v>Sensor</v>
      </c>
      <c r="H33" s="31" t="str">
        <f>HLOOKUP($F33,'Sensor Type Details'!$B$1:$R$4,H$1+1)</f>
        <v>Maddalena</v>
      </c>
      <c r="I33" s="31" t="str">
        <f>HLOOKUP($F33,'Sensor Type Details'!$B$1:$R$4,I$1+1)</f>
        <v>Arrow split 2</v>
      </c>
      <c r="J33" s="32"/>
      <c r="K33" s="11" t="s">
        <v>140</v>
      </c>
      <c r="L33" s="21" t="s">
        <v>73</v>
      </c>
      <c r="M33" s="11" t="s">
        <v>141</v>
      </c>
      <c r="N33" s="33"/>
      <c r="O33" s="33"/>
      <c r="P33" s="33"/>
      <c r="Q33" s="33"/>
      <c r="R33" s="29"/>
      <c r="S33" s="34" t="s">
        <v>43</v>
      </c>
      <c r="T33" s="32"/>
      <c r="U33" s="33"/>
      <c r="V33" s="33"/>
      <c r="W33" s="33"/>
      <c r="X33" s="33"/>
      <c r="Y33" s="33"/>
      <c r="Z33" s="33"/>
      <c r="AA33" s="33"/>
      <c r="AB33" s="30" t="s">
        <v>111</v>
      </c>
      <c r="AC33" s="29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</row>
    <row r="34" spans="1:49" ht="30.75" customHeight="1">
      <c r="A34" s="35" t="s">
        <v>142</v>
      </c>
      <c r="B34" s="36" t="s">
        <v>79</v>
      </c>
      <c r="C34" s="37"/>
      <c r="D34" s="37"/>
      <c r="E34" s="37"/>
      <c r="F34" s="38" t="s">
        <v>108</v>
      </c>
      <c r="G34" s="39" t="str">
        <f>HLOOKUP($F34,'Sensor Type Details'!$B$1:$R$4,G$1+1)</f>
        <v>Sensor</v>
      </c>
      <c r="H34" s="39" t="str">
        <f>HLOOKUP($F34,'Sensor Type Details'!$B$1:$R$4,H$1+1)</f>
        <v>Maddalena</v>
      </c>
      <c r="I34" s="39" t="str">
        <f>HLOOKUP($F34,'Sensor Type Details'!$B$1:$R$4,I$1+1)</f>
        <v>Arrow split 2</v>
      </c>
      <c r="J34" s="32"/>
      <c r="K34" s="11" t="s">
        <v>143</v>
      </c>
      <c r="L34" s="21" t="s">
        <v>73</v>
      </c>
      <c r="M34" s="11" t="s">
        <v>144</v>
      </c>
      <c r="N34" s="40"/>
      <c r="O34" s="40"/>
      <c r="P34" s="40"/>
      <c r="Q34" s="40"/>
      <c r="R34" s="37"/>
      <c r="S34" s="41" t="s">
        <v>43</v>
      </c>
      <c r="T34" s="32"/>
      <c r="U34" s="40"/>
      <c r="V34" s="40"/>
      <c r="W34" s="40"/>
      <c r="X34" s="40"/>
      <c r="Y34" s="40"/>
      <c r="Z34" s="40"/>
      <c r="AA34" s="40"/>
      <c r="AB34" s="38" t="s">
        <v>111</v>
      </c>
      <c r="AC34" s="37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</row>
    <row r="35" spans="1:49" ht="33.75" customHeight="1">
      <c r="A35" s="7" t="s">
        <v>145</v>
      </c>
      <c r="B35" s="27" t="s">
        <v>79</v>
      </c>
      <c r="C35" s="7"/>
      <c r="D35" s="7" t="s">
        <v>146</v>
      </c>
      <c r="E35" s="7" t="s">
        <v>147</v>
      </c>
      <c r="F35" s="7" t="s">
        <v>148</v>
      </c>
      <c r="G35" s="9" t="str">
        <f>HLOOKUP($F35,'Sensor Type Details'!$B$1:$R$4,G$1+1)</f>
        <v>Sensor</v>
      </c>
      <c r="H35" s="9" t="str">
        <f>HLOOKUP($F35,'Sensor Type Details'!$B$1:$R$4,H$1+1)</f>
        <v>Nature4</v>
      </c>
      <c r="I35" s="9" t="str">
        <f>HLOOKUP($F35,'Sensor Type Details'!$B$1:$R$4,I$1+1)</f>
        <v>SapFlow</v>
      </c>
      <c r="J35" s="14"/>
      <c r="K35" s="12"/>
      <c r="L35" s="12"/>
      <c r="M35" s="12"/>
      <c r="N35" s="12"/>
      <c r="O35" s="12"/>
      <c r="P35" s="12"/>
      <c r="Q35" s="12"/>
      <c r="R35" s="13"/>
      <c r="S35" s="13"/>
      <c r="T35" s="14"/>
      <c r="U35" s="7"/>
      <c r="V35" s="7"/>
      <c r="W35" s="7"/>
      <c r="X35" s="7"/>
      <c r="Y35" s="7"/>
      <c r="Z35" s="7"/>
      <c r="AA35" s="7"/>
      <c r="AB35" s="42" t="s">
        <v>149</v>
      </c>
      <c r="AC35" s="19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</row>
    <row r="36" spans="1:49" ht="18.75" customHeight="1">
      <c r="A36" s="7" t="s">
        <v>150</v>
      </c>
      <c r="B36" s="27" t="s">
        <v>79</v>
      </c>
      <c r="C36" s="7"/>
      <c r="D36" s="7"/>
      <c r="E36" s="7"/>
      <c r="F36" s="7" t="s">
        <v>151</v>
      </c>
      <c r="G36" s="9" t="str">
        <f>HLOOKUP($F36,'Sensor Type Details'!$B$1:$R$4,G$1+1)</f>
        <v>Weather station</v>
      </c>
      <c r="H36" s="9" t="str">
        <f>HLOOKUP($F36,'Sensor Type Details'!$B$1:$R$4,H$1+1)</f>
        <v>PrimoPrincipio</v>
      </c>
      <c r="I36" s="9" t="str">
        <f>HLOOKUP($F36,'Sensor Type Details'!$B$1:$R$4,I$1+1)</f>
        <v>Quido</v>
      </c>
      <c r="J36" s="14"/>
      <c r="K36" s="11" t="s">
        <v>152</v>
      </c>
      <c r="L36" s="12"/>
      <c r="M36" s="12"/>
      <c r="N36" s="11" t="s">
        <v>153</v>
      </c>
      <c r="O36" s="11" t="s">
        <v>74</v>
      </c>
      <c r="P36" s="11" t="s">
        <v>74</v>
      </c>
      <c r="Q36" s="12"/>
      <c r="R36" s="15" t="s">
        <v>43</v>
      </c>
      <c r="S36" s="15" t="s">
        <v>43</v>
      </c>
      <c r="T36" s="14"/>
      <c r="U36" s="13"/>
      <c r="V36" s="13"/>
      <c r="W36" s="13"/>
      <c r="X36" s="13"/>
      <c r="Y36" s="13"/>
      <c r="Z36" s="13"/>
      <c r="AA36" s="13"/>
      <c r="AB36" s="7" t="s">
        <v>154</v>
      </c>
      <c r="AC36" s="19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</row>
    <row r="37" spans="1:49" ht="18.75" customHeight="1">
      <c r="A37" s="7" t="s">
        <v>155</v>
      </c>
      <c r="B37" s="27" t="s">
        <v>79</v>
      </c>
      <c r="C37" s="7"/>
      <c r="D37" s="7"/>
      <c r="E37" s="7"/>
      <c r="F37" s="7" t="s">
        <v>151</v>
      </c>
      <c r="G37" s="9"/>
      <c r="H37" s="9"/>
      <c r="I37" s="9"/>
      <c r="J37" s="14"/>
      <c r="K37" s="11" t="s">
        <v>156</v>
      </c>
      <c r="L37" s="12"/>
      <c r="M37" s="12"/>
      <c r="N37" s="11" t="s">
        <v>157</v>
      </c>
      <c r="O37" s="11" t="s">
        <v>74</v>
      </c>
      <c r="P37" s="11" t="s">
        <v>74</v>
      </c>
      <c r="Q37" s="12"/>
      <c r="R37" s="15"/>
      <c r="S37" s="15"/>
      <c r="T37" s="14"/>
      <c r="U37" s="13"/>
      <c r="V37" s="13"/>
      <c r="W37" s="13"/>
      <c r="X37" s="13"/>
      <c r="Y37" s="13"/>
      <c r="Z37" s="13"/>
      <c r="AA37" s="13"/>
      <c r="AB37" s="7"/>
      <c r="AC37" s="19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</row>
    <row r="38" spans="1:49" ht="18.75" customHeight="1">
      <c r="A38" s="7" t="s">
        <v>158</v>
      </c>
      <c r="B38" s="27" t="s">
        <v>79</v>
      </c>
      <c r="C38" s="7" t="s">
        <v>159</v>
      </c>
      <c r="D38" s="7" t="s">
        <v>160</v>
      </c>
      <c r="E38" s="7" t="s">
        <v>161</v>
      </c>
      <c r="F38" s="7" t="s">
        <v>162</v>
      </c>
      <c r="G38" s="9" t="str">
        <f>HLOOKUP($F38,'Sensor Type Details'!$B$1:$R$4,G$1+1)</f>
        <v>Sensor</v>
      </c>
      <c r="H38" s="9" t="str">
        <f>HLOOKUP($F38,'Sensor Type Details'!$B$1:$R$4,H$1+1)</f>
        <v>VanWalt</v>
      </c>
      <c r="I38" s="9" t="str">
        <f>HLOOKUP($F38,'Sensor Type Details'!$B$1:$R$4,I$1+1)</f>
        <v>DataHub</v>
      </c>
      <c r="J38" s="14"/>
      <c r="K38" s="12"/>
      <c r="L38" s="12"/>
      <c r="M38" s="12"/>
      <c r="N38" s="12"/>
      <c r="O38" s="12"/>
      <c r="P38" s="12"/>
      <c r="Q38" s="12"/>
      <c r="R38" s="13"/>
      <c r="S38" s="13"/>
      <c r="T38" s="14"/>
      <c r="U38" s="7"/>
      <c r="V38" s="7"/>
      <c r="W38" s="7"/>
      <c r="X38" s="7"/>
      <c r="Y38" s="7"/>
      <c r="Z38" s="7"/>
      <c r="AA38" s="7"/>
      <c r="AB38" s="7" t="s">
        <v>163</v>
      </c>
      <c r="AC38" s="19" t="s">
        <v>164</v>
      </c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</row>
    <row r="39" spans="1:49" ht="18.75" customHeight="1">
      <c r="A39" s="7" t="s">
        <v>165</v>
      </c>
      <c r="B39" s="27" t="s">
        <v>79</v>
      </c>
      <c r="C39" s="7" t="s">
        <v>166</v>
      </c>
      <c r="D39" s="7" t="s">
        <v>167</v>
      </c>
      <c r="E39" s="7" t="s">
        <v>168</v>
      </c>
      <c r="F39" s="7" t="s">
        <v>162</v>
      </c>
      <c r="G39" s="9" t="str">
        <f>HLOOKUP($F39,'Sensor Type Details'!$B$1:$R$4,G$1+1)</f>
        <v>Sensor</v>
      </c>
      <c r="H39" s="9" t="str">
        <f>HLOOKUP($F39,'Sensor Type Details'!$B$1:$R$4,H$1+1)</f>
        <v>VanWalt</v>
      </c>
      <c r="I39" s="9" t="str">
        <f>HLOOKUP($F39,'Sensor Type Details'!$B$1:$R$4,I$1+1)</f>
        <v>DataHub</v>
      </c>
      <c r="J39" s="14"/>
      <c r="K39" s="12"/>
      <c r="L39" s="12"/>
      <c r="M39" s="12"/>
      <c r="N39" s="12"/>
      <c r="O39" s="12"/>
      <c r="P39" s="12"/>
      <c r="Q39" s="12"/>
      <c r="R39" s="13"/>
      <c r="S39" s="13"/>
      <c r="T39" s="14"/>
      <c r="U39" s="7"/>
      <c r="V39" s="7"/>
      <c r="W39" s="7"/>
      <c r="X39" s="7"/>
      <c r="Y39" s="7"/>
      <c r="Z39" s="7"/>
      <c r="AA39" s="7"/>
      <c r="AB39" s="7" t="s">
        <v>163</v>
      </c>
      <c r="AC39" s="19" t="s">
        <v>164</v>
      </c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</row>
    <row r="40" spans="1:49" ht="18.75" customHeight="1">
      <c r="A40" s="7" t="s">
        <v>169</v>
      </c>
      <c r="B40" s="27" t="s">
        <v>79</v>
      </c>
      <c r="C40" s="7" t="s">
        <v>170</v>
      </c>
      <c r="D40" s="7" t="s">
        <v>171</v>
      </c>
      <c r="E40" s="7" t="s">
        <v>172</v>
      </c>
      <c r="F40" s="7" t="s">
        <v>162</v>
      </c>
      <c r="G40" s="9" t="str">
        <f>HLOOKUP($F40,'Sensor Type Details'!$B$1:$R$4,G$1+1)</f>
        <v>Sensor</v>
      </c>
      <c r="H40" s="9" t="str">
        <f>HLOOKUP($F40,'Sensor Type Details'!$B$1:$R$4,H$1+1)</f>
        <v>VanWalt</v>
      </c>
      <c r="I40" s="9" t="str">
        <f>HLOOKUP($F40,'Sensor Type Details'!$B$1:$R$4,I$1+1)</f>
        <v>DataHub</v>
      </c>
      <c r="J40" s="14"/>
      <c r="K40" s="12"/>
      <c r="L40" s="12"/>
      <c r="M40" s="12"/>
      <c r="N40" s="12"/>
      <c r="O40" s="12"/>
      <c r="P40" s="12"/>
      <c r="Q40" s="12"/>
      <c r="R40" s="13"/>
      <c r="S40" s="13"/>
      <c r="T40" s="14"/>
      <c r="U40" s="7"/>
      <c r="V40" s="7"/>
      <c r="W40" s="7"/>
      <c r="X40" s="7"/>
      <c r="Y40" s="7"/>
      <c r="Z40" s="7"/>
      <c r="AA40" s="7"/>
      <c r="AB40" s="7" t="s">
        <v>163</v>
      </c>
      <c r="AC40" s="19" t="s">
        <v>164</v>
      </c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</row>
    <row r="41" spans="1:49" ht="30.75" customHeight="1">
      <c r="A41" s="159" t="s">
        <v>173</v>
      </c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2"/>
      <c r="AC41" s="153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6"/>
      <c r="AW41" s="26"/>
    </row>
    <row r="42" spans="1:49" ht="24" customHeight="1">
      <c r="A42" s="155" t="s">
        <v>174</v>
      </c>
      <c r="B42" s="152"/>
      <c r="C42" s="152"/>
      <c r="D42" s="152"/>
      <c r="E42" s="152"/>
      <c r="F42" s="152"/>
      <c r="G42" s="152"/>
      <c r="H42" s="152"/>
      <c r="I42" s="153"/>
      <c r="J42" s="32"/>
      <c r="K42" s="151"/>
      <c r="L42" s="152"/>
      <c r="M42" s="152"/>
      <c r="N42" s="152"/>
      <c r="O42" s="152"/>
      <c r="P42" s="152"/>
      <c r="Q42" s="152"/>
      <c r="R42" s="152"/>
      <c r="S42" s="153"/>
      <c r="T42" s="32"/>
      <c r="U42" s="154"/>
      <c r="V42" s="152"/>
      <c r="W42" s="152"/>
      <c r="X42" s="152"/>
      <c r="Y42" s="152"/>
      <c r="Z42" s="152"/>
      <c r="AA42" s="153"/>
      <c r="AB42" s="29"/>
      <c r="AC42" s="29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</row>
    <row r="43" spans="1:49" ht="30.75" customHeight="1">
      <c r="A43" s="43" t="s">
        <v>175</v>
      </c>
      <c r="B43" s="44" t="s">
        <v>176</v>
      </c>
      <c r="C43" s="45" t="s">
        <v>177</v>
      </c>
      <c r="D43" s="46" t="s">
        <v>178</v>
      </c>
      <c r="E43" s="46" t="s">
        <v>179</v>
      </c>
      <c r="F43" s="7" t="s">
        <v>180</v>
      </c>
      <c r="G43" s="47" t="s">
        <v>181</v>
      </c>
      <c r="H43" s="47" t="s">
        <v>182</v>
      </c>
      <c r="I43" s="47" t="s">
        <v>183</v>
      </c>
      <c r="J43" s="32"/>
      <c r="K43" s="11" t="s">
        <v>184</v>
      </c>
      <c r="L43" s="11" t="s">
        <v>185</v>
      </c>
      <c r="M43" s="12"/>
      <c r="N43" s="12"/>
      <c r="O43" s="12"/>
      <c r="P43" s="12"/>
      <c r="Q43" s="12"/>
      <c r="R43" s="12"/>
      <c r="S43" s="12"/>
      <c r="T43" s="32"/>
      <c r="U43" s="40"/>
      <c r="V43" s="40"/>
      <c r="W43" s="40"/>
      <c r="X43" s="40"/>
      <c r="Y43" s="40"/>
      <c r="Z43" s="40"/>
      <c r="AA43" s="40"/>
      <c r="AB43" s="12"/>
      <c r="AC43" s="37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</row>
    <row r="44" spans="1:49" ht="30.75" customHeight="1">
      <c r="A44" s="43" t="s">
        <v>186</v>
      </c>
      <c r="B44" s="44" t="s">
        <v>176</v>
      </c>
      <c r="C44" s="45" t="s">
        <v>187</v>
      </c>
      <c r="D44" s="46" t="s">
        <v>178</v>
      </c>
      <c r="E44" s="46" t="s">
        <v>179</v>
      </c>
      <c r="F44" s="7" t="s">
        <v>188</v>
      </c>
      <c r="G44" s="47" t="s">
        <v>189</v>
      </c>
      <c r="H44" s="47" t="s">
        <v>190</v>
      </c>
      <c r="I44" s="47" t="s">
        <v>191</v>
      </c>
      <c r="J44" s="32"/>
      <c r="K44" s="11" t="s">
        <v>192</v>
      </c>
      <c r="L44" s="11" t="s">
        <v>193</v>
      </c>
      <c r="M44" s="11" t="s">
        <v>194</v>
      </c>
      <c r="N44" s="12"/>
      <c r="O44" s="12"/>
      <c r="P44" s="12"/>
      <c r="Q44" s="11"/>
      <c r="R44" s="15"/>
      <c r="S44" s="15"/>
      <c r="T44" s="32"/>
      <c r="U44" s="40"/>
      <c r="V44" s="40"/>
      <c r="W44" s="40"/>
      <c r="X44" s="40"/>
      <c r="Y44" s="40"/>
      <c r="Z44" s="40"/>
      <c r="AA44" s="40"/>
      <c r="AB44" s="46" t="s">
        <v>195</v>
      </c>
      <c r="AC44" s="37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</row>
    <row r="45" spans="1:49" ht="30.75" customHeight="1">
      <c r="A45" s="43" t="s">
        <v>196</v>
      </c>
      <c r="B45" s="44" t="s">
        <v>176</v>
      </c>
      <c r="C45" s="45" t="s">
        <v>197</v>
      </c>
      <c r="D45" s="46" t="s">
        <v>178</v>
      </c>
      <c r="E45" s="46" t="s">
        <v>179</v>
      </c>
      <c r="F45" s="7" t="s">
        <v>198</v>
      </c>
      <c r="G45" s="47" t="s">
        <v>189</v>
      </c>
      <c r="H45" s="47" t="s">
        <v>199</v>
      </c>
      <c r="I45" s="47" t="s">
        <v>200</v>
      </c>
      <c r="J45" s="32"/>
      <c r="K45" s="11" t="s">
        <v>201</v>
      </c>
      <c r="L45" s="11" t="s">
        <v>202</v>
      </c>
      <c r="M45" s="11" t="s">
        <v>203</v>
      </c>
      <c r="N45" s="12"/>
      <c r="O45" s="12"/>
      <c r="P45" s="12"/>
      <c r="Q45" s="11"/>
      <c r="R45" s="15"/>
      <c r="S45" s="15"/>
      <c r="T45" s="32"/>
      <c r="U45" s="40"/>
      <c r="V45" s="40"/>
      <c r="W45" s="40"/>
      <c r="X45" s="40"/>
      <c r="Y45" s="40"/>
      <c r="Z45" s="40"/>
      <c r="AA45" s="40"/>
      <c r="AB45" s="17" t="s">
        <v>204</v>
      </c>
      <c r="AC45" s="48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</row>
    <row r="46" spans="1:49" ht="30.75" customHeight="1">
      <c r="A46" s="43" t="s">
        <v>205</v>
      </c>
      <c r="B46" s="44" t="s">
        <v>176</v>
      </c>
      <c r="C46" s="45" t="s">
        <v>206</v>
      </c>
      <c r="D46" s="46" t="s">
        <v>178</v>
      </c>
      <c r="E46" s="46" t="s">
        <v>179</v>
      </c>
      <c r="F46" s="7" t="s">
        <v>207</v>
      </c>
      <c r="G46" s="47" t="s">
        <v>189</v>
      </c>
      <c r="H46" s="47" t="s">
        <v>208</v>
      </c>
      <c r="I46" s="47" t="s">
        <v>209</v>
      </c>
      <c r="J46" s="32"/>
      <c r="K46" s="11" t="s">
        <v>210</v>
      </c>
      <c r="L46" s="11" t="s">
        <v>211</v>
      </c>
      <c r="M46" s="11" t="s">
        <v>212</v>
      </c>
      <c r="N46" s="12"/>
      <c r="O46" s="12"/>
      <c r="P46" s="12"/>
      <c r="Q46" s="11"/>
      <c r="R46" s="15"/>
      <c r="S46" s="15"/>
      <c r="T46" s="32"/>
      <c r="U46" s="40"/>
      <c r="V46" s="40"/>
      <c r="W46" s="40"/>
      <c r="X46" s="40"/>
      <c r="Y46" s="49"/>
      <c r="Z46" s="49"/>
      <c r="AA46" s="49"/>
      <c r="AB46" s="48" t="s">
        <v>213</v>
      </c>
      <c r="AC46" s="48" t="s">
        <v>214</v>
      </c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</row>
    <row r="47" spans="1:49" ht="24.75" customHeight="1">
      <c r="A47" s="155" t="s">
        <v>215</v>
      </c>
      <c r="B47" s="152"/>
      <c r="C47" s="152"/>
      <c r="D47" s="152"/>
      <c r="E47" s="152"/>
      <c r="F47" s="152"/>
      <c r="G47" s="152"/>
      <c r="H47" s="152"/>
      <c r="I47" s="153"/>
      <c r="J47" s="32"/>
      <c r="K47" s="151"/>
      <c r="L47" s="152"/>
      <c r="M47" s="152"/>
      <c r="N47" s="152"/>
      <c r="O47" s="152"/>
      <c r="P47" s="152"/>
      <c r="Q47" s="152"/>
      <c r="R47" s="152"/>
      <c r="S47" s="153"/>
      <c r="T47" s="32"/>
      <c r="U47" s="154"/>
      <c r="V47" s="152"/>
      <c r="W47" s="152"/>
      <c r="X47" s="152"/>
      <c r="Y47" s="152"/>
      <c r="Z47" s="152"/>
      <c r="AA47" s="153"/>
      <c r="AB47" s="37"/>
      <c r="AC47" s="37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</row>
    <row r="48" spans="1:49" ht="19.5" customHeight="1">
      <c r="A48" s="43" t="s">
        <v>216</v>
      </c>
      <c r="B48" s="44" t="s">
        <v>176</v>
      </c>
      <c r="C48" s="45" t="s">
        <v>217</v>
      </c>
      <c r="D48" s="46" t="s">
        <v>218</v>
      </c>
      <c r="E48" s="46" t="s">
        <v>219</v>
      </c>
      <c r="F48" s="7" t="s">
        <v>180</v>
      </c>
      <c r="G48" s="47" t="s">
        <v>181</v>
      </c>
      <c r="H48" s="47" t="s">
        <v>182</v>
      </c>
      <c r="I48" s="47" t="s">
        <v>183</v>
      </c>
      <c r="J48" s="32"/>
      <c r="K48" s="11" t="s">
        <v>220</v>
      </c>
      <c r="L48" s="11" t="s">
        <v>221</v>
      </c>
      <c r="M48" s="12"/>
      <c r="N48" s="12"/>
      <c r="O48" s="12"/>
      <c r="P48" s="12"/>
      <c r="Q48" s="12"/>
      <c r="R48" s="12"/>
      <c r="S48" s="12"/>
      <c r="T48" s="32"/>
      <c r="U48" s="40"/>
      <c r="V48" s="40"/>
      <c r="W48" s="40"/>
      <c r="X48" s="40"/>
      <c r="Y48" s="40"/>
      <c r="Z48" s="40"/>
      <c r="AA48" s="40"/>
      <c r="AB48" s="12"/>
      <c r="AC48" s="37"/>
    </row>
    <row r="49" spans="1:29" ht="19.5" customHeight="1">
      <c r="A49" s="43" t="s">
        <v>222</v>
      </c>
      <c r="B49" s="44" t="s">
        <v>176</v>
      </c>
      <c r="C49" s="45" t="s">
        <v>223</v>
      </c>
      <c r="D49" s="46" t="s">
        <v>218</v>
      </c>
      <c r="E49" s="46" t="s">
        <v>219</v>
      </c>
      <c r="F49" s="7" t="s">
        <v>188</v>
      </c>
      <c r="G49" s="47" t="s">
        <v>189</v>
      </c>
      <c r="H49" s="47" t="s">
        <v>190</v>
      </c>
      <c r="I49" s="47" t="s">
        <v>191</v>
      </c>
      <c r="J49" s="32"/>
      <c r="K49" s="11" t="s">
        <v>224</v>
      </c>
      <c r="L49" s="11" t="s">
        <v>193</v>
      </c>
      <c r="M49" s="11" t="s">
        <v>194</v>
      </c>
      <c r="N49" s="12"/>
      <c r="O49" s="12"/>
      <c r="P49" s="12"/>
      <c r="Q49" s="50"/>
      <c r="R49" s="15"/>
      <c r="S49" s="15"/>
      <c r="T49" s="32"/>
      <c r="U49" s="40"/>
      <c r="V49" s="40"/>
      <c r="W49" s="40"/>
      <c r="X49" s="40"/>
      <c r="Y49" s="40"/>
      <c r="Z49" s="40"/>
      <c r="AA49" s="40"/>
      <c r="AB49" s="46" t="s">
        <v>195</v>
      </c>
      <c r="AC49" s="37"/>
    </row>
    <row r="50" spans="1:29" ht="19.5" customHeight="1">
      <c r="A50" s="43" t="s">
        <v>225</v>
      </c>
      <c r="B50" s="44" t="s">
        <v>176</v>
      </c>
      <c r="C50" s="45" t="s">
        <v>226</v>
      </c>
      <c r="D50" s="46" t="s">
        <v>218</v>
      </c>
      <c r="E50" s="46" t="s">
        <v>219</v>
      </c>
      <c r="F50" s="7" t="s">
        <v>198</v>
      </c>
      <c r="G50" s="47" t="s">
        <v>189</v>
      </c>
      <c r="H50" s="47" t="s">
        <v>199</v>
      </c>
      <c r="I50" s="47" t="s">
        <v>200</v>
      </c>
      <c r="J50" s="32"/>
      <c r="K50" s="11" t="s">
        <v>227</v>
      </c>
      <c r="L50" s="11" t="s">
        <v>202</v>
      </c>
      <c r="M50" s="11" t="s">
        <v>228</v>
      </c>
      <c r="N50" s="12"/>
      <c r="O50" s="12"/>
      <c r="P50" s="12"/>
      <c r="Q50" s="50"/>
      <c r="R50" s="15"/>
      <c r="S50" s="15"/>
      <c r="T50" s="32"/>
      <c r="U50" s="40"/>
      <c r="V50" s="40"/>
      <c r="W50" s="40"/>
      <c r="X50" s="40"/>
      <c r="Y50" s="40"/>
      <c r="Z50" s="40"/>
      <c r="AA50" s="40"/>
      <c r="AB50" s="17" t="s">
        <v>204</v>
      </c>
      <c r="AC50" s="37"/>
    </row>
    <row r="51" spans="1:29" ht="19.5" customHeight="1">
      <c r="A51" s="43" t="s">
        <v>229</v>
      </c>
      <c r="B51" s="44" t="s">
        <v>176</v>
      </c>
      <c r="C51" s="45" t="s">
        <v>230</v>
      </c>
      <c r="D51" s="46" t="s">
        <v>231</v>
      </c>
      <c r="E51" s="46" t="s">
        <v>232</v>
      </c>
      <c r="F51" s="7" t="s">
        <v>188</v>
      </c>
      <c r="G51" s="47" t="s">
        <v>189</v>
      </c>
      <c r="H51" s="47" t="s">
        <v>190</v>
      </c>
      <c r="I51" s="47" t="s">
        <v>191</v>
      </c>
      <c r="J51" s="32"/>
      <c r="K51" s="11" t="s">
        <v>233</v>
      </c>
      <c r="L51" s="11" t="s">
        <v>193</v>
      </c>
      <c r="M51" s="11" t="s">
        <v>194</v>
      </c>
      <c r="N51" s="12"/>
      <c r="O51" s="12"/>
      <c r="P51" s="12"/>
      <c r="Q51" s="50"/>
      <c r="R51" s="15"/>
      <c r="S51" s="15"/>
      <c r="T51" s="32"/>
      <c r="U51" s="40"/>
      <c r="V51" s="40"/>
      <c r="W51" s="40"/>
      <c r="X51" s="40"/>
      <c r="Y51" s="40"/>
      <c r="Z51" s="40"/>
      <c r="AA51" s="40"/>
      <c r="AB51" s="46" t="s">
        <v>195</v>
      </c>
      <c r="AC51" s="37"/>
    </row>
    <row r="52" spans="1:29" ht="19.5" customHeight="1">
      <c r="A52" s="43" t="s">
        <v>234</v>
      </c>
      <c r="B52" s="44" t="s">
        <v>176</v>
      </c>
      <c r="C52" s="45" t="s">
        <v>235</v>
      </c>
      <c r="D52" s="46" t="s">
        <v>231</v>
      </c>
      <c r="E52" s="46" t="s">
        <v>232</v>
      </c>
      <c r="F52" s="7" t="s">
        <v>198</v>
      </c>
      <c r="G52" s="47" t="s">
        <v>189</v>
      </c>
      <c r="H52" s="47" t="s">
        <v>199</v>
      </c>
      <c r="I52" s="47" t="s">
        <v>200</v>
      </c>
      <c r="J52" s="32"/>
      <c r="K52" s="11" t="s">
        <v>236</v>
      </c>
      <c r="L52" s="11" t="s">
        <v>202</v>
      </c>
      <c r="M52" s="11" t="s">
        <v>237</v>
      </c>
      <c r="N52" s="12"/>
      <c r="O52" s="12"/>
      <c r="P52" s="12"/>
      <c r="Q52" s="50"/>
      <c r="R52" s="15"/>
      <c r="S52" s="15"/>
      <c r="T52" s="32"/>
      <c r="U52" s="40"/>
      <c r="V52" s="40"/>
      <c r="W52" s="40"/>
      <c r="X52" s="40"/>
      <c r="Y52" s="40"/>
      <c r="Z52" s="40"/>
      <c r="AA52" s="40"/>
      <c r="AB52" s="17" t="s">
        <v>204</v>
      </c>
      <c r="AC52" s="37"/>
    </row>
    <row r="53" spans="1:29" ht="19.5" customHeight="1">
      <c r="A53" s="43" t="s">
        <v>238</v>
      </c>
      <c r="B53" s="44" t="s">
        <v>176</v>
      </c>
      <c r="C53" s="45" t="s">
        <v>239</v>
      </c>
      <c r="D53" s="46" t="s">
        <v>240</v>
      </c>
      <c r="E53" s="46" t="s">
        <v>241</v>
      </c>
      <c r="F53" s="7" t="s">
        <v>188</v>
      </c>
      <c r="G53" s="47" t="s">
        <v>189</v>
      </c>
      <c r="H53" s="47" t="s">
        <v>190</v>
      </c>
      <c r="I53" s="47" t="s">
        <v>191</v>
      </c>
      <c r="J53" s="32"/>
      <c r="K53" s="11" t="s">
        <v>242</v>
      </c>
      <c r="L53" s="11" t="s">
        <v>193</v>
      </c>
      <c r="M53" s="11" t="s">
        <v>194</v>
      </c>
      <c r="N53" s="12"/>
      <c r="O53" s="12"/>
      <c r="P53" s="12"/>
      <c r="Q53" s="50"/>
      <c r="R53" s="15"/>
      <c r="S53" s="15"/>
      <c r="T53" s="32"/>
      <c r="U53" s="40"/>
      <c r="V53" s="40"/>
      <c r="W53" s="40"/>
      <c r="X53" s="40"/>
      <c r="Y53" s="40"/>
      <c r="Z53" s="40"/>
      <c r="AA53" s="40"/>
      <c r="AB53" s="46" t="s">
        <v>195</v>
      </c>
      <c r="AC53" s="37"/>
    </row>
    <row r="54" spans="1:29" ht="19.5" customHeight="1">
      <c r="A54" s="43" t="s">
        <v>243</v>
      </c>
      <c r="B54" s="44" t="s">
        <v>176</v>
      </c>
      <c r="C54" s="45" t="s">
        <v>244</v>
      </c>
      <c r="D54" s="46" t="s">
        <v>240</v>
      </c>
      <c r="E54" s="46" t="s">
        <v>241</v>
      </c>
      <c r="F54" s="7" t="s">
        <v>198</v>
      </c>
      <c r="G54" s="47" t="s">
        <v>189</v>
      </c>
      <c r="H54" s="47" t="s">
        <v>199</v>
      </c>
      <c r="I54" s="47" t="s">
        <v>200</v>
      </c>
      <c r="J54" s="32"/>
      <c r="K54" s="11" t="s">
        <v>245</v>
      </c>
      <c r="L54" s="11" t="s">
        <v>202</v>
      </c>
      <c r="M54" s="11" t="s">
        <v>246</v>
      </c>
      <c r="N54" s="12"/>
      <c r="O54" s="12"/>
      <c r="P54" s="12"/>
      <c r="Q54" s="50"/>
      <c r="R54" s="15"/>
      <c r="S54" s="15"/>
      <c r="T54" s="32"/>
      <c r="U54" s="40"/>
      <c r="V54" s="40"/>
      <c r="W54" s="40"/>
      <c r="X54" s="40"/>
      <c r="Y54" s="40"/>
      <c r="Z54" s="40"/>
      <c r="AA54" s="40"/>
      <c r="AB54" s="17" t="s">
        <v>204</v>
      </c>
      <c r="AC54" s="37"/>
    </row>
    <row r="55" spans="1:29" ht="19.5" customHeight="1">
      <c r="A55" s="155" t="s">
        <v>247</v>
      </c>
      <c r="B55" s="152"/>
      <c r="C55" s="152"/>
      <c r="D55" s="152"/>
      <c r="E55" s="152"/>
      <c r="F55" s="152"/>
      <c r="G55" s="152"/>
      <c r="H55" s="152"/>
      <c r="I55" s="153"/>
      <c r="J55" s="32"/>
      <c r="K55" s="151"/>
      <c r="L55" s="152"/>
      <c r="M55" s="152"/>
      <c r="N55" s="152"/>
      <c r="O55" s="152"/>
      <c r="P55" s="152"/>
      <c r="Q55" s="152"/>
      <c r="R55" s="152"/>
      <c r="S55" s="153"/>
      <c r="T55" s="32"/>
      <c r="U55" s="154"/>
      <c r="V55" s="152"/>
      <c r="W55" s="152"/>
      <c r="X55" s="152"/>
      <c r="Y55" s="152"/>
      <c r="Z55" s="152"/>
      <c r="AA55" s="153"/>
      <c r="AB55" s="37"/>
      <c r="AC55" s="37"/>
    </row>
    <row r="56" spans="1:29" ht="19.5" customHeight="1">
      <c r="A56" s="43" t="s">
        <v>248</v>
      </c>
      <c r="B56" s="44" t="s">
        <v>176</v>
      </c>
      <c r="C56" s="45" t="s">
        <v>249</v>
      </c>
      <c r="D56" s="46" t="s">
        <v>250</v>
      </c>
      <c r="E56" s="46" t="s">
        <v>251</v>
      </c>
      <c r="F56" s="7" t="s">
        <v>180</v>
      </c>
      <c r="G56" s="47" t="s">
        <v>181</v>
      </c>
      <c r="H56" s="47" t="s">
        <v>182</v>
      </c>
      <c r="I56" s="47" t="s">
        <v>183</v>
      </c>
      <c r="J56" s="32"/>
      <c r="K56" s="11" t="s">
        <v>252</v>
      </c>
      <c r="L56" s="11" t="s">
        <v>253</v>
      </c>
      <c r="M56" s="12"/>
      <c r="N56" s="12"/>
      <c r="O56" s="12"/>
      <c r="P56" s="12"/>
      <c r="Q56" s="12"/>
      <c r="R56" s="12"/>
      <c r="S56" s="12"/>
      <c r="T56" s="32"/>
      <c r="U56" s="40"/>
      <c r="V56" s="40"/>
      <c r="W56" s="40"/>
      <c r="X56" s="40"/>
      <c r="Y56" s="40"/>
      <c r="Z56" s="40"/>
      <c r="AA56" s="40"/>
      <c r="AB56" s="12"/>
      <c r="AC56" s="37"/>
    </row>
    <row r="57" spans="1:29" ht="19.5" customHeight="1">
      <c r="A57" s="43" t="s">
        <v>254</v>
      </c>
      <c r="B57" s="44" t="s">
        <v>176</v>
      </c>
      <c r="C57" s="45" t="s">
        <v>255</v>
      </c>
      <c r="D57" s="46" t="s">
        <v>250</v>
      </c>
      <c r="E57" s="46" t="s">
        <v>251</v>
      </c>
      <c r="F57" s="7" t="s">
        <v>188</v>
      </c>
      <c r="G57" s="47" t="s">
        <v>189</v>
      </c>
      <c r="H57" s="47" t="s">
        <v>190</v>
      </c>
      <c r="I57" s="47" t="s">
        <v>191</v>
      </c>
      <c r="J57" s="32"/>
      <c r="K57" s="11" t="s">
        <v>256</v>
      </c>
      <c r="L57" s="11" t="s">
        <v>193</v>
      </c>
      <c r="M57" s="11" t="s">
        <v>194</v>
      </c>
      <c r="N57" s="12"/>
      <c r="O57" s="12"/>
      <c r="P57" s="12"/>
      <c r="Q57" s="50"/>
      <c r="R57" s="15"/>
      <c r="S57" s="15"/>
      <c r="T57" s="32"/>
      <c r="U57" s="40"/>
      <c r="V57" s="40"/>
      <c r="W57" s="40"/>
      <c r="X57" s="40"/>
      <c r="Y57" s="40"/>
      <c r="Z57" s="40"/>
      <c r="AA57" s="40"/>
      <c r="AB57" s="46" t="s">
        <v>195</v>
      </c>
      <c r="AC57" s="37"/>
    </row>
    <row r="58" spans="1:29" ht="19.5" customHeight="1">
      <c r="A58" s="43" t="s">
        <v>257</v>
      </c>
      <c r="B58" s="44" t="s">
        <v>176</v>
      </c>
      <c r="C58" s="45" t="s">
        <v>258</v>
      </c>
      <c r="D58" s="46" t="s">
        <v>250</v>
      </c>
      <c r="E58" s="46" t="s">
        <v>251</v>
      </c>
      <c r="F58" s="7" t="s">
        <v>198</v>
      </c>
      <c r="G58" s="47" t="s">
        <v>189</v>
      </c>
      <c r="H58" s="47" t="s">
        <v>199</v>
      </c>
      <c r="I58" s="47" t="s">
        <v>200</v>
      </c>
      <c r="J58" s="32"/>
      <c r="K58" s="11" t="s">
        <v>259</v>
      </c>
      <c r="L58" s="11" t="s">
        <v>202</v>
      </c>
      <c r="M58" s="11" t="s">
        <v>260</v>
      </c>
      <c r="N58" s="12"/>
      <c r="O58" s="12"/>
      <c r="P58" s="12"/>
      <c r="Q58" s="50"/>
      <c r="R58" s="15"/>
      <c r="S58" s="15"/>
      <c r="T58" s="32"/>
      <c r="U58" s="40"/>
      <c r="V58" s="40"/>
      <c r="W58" s="40"/>
      <c r="X58" s="40"/>
      <c r="Y58" s="40"/>
      <c r="Z58" s="40"/>
      <c r="AA58" s="40"/>
      <c r="AB58" s="17" t="s">
        <v>204</v>
      </c>
      <c r="AC58" s="37"/>
    </row>
    <row r="59" spans="1:29" ht="19.5" customHeight="1">
      <c r="A59" s="43" t="s">
        <v>261</v>
      </c>
      <c r="B59" s="44" t="s">
        <v>176</v>
      </c>
      <c r="C59" s="45" t="s">
        <v>262</v>
      </c>
      <c r="D59" s="46" t="s">
        <v>263</v>
      </c>
      <c r="E59" s="46" t="s">
        <v>264</v>
      </c>
      <c r="F59" s="7" t="s">
        <v>188</v>
      </c>
      <c r="G59" s="47" t="s">
        <v>189</v>
      </c>
      <c r="H59" s="47" t="s">
        <v>190</v>
      </c>
      <c r="I59" s="47" t="s">
        <v>191</v>
      </c>
      <c r="J59" s="32"/>
      <c r="K59" s="11" t="s">
        <v>265</v>
      </c>
      <c r="L59" s="11" t="s">
        <v>193</v>
      </c>
      <c r="M59" s="11" t="s">
        <v>194</v>
      </c>
      <c r="N59" s="12"/>
      <c r="O59" s="12"/>
      <c r="P59" s="12"/>
      <c r="Q59" s="50"/>
      <c r="R59" s="15"/>
      <c r="S59" s="15"/>
      <c r="T59" s="32"/>
      <c r="U59" s="40"/>
      <c r="V59" s="40"/>
      <c r="W59" s="40"/>
      <c r="X59" s="40"/>
      <c r="Y59" s="40"/>
      <c r="Z59" s="40"/>
      <c r="AA59" s="40"/>
      <c r="AB59" s="46" t="s">
        <v>195</v>
      </c>
      <c r="AC59" s="37"/>
    </row>
    <row r="60" spans="1:29" ht="19.5" customHeight="1">
      <c r="A60" s="43" t="s">
        <v>266</v>
      </c>
      <c r="B60" s="44" t="s">
        <v>176</v>
      </c>
      <c r="C60" s="45" t="s">
        <v>267</v>
      </c>
      <c r="D60" s="46" t="s">
        <v>263</v>
      </c>
      <c r="E60" s="46" t="s">
        <v>264</v>
      </c>
      <c r="F60" s="7" t="s">
        <v>198</v>
      </c>
      <c r="G60" s="47" t="s">
        <v>189</v>
      </c>
      <c r="H60" s="47" t="s">
        <v>199</v>
      </c>
      <c r="I60" s="47" t="s">
        <v>200</v>
      </c>
      <c r="J60" s="32"/>
      <c r="K60" s="11" t="s">
        <v>268</v>
      </c>
      <c r="L60" s="11" t="s">
        <v>202</v>
      </c>
      <c r="M60" s="11" t="s">
        <v>269</v>
      </c>
      <c r="N60" s="12"/>
      <c r="O60" s="12"/>
      <c r="P60" s="12"/>
      <c r="Q60" s="50"/>
      <c r="R60" s="15"/>
      <c r="S60" s="15"/>
      <c r="T60" s="32"/>
      <c r="U60" s="40"/>
      <c r="V60" s="40"/>
      <c r="W60" s="40"/>
      <c r="X60" s="40"/>
      <c r="Y60" s="40"/>
      <c r="Z60" s="40"/>
      <c r="AA60" s="40"/>
      <c r="AB60" s="17" t="s">
        <v>204</v>
      </c>
      <c r="AC60" s="37"/>
    </row>
    <row r="61" spans="1:29" ht="19.5" customHeight="1">
      <c r="A61" s="155" t="s">
        <v>270</v>
      </c>
      <c r="B61" s="152"/>
      <c r="C61" s="152"/>
      <c r="D61" s="152"/>
      <c r="E61" s="152"/>
      <c r="F61" s="152"/>
      <c r="G61" s="152"/>
      <c r="H61" s="152"/>
      <c r="I61" s="153"/>
      <c r="J61" s="32"/>
      <c r="K61" s="151"/>
      <c r="L61" s="152"/>
      <c r="M61" s="152"/>
      <c r="N61" s="152"/>
      <c r="O61" s="152"/>
      <c r="P61" s="152"/>
      <c r="Q61" s="152"/>
      <c r="R61" s="152"/>
      <c r="S61" s="153"/>
      <c r="T61" s="32"/>
      <c r="U61" s="154"/>
      <c r="V61" s="152"/>
      <c r="W61" s="152"/>
      <c r="X61" s="152"/>
      <c r="Y61" s="152"/>
      <c r="Z61" s="152"/>
      <c r="AA61" s="153"/>
      <c r="AB61" s="37"/>
      <c r="AC61" s="37"/>
    </row>
    <row r="62" spans="1:29" ht="19.5" customHeight="1">
      <c r="A62" s="43" t="s">
        <v>271</v>
      </c>
      <c r="B62" s="44" t="s">
        <v>176</v>
      </c>
      <c r="C62" s="45" t="s">
        <v>272</v>
      </c>
      <c r="D62" s="46" t="s">
        <v>273</v>
      </c>
      <c r="E62" s="46" t="s">
        <v>274</v>
      </c>
      <c r="F62" s="7" t="s">
        <v>180</v>
      </c>
      <c r="G62" s="47" t="s">
        <v>181</v>
      </c>
      <c r="H62" s="47" t="s">
        <v>182</v>
      </c>
      <c r="I62" s="47" t="s">
        <v>183</v>
      </c>
      <c r="J62" s="32"/>
      <c r="K62" s="11" t="s">
        <v>275</v>
      </c>
      <c r="L62" s="11" t="s">
        <v>276</v>
      </c>
      <c r="M62" s="12"/>
      <c r="N62" s="12"/>
      <c r="O62" s="12"/>
      <c r="P62" s="12"/>
      <c r="Q62" s="12"/>
      <c r="R62" s="12"/>
      <c r="S62" s="12"/>
      <c r="T62" s="32"/>
      <c r="U62" s="40"/>
      <c r="V62" s="40"/>
      <c r="W62" s="40"/>
      <c r="X62" s="40"/>
      <c r="Y62" s="40"/>
      <c r="Z62" s="40"/>
      <c r="AA62" s="40"/>
      <c r="AB62" s="12"/>
      <c r="AC62" s="37" t="s">
        <v>277</v>
      </c>
    </row>
    <row r="63" spans="1:29" ht="19.5" customHeight="1">
      <c r="A63" s="43" t="s">
        <v>278</v>
      </c>
      <c r="B63" s="44" t="s">
        <v>176</v>
      </c>
      <c r="C63" s="45" t="s">
        <v>279</v>
      </c>
      <c r="D63" s="46" t="s">
        <v>273</v>
      </c>
      <c r="E63" s="46" t="s">
        <v>274</v>
      </c>
      <c r="F63" s="7" t="s">
        <v>188</v>
      </c>
      <c r="G63" s="47" t="s">
        <v>189</v>
      </c>
      <c r="H63" s="47" t="s">
        <v>190</v>
      </c>
      <c r="I63" s="47" t="s">
        <v>191</v>
      </c>
      <c r="J63" s="32"/>
      <c r="K63" s="11" t="s">
        <v>280</v>
      </c>
      <c r="L63" s="11" t="s">
        <v>193</v>
      </c>
      <c r="M63" s="11" t="s">
        <v>194</v>
      </c>
      <c r="N63" s="12"/>
      <c r="O63" s="12"/>
      <c r="P63" s="12"/>
      <c r="Q63" s="50"/>
      <c r="R63" s="15"/>
      <c r="S63" s="15"/>
      <c r="T63" s="32"/>
      <c r="U63" s="40"/>
      <c r="V63" s="40"/>
      <c r="W63" s="40"/>
      <c r="X63" s="40"/>
      <c r="Y63" s="40"/>
      <c r="Z63" s="40"/>
      <c r="AA63" s="40"/>
      <c r="AB63" s="46" t="s">
        <v>195</v>
      </c>
      <c r="AC63" s="37"/>
    </row>
    <row r="64" spans="1:29" ht="19.5" customHeight="1">
      <c r="A64" s="43" t="s">
        <v>281</v>
      </c>
      <c r="B64" s="44" t="s">
        <v>176</v>
      </c>
      <c r="C64" s="45" t="s">
        <v>282</v>
      </c>
      <c r="D64" s="46" t="s">
        <v>273</v>
      </c>
      <c r="E64" s="46" t="s">
        <v>274</v>
      </c>
      <c r="F64" s="7" t="s">
        <v>198</v>
      </c>
      <c r="G64" s="47" t="s">
        <v>189</v>
      </c>
      <c r="H64" s="47" t="s">
        <v>199</v>
      </c>
      <c r="I64" s="47" t="s">
        <v>200</v>
      </c>
      <c r="J64" s="32"/>
      <c r="K64" s="11" t="s">
        <v>283</v>
      </c>
      <c r="L64" s="11" t="s">
        <v>202</v>
      </c>
      <c r="M64" s="11" t="s">
        <v>284</v>
      </c>
      <c r="N64" s="12"/>
      <c r="O64" s="12"/>
      <c r="P64" s="12"/>
      <c r="Q64" s="50"/>
      <c r="R64" s="15"/>
      <c r="S64" s="15"/>
      <c r="T64" s="32"/>
      <c r="U64" s="40"/>
      <c r="V64" s="40"/>
      <c r="W64" s="40"/>
      <c r="X64" s="40"/>
      <c r="Y64" s="40"/>
      <c r="Z64" s="40"/>
      <c r="AA64" s="40"/>
      <c r="AB64" s="17" t="s">
        <v>204</v>
      </c>
      <c r="AC64" s="37"/>
    </row>
    <row r="65" spans="1:49" ht="19.5" customHeight="1">
      <c r="A65" s="155" t="s">
        <v>285</v>
      </c>
      <c r="B65" s="152"/>
      <c r="C65" s="152"/>
      <c r="D65" s="152"/>
      <c r="E65" s="152"/>
      <c r="F65" s="152"/>
      <c r="G65" s="152"/>
      <c r="H65" s="152"/>
      <c r="I65" s="153"/>
      <c r="J65" s="32"/>
      <c r="K65" s="151"/>
      <c r="L65" s="152"/>
      <c r="M65" s="152"/>
      <c r="N65" s="152"/>
      <c r="O65" s="152"/>
      <c r="P65" s="152"/>
      <c r="Q65" s="152"/>
      <c r="R65" s="152"/>
      <c r="S65" s="153"/>
      <c r="T65" s="32"/>
      <c r="U65" s="154"/>
      <c r="V65" s="152"/>
      <c r="W65" s="152"/>
      <c r="X65" s="152"/>
      <c r="Y65" s="152"/>
      <c r="Z65" s="152"/>
      <c r="AA65" s="153"/>
      <c r="AB65" s="37"/>
      <c r="AC65" s="37"/>
    </row>
    <row r="66" spans="1:49" ht="19.5" customHeight="1">
      <c r="A66" s="43" t="s">
        <v>286</v>
      </c>
      <c r="B66" s="44" t="s">
        <v>176</v>
      </c>
      <c r="C66" s="46" t="s">
        <v>272</v>
      </c>
      <c r="D66" s="46" t="s">
        <v>287</v>
      </c>
      <c r="E66" s="46" t="s">
        <v>288</v>
      </c>
      <c r="F66" s="7" t="s">
        <v>180</v>
      </c>
      <c r="G66" s="47" t="s">
        <v>181</v>
      </c>
      <c r="H66" s="47" t="s">
        <v>182</v>
      </c>
      <c r="I66" s="47" t="s">
        <v>183</v>
      </c>
      <c r="J66" s="32"/>
      <c r="K66" s="11" t="s">
        <v>289</v>
      </c>
      <c r="L66" s="11" t="s">
        <v>290</v>
      </c>
      <c r="M66" s="12"/>
      <c r="N66" s="12"/>
      <c r="O66" s="12"/>
      <c r="P66" s="12"/>
      <c r="Q66" s="12"/>
      <c r="R66" s="12"/>
      <c r="S66" s="12"/>
      <c r="T66" s="32"/>
      <c r="U66" s="40"/>
      <c r="V66" s="40"/>
      <c r="W66" s="40"/>
      <c r="X66" s="40"/>
      <c r="Y66" s="40"/>
      <c r="Z66" s="40"/>
      <c r="AA66" s="40"/>
      <c r="AB66" s="12"/>
      <c r="AC66" s="37"/>
    </row>
    <row r="67" spans="1:49" ht="19.5" customHeight="1">
      <c r="A67" s="43" t="s">
        <v>291</v>
      </c>
      <c r="B67" s="44" t="s">
        <v>176</v>
      </c>
      <c r="C67" s="46" t="s">
        <v>292</v>
      </c>
      <c r="D67" s="46" t="s">
        <v>287</v>
      </c>
      <c r="E67" s="46" t="s">
        <v>288</v>
      </c>
      <c r="F67" s="7" t="s">
        <v>207</v>
      </c>
      <c r="G67" s="47" t="s">
        <v>189</v>
      </c>
      <c r="H67" s="47" t="s">
        <v>208</v>
      </c>
      <c r="I67" s="47" t="s">
        <v>209</v>
      </c>
      <c r="J67" s="32"/>
      <c r="K67" s="11" t="s">
        <v>293</v>
      </c>
      <c r="L67" s="11" t="s">
        <v>294</v>
      </c>
      <c r="M67" s="11" t="s">
        <v>295</v>
      </c>
      <c r="N67" s="12"/>
      <c r="O67" s="12"/>
      <c r="P67" s="12"/>
      <c r="Q67" s="50"/>
      <c r="R67" s="50"/>
      <c r="S67" s="50"/>
      <c r="T67" s="32"/>
      <c r="U67" s="40"/>
      <c r="V67" s="40"/>
      <c r="W67" s="40"/>
      <c r="X67" s="40"/>
      <c r="Y67" s="49"/>
      <c r="Z67" s="49"/>
      <c r="AA67" s="49"/>
      <c r="AB67" s="51" t="s">
        <v>296</v>
      </c>
      <c r="AC67" s="51" t="s">
        <v>214</v>
      </c>
    </row>
    <row r="68" spans="1:49" ht="19.5" customHeight="1">
      <c r="A68" s="7"/>
      <c r="B68" s="52"/>
      <c r="C68" s="17"/>
      <c r="D68" s="17"/>
      <c r="E68" s="17"/>
      <c r="F68" s="17"/>
      <c r="G68" s="9"/>
      <c r="H68" s="9"/>
      <c r="I68" s="9"/>
      <c r="J68" s="14"/>
      <c r="K68" s="11"/>
      <c r="L68" s="11"/>
      <c r="M68" s="11"/>
      <c r="N68" s="12"/>
      <c r="O68" s="12"/>
      <c r="P68" s="12"/>
      <c r="Q68" s="11"/>
      <c r="R68" s="15"/>
      <c r="S68" s="15"/>
      <c r="T68" s="14"/>
      <c r="U68" s="17"/>
      <c r="V68" s="17"/>
      <c r="W68" s="17"/>
      <c r="X68" s="17"/>
      <c r="Y68" s="17"/>
      <c r="Z68" s="17"/>
      <c r="AA68" s="17"/>
      <c r="AB68" s="17"/>
      <c r="AC68" s="20"/>
    </row>
    <row r="69" spans="1:49" ht="19.5" customHeight="1">
      <c r="A69" s="7"/>
      <c r="B69" s="53" t="s">
        <v>176</v>
      </c>
      <c r="C69" s="7" t="s">
        <v>297</v>
      </c>
      <c r="D69" s="7"/>
      <c r="E69" s="7"/>
      <c r="F69" s="7" t="s">
        <v>298</v>
      </c>
      <c r="G69" s="9" t="str">
        <f>HLOOKUP($F69,'Sensor Type Details'!$B$1:$R$4,G$1+1)</f>
        <v>Weather station</v>
      </c>
      <c r="H69" s="9" t="str">
        <f>HLOOKUP($F69,'Sensor Type Details'!$B$1:$R$4,H$1+1)</f>
        <v>No-lora</v>
      </c>
      <c r="I69" s="9" t="str">
        <f>HLOOKUP($F69,'Sensor Type Details'!$B$1:$R$4,I$1+1)</f>
        <v>Weather station - old</v>
      </c>
      <c r="J69" s="14"/>
      <c r="K69" s="11"/>
      <c r="L69" s="11"/>
      <c r="M69" s="11"/>
      <c r="N69" s="12"/>
      <c r="O69" s="12"/>
      <c r="P69" s="12"/>
      <c r="Q69" s="11"/>
      <c r="R69" s="15"/>
      <c r="S69" s="15"/>
      <c r="T69" s="14"/>
      <c r="U69" s="17"/>
      <c r="V69" s="17"/>
      <c r="W69" s="17"/>
      <c r="X69" s="17"/>
      <c r="Y69" s="17"/>
      <c r="Z69" s="17"/>
      <c r="AA69" s="17"/>
      <c r="AB69" s="17"/>
      <c r="AC69" s="20"/>
    </row>
    <row r="70" spans="1:49" ht="19.5" customHeight="1">
      <c r="A70" s="7"/>
      <c r="B70" s="53"/>
      <c r="C70" s="7"/>
      <c r="D70" s="7"/>
      <c r="E70" s="7"/>
      <c r="F70" s="7"/>
      <c r="G70" s="9"/>
      <c r="H70" s="9"/>
      <c r="I70" s="9"/>
      <c r="J70" s="14"/>
      <c r="K70" s="11"/>
      <c r="L70" s="11"/>
      <c r="M70" s="11"/>
      <c r="N70" s="12"/>
      <c r="O70" s="12"/>
      <c r="P70" s="12"/>
      <c r="Q70" s="11"/>
      <c r="R70" s="15"/>
      <c r="S70" s="15"/>
      <c r="T70" s="14"/>
      <c r="U70" s="17"/>
      <c r="V70" s="17"/>
      <c r="W70" s="17"/>
      <c r="X70" s="17"/>
      <c r="Y70" s="17"/>
      <c r="Z70" s="17"/>
      <c r="AA70" s="17"/>
      <c r="AB70" s="17"/>
      <c r="AC70" s="20"/>
    </row>
    <row r="71" spans="1:49" ht="30.75" customHeight="1">
      <c r="A71" s="160" t="s">
        <v>299</v>
      </c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3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6"/>
      <c r="AW71" s="26"/>
    </row>
    <row r="72" spans="1:49" ht="30.75" customHeight="1">
      <c r="A72" s="7" t="s">
        <v>300</v>
      </c>
      <c r="B72" s="17" t="s">
        <v>301</v>
      </c>
      <c r="C72" s="17" t="s">
        <v>302</v>
      </c>
      <c r="D72" s="17"/>
      <c r="E72" s="17"/>
      <c r="F72" s="17"/>
      <c r="G72" s="9" t="s">
        <v>189</v>
      </c>
      <c r="H72" s="9" t="s">
        <v>303</v>
      </c>
      <c r="I72" s="9" t="s">
        <v>304</v>
      </c>
      <c r="J72" s="14"/>
      <c r="K72" s="12"/>
      <c r="L72" s="12"/>
      <c r="M72" s="12"/>
      <c r="N72" s="12"/>
      <c r="O72" s="12"/>
      <c r="P72" s="12"/>
      <c r="Q72" s="12"/>
      <c r="R72" s="12"/>
      <c r="S72" s="12"/>
      <c r="T72" s="14"/>
      <c r="U72" s="17"/>
      <c r="V72" s="17"/>
      <c r="W72" s="17"/>
      <c r="X72" s="17"/>
      <c r="Y72" s="17"/>
      <c r="Z72" s="17"/>
      <c r="AA72" s="17"/>
      <c r="AB72" s="17"/>
      <c r="AC72" s="20"/>
    </row>
    <row r="73" spans="1:49" ht="30.75" customHeight="1">
      <c r="A73" s="7" t="s">
        <v>305</v>
      </c>
      <c r="B73" s="17" t="s">
        <v>301</v>
      </c>
      <c r="C73" s="17" t="s">
        <v>302</v>
      </c>
      <c r="D73" s="17"/>
      <c r="E73" s="17"/>
      <c r="F73" s="17"/>
      <c r="G73" s="9" t="s">
        <v>189</v>
      </c>
      <c r="H73" s="9" t="s">
        <v>303</v>
      </c>
      <c r="I73" s="9" t="s">
        <v>304</v>
      </c>
      <c r="J73" s="14"/>
      <c r="K73" s="12"/>
      <c r="L73" s="12"/>
      <c r="M73" s="12"/>
      <c r="N73" s="12"/>
      <c r="O73" s="12"/>
      <c r="P73" s="12"/>
      <c r="Q73" s="12"/>
      <c r="R73" s="12"/>
      <c r="S73" s="12"/>
      <c r="T73" s="14"/>
      <c r="U73" s="17"/>
      <c r="V73" s="17"/>
      <c r="W73" s="17"/>
      <c r="X73" s="17"/>
      <c r="Y73" s="17"/>
      <c r="Z73" s="17"/>
      <c r="AA73" s="17"/>
      <c r="AB73" s="17"/>
      <c r="AC73" s="20"/>
    </row>
    <row r="74" spans="1:49" ht="30.75" customHeight="1">
      <c r="A74" s="7" t="s">
        <v>306</v>
      </c>
      <c r="B74" s="17" t="s">
        <v>301</v>
      </c>
      <c r="C74" s="17" t="s">
        <v>302</v>
      </c>
      <c r="D74" s="17"/>
      <c r="E74" s="17"/>
      <c r="F74" s="17"/>
      <c r="G74" s="9" t="s">
        <v>189</v>
      </c>
      <c r="H74" s="9" t="s">
        <v>303</v>
      </c>
      <c r="I74" s="9" t="s">
        <v>304</v>
      </c>
      <c r="J74" s="14"/>
      <c r="K74" s="12"/>
      <c r="L74" s="12"/>
      <c r="M74" s="12"/>
      <c r="N74" s="12"/>
      <c r="O74" s="12"/>
      <c r="P74" s="12"/>
      <c r="Q74" s="12"/>
      <c r="R74" s="12"/>
      <c r="S74" s="12"/>
      <c r="T74" s="14"/>
      <c r="U74" s="17"/>
      <c r="V74" s="17"/>
      <c r="W74" s="17"/>
      <c r="X74" s="17"/>
      <c r="Y74" s="17"/>
      <c r="Z74" s="17"/>
      <c r="AA74" s="17"/>
      <c r="AB74" s="17"/>
      <c r="AC74" s="20"/>
    </row>
    <row r="75" spans="1:49" ht="30.75" customHeight="1">
      <c r="A75" s="7" t="s">
        <v>307</v>
      </c>
      <c r="B75" s="52" t="s">
        <v>301</v>
      </c>
      <c r="C75" s="54" t="s">
        <v>308</v>
      </c>
      <c r="D75" s="17"/>
      <c r="E75" s="17"/>
      <c r="F75" s="17"/>
      <c r="G75" s="9" t="s">
        <v>189</v>
      </c>
      <c r="H75" s="9" t="s">
        <v>309</v>
      </c>
      <c r="I75" s="9"/>
      <c r="J75" s="14"/>
      <c r="K75" s="12"/>
      <c r="L75" s="12"/>
      <c r="M75" s="12"/>
      <c r="N75" s="12"/>
      <c r="O75" s="12"/>
      <c r="P75" s="12"/>
      <c r="Q75" s="12"/>
      <c r="R75" s="12"/>
      <c r="S75" s="12"/>
      <c r="T75" s="14"/>
      <c r="U75" s="17"/>
      <c r="V75" s="17"/>
      <c r="W75" s="17"/>
      <c r="X75" s="17"/>
      <c r="Y75" s="17"/>
      <c r="Z75" s="17"/>
      <c r="AA75" s="17"/>
      <c r="AB75" s="55" t="s">
        <v>310</v>
      </c>
      <c r="AC75" s="20"/>
    </row>
    <row r="76" spans="1:49" ht="30.75" customHeight="1">
      <c r="A76" s="7" t="s">
        <v>311</v>
      </c>
      <c r="B76" s="17" t="s">
        <v>301</v>
      </c>
      <c r="C76" s="17" t="s">
        <v>312</v>
      </c>
      <c r="D76" s="17"/>
      <c r="E76" s="17"/>
      <c r="F76" s="17"/>
      <c r="G76" s="9" t="s">
        <v>189</v>
      </c>
      <c r="H76" s="9" t="s">
        <v>313</v>
      </c>
      <c r="I76" s="9" t="s">
        <v>314</v>
      </c>
      <c r="J76" s="14"/>
      <c r="K76" s="12"/>
      <c r="L76" s="12"/>
      <c r="M76" s="12"/>
      <c r="N76" s="12"/>
      <c r="O76" s="12"/>
      <c r="P76" s="12"/>
      <c r="Q76" s="12"/>
      <c r="R76" s="12"/>
      <c r="S76" s="12"/>
      <c r="T76" s="14"/>
      <c r="U76" s="17"/>
      <c r="V76" s="17"/>
      <c r="W76" s="17"/>
      <c r="X76" s="17"/>
      <c r="Y76" s="17"/>
      <c r="Z76" s="17"/>
      <c r="AA76" s="17"/>
      <c r="AB76" s="55" t="s">
        <v>315</v>
      </c>
      <c r="AC76" s="20"/>
    </row>
    <row r="77" spans="1:49" ht="30.75" customHeight="1">
      <c r="A77" s="7" t="s">
        <v>316</v>
      </c>
      <c r="B77" s="17" t="s">
        <v>301</v>
      </c>
      <c r="C77" s="17" t="s">
        <v>317</v>
      </c>
      <c r="D77" s="17"/>
      <c r="E77" s="17"/>
      <c r="F77" s="17"/>
      <c r="G77" s="9" t="s">
        <v>189</v>
      </c>
      <c r="H77" s="9" t="s">
        <v>313</v>
      </c>
      <c r="I77" s="9" t="s">
        <v>318</v>
      </c>
      <c r="J77" s="14"/>
      <c r="K77" s="12"/>
      <c r="L77" s="12"/>
      <c r="M77" s="12"/>
      <c r="N77" s="12"/>
      <c r="O77" s="12"/>
      <c r="P77" s="12"/>
      <c r="Q77" s="12"/>
      <c r="R77" s="12"/>
      <c r="S77" s="12"/>
      <c r="T77" s="14"/>
      <c r="U77" s="17"/>
      <c r="V77" s="17"/>
      <c r="W77" s="17"/>
      <c r="X77" s="17"/>
      <c r="Y77" s="17"/>
      <c r="Z77" s="17"/>
      <c r="AA77" s="17"/>
      <c r="AB77" s="17" t="s">
        <v>319</v>
      </c>
      <c r="AC77" s="20"/>
    </row>
    <row r="78" spans="1:49" ht="30.75" customHeight="1">
      <c r="A78" s="7" t="s">
        <v>320</v>
      </c>
      <c r="B78" s="17" t="s">
        <v>301</v>
      </c>
      <c r="C78" s="17" t="s">
        <v>321</v>
      </c>
      <c r="D78" s="17"/>
      <c r="E78" s="17"/>
      <c r="F78" s="17"/>
      <c r="G78" s="9" t="s">
        <v>189</v>
      </c>
      <c r="H78" s="9" t="s">
        <v>322</v>
      </c>
      <c r="I78" s="9" t="s">
        <v>323</v>
      </c>
      <c r="J78" s="14"/>
      <c r="K78" s="12"/>
      <c r="L78" s="12"/>
      <c r="M78" s="12"/>
      <c r="N78" s="12"/>
      <c r="O78" s="12"/>
      <c r="P78" s="12"/>
      <c r="Q78" s="12"/>
      <c r="R78" s="12"/>
      <c r="S78" s="12"/>
      <c r="T78" s="14"/>
      <c r="U78" s="17"/>
      <c r="V78" s="17"/>
      <c r="W78" s="17"/>
      <c r="X78" s="17"/>
      <c r="Y78" s="17"/>
      <c r="Z78" s="17"/>
      <c r="AA78" s="17"/>
      <c r="AB78" s="17" t="s">
        <v>324</v>
      </c>
      <c r="AC78" s="20"/>
    </row>
    <row r="79" spans="1:49" ht="30.75" customHeight="1">
      <c r="A79" s="7" t="s">
        <v>325</v>
      </c>
      <c r="B79" s="17" t="s">
        <v>301</v>
      </c>
      <c r="C79" s="17" t="s">
        <v>321</v>
      </c>
      <c r="D79" s="17"/>
      <c r="E79" s="17"/>
      <c r="F79" s="17"/>
      <c r="G79" s="9" t="s">
        <v>189</v>
      </c>
      <c r="H79" s="9" t="s">
        <v>322</v>
      </c>
      <c r="I79" s="9" t="s">
        <v>323</v>
      </c>
      <c r="J79" s="14"/>
      <c r="K79" s="12"/>
      <c r="L79" s="12"/>
      <c r="M79" s="12"/>
      <c r="N79" s="12"/>
      <c r="O79" s="12"/>
      <c r="P79" s="12"/>
      <c r="Q79" s="12"/>
      <c r="R79" s="12"/>
      <c r="S79" s="12"/>
      <c r="T79" s="14"/>
      <c r="U79" s="20"/>
      <c r="V79" s="20"/>
      <c r="W79" s="20"/>
      <c r="X79" s="20"/>
      <c r="Y79" s="20"/>
      <c r="Z79" s="20"/>
      <c r="AA79" s="20"/>
      <c r="AB79" s="17" t="s">
        <v>324</v>
      </c>
      <c r="AC79" s="20"/>
    </row>
    <row r="80" spans="1:49" ht="30.75" customHeight="1">
      <c r="A80" s="7" t="s">
        <v>326</v>
      </c>
      <c r="B80" s="17" t="s">
        <v>301</v>
      </c>
      <c r="C80" s="17" t="s">
        <v>321</v>
      </c>
      <c r="D80" s="17"/>
      <c r="E80" s="17"/>
      <c r="F80" s="17"/>
      <c r="G80" s="9" t="s">
        <v>189</v>
      </c>
      <c r="H80" s="9" t="s">
        <v>322</v>
      </c>
      <c r="I80" s="9" t="s">
        <v>323</v>
      </c>
      <c r="J80" s="14"/>
      <c r="K80" s="12"/>
      <c r="L80" s="12"/>
      <c r="M80" s="12"/>
      <c r="N80" s="12"/>
      <c r="O80" s="12"/>
      <c r="P80" s="12"/>
      <c r="Q80" s="12"/>
      <c r="R80" s="12"/>
      <c r="S80" s="12"/>
      <c r="T80" s="14"/>
      <c r="U80" s="20"/>
      <c r="V80" s="20"/>
      <c r="W80" s="20"/>
      <c r="X80" s="20"/>
      <c r="Y80" s="20"/>
      <c r="Z80" s="20"/>
      <c r="AA80" s="20"/>
      <c r="AB80" s="17" t="s">
        <v>324</v>
      </c>
      <c r="AC80" s="20"/>
    </row>
    <row r="81" spans="1:49" ht="30.75" customHeight="1">
      <c r="A81" s="7" t="s">
        <v>327</v>
      </c>
      <c r="B81" s="17" t="s">
        <v>301</v>
      </c>
      <c r="C81" s="17" t="s">
        <v>321</v>
      </c>
      <c r="D81" s="17"/>
      <c r="E81" s="17"/>
      <c r="F81" s="17"/>
      <c r="G81" s="9" t="s">
        <v>189</v>
      </c>
      <c r="H81" s="9" t="s">
        <v>322</v>
      </c>
      <c r="I81" s="9" t="s">
        <v>323</v>
      </c>
      <c r="J81" s="14"/>
      <c r="K81" s="12"/>
      <c r="L81" s="12"/>
      <c r="M81" s="12"/>
      <c r="N81" s="12"/>
      <c r="O81" s="12"/>
      <c r="P81" s="12"/>
      <c r="Q81" s="12"/>
      <c r="R81" s="12"/>
      <c r="S81" s="12"/>
      <c r="T81" s="14"/>
      <c r="U81" s="20"/>
      <c r="V81" s="20"/>
      <c r="W81" s="20"/>
      <c r="X81" s="20"/>
      <c r="Y81" s="20"/>
      <c r="Z81" s="20"/>
      <c r="AA81" s="20"/>
      <c r="AB81" s="17" t="s">
        <v>324</v>
      </c>
      <c r="AC81" s="20"/>
    </row>
    <row r="82" spans="1:49" ht="30.75" customHeight="1">
      <c r="A82" s="7" t="s">
        <v>328</v>
      </c>
      <c r="B82" s="17" t="s">
        <v>301</v>
      </c>
      <c r="C82" s="17" t="s">
        <v>321</v>
      </c>
      <c r="D82" s="17"/>
      <c r="E82" s="17"/>
      <c r="F82" s="17"/>
      <c r="G82" s="9" t="s">
        <v>189</v>
      </c>
      <c r="H82" s="9" t="s">
        <v>322</v>
      </c>
      <c r="I82" s="9" t="s">
        <v>323</v>
      </c>
      <c r="J82" s="14"/>
      <c r="K82" s="12"/>
      <c r="L82" s="12"/>
      <c r="M82" s="12"/>
      <c r="N82" s="12"/>
      <c r="O82" s="12"/>
      <c r="P82" s="12"/>
      <c r="Q82" s="12"/>
      <c r="R82" s="12"/>
      <c r="S82" s="12"/>
      <c r="T82" s="14"/>
      <c r="U82" s="20"/>
      <c r="V82" s="20"/>
      <c r="W82" s="20"/>
      <c r="X82" s="20"/>
      <c r="Y82" s="20"/>
      <c r="Z82" s="20"/>
      <c r="AA82" s="20"/>
      <c r="AB82" s="17" t="s">
        <v>324</v>
      </c>
      <c r="AC82" s="20"/>
    </row>
    <row r="83" spans="1:49" ht="30.75" customHeight="1">
      <c r="A83" s="7" t="s">
        <v>329</v>
      </c>
      <c r="B83" s="17" t="s">
        <v>301</v>
      </c>
      <c r="C83" s="17" t="s">
        <v>321</v>
      </c>
      <c r="D83" s="17"/>
      <c r="E83" s="17"/>
      <c r="F83" s="17"/>
      <c r="G83" s="9" t="s">
        <v>189</v>
      </c>
      <c r="H83" s="9" t="s">
        <v>322</v>
      </c>
      <c r="I83" s="9" t="s">
        <v>323</v>
      </c>
      <c r="J83" s="56"/>
      <c r="K83" s="12"/>
      <c r="L83" s="12"/>
      <c r="M83" s="12"/>
      <c r="N83" s="12"/>
      <c r="O83" s="12"/>
      <c r="P83" s="12"/>
      <c r="Q83" s="12"/>
      <c r="R83" s="12"/>
      <c r="S83" s="12"/>
      <c r="T83" s="56"/>
      <c r="U83" s="20"/>
      <c r="V83" s="20"/>
      <c r="W83" s="20"/>
      <c r="X83" s="20"/>
      <c r="Y83" s="20"/>
      <c r="Z83" s="20"/>
      <c r="AA83" s="20"/>
      <c r="AB83" s="17" t="s">
        <v>324</v>
      </c>
      <c r="AC83" s="20"/>
    </row>
    <row r="84" spans="1:49" ht="14.25">
      <c r="A84" s="7" t="s">
        <v>330</v>
      </c>
      <c r="B84" s="17" t="s">
        <v>301</v>
      </c>
      <c r="C84" s="17" t="s">
        <v>321</v>
      </c>
      <c r="D84" s="17"/>
      <c r="E84" s="17"/>
      <c r="F84" s="17"/>
      <c r="G84" s="9" t="s">
        <v>189</v>
      </c>
      <c r="H84" s="9" t="s">
        <v>322</v>
      </c>
      <c r="I84" s="9" t="s">
        <v>323</v>
      </c>
      <c r="J84" s="56"/>
      <c r="K84" s="12"/>
      <c r="L84" s="12"/>
      <c r="M84" s="12"/>
      <c r="N84" s="12"/>
      <c r="O84" s="12"/>
      <c r="P84" s="12"/>
      <c r="Q84" s="12"/>
      <c r="R84" s="12"/>
      <c r="S84" s="12"/>
      <c r="T84" s="56"/>
      <c r="U84" s="20"/>
      <c r="V84" s="20"/>
      <c r="W84" s="20"/>
      <c r="X84" s="20"/>
      <c r="Y84" s="20"/>
      <c r="Z84" s="20"/>
      <c r="AA84" s="20"/>
      <c r="AB84" s="17" t="s">
        <v>324</v>
      </c>
      <c r="AC84" s="20"/>
    </row>
    <row r="85" spans="1:49" ht="14.25">
      <c r="A85" s="7" t="s">
        <v>331</v>
      </c>
      <c r="B85" s="17" t="s">
        <v>301</v>
      </c>
      <c r="C85" s="17" t="s">
        <v>321</v>
      </c>
      <c r="D85" s="17"/>
      <c r="E85" s="17"/>
      <c r="F85" s="17"/>
      <c r="G85" s="9" t="s">
        <v>189</v>
      </c>
      <c r="H85" s="9" t="s">
        <v>322</v>
      </c>
      <c r="I85" s="9" t="s">
        <v>323</v>
      </c>
      <c r="J85" s="56"/>
      <c r="K85" s="12"/>
      <c r="L85" s="12"/>
      <c r="M85" s="12"/>
      <c r="N85" s="12"/>
      <c r="O85" s="12"/>
      <c r="P85" s="12"/>
      <c r="Q85" s="12"/>
      <c r="R85" s="12"/>
      <c r="S85" s="12"/>
      <c r="T85" s="56"/>
      <c r="U85" s="20"/>
      <c r="V85" s="20"/>
      <c r="W85" s="20"/>
      <c r="X85" s="20"/>
      <c r="Y85" s="20"/>
      <c r="Z85" s="20"/>
      <c r="AA85" s="20"/>
      <c r="AB85" s="17" t="s">
        <v>324</v>
      </c>
      <c r="AC85" s="20"/>
    </row>
    <row r="86" spans="1:49" ht="14.25">
      <c r="A86" s="7" t="s">
        <v>332</v>
      </c>
      <c r="B86" s="17" t="s">
        <v>301</v>
      </c>
      <c r="C86" s="17" t="s">
        <v>321</v>
      </c>
      <c r="D86" s="17"/>
      <c r="E86" s="17"/>
      <c r="F86" s="17"/>
      <c r="G86" s="9" t="s">
        <v>189</v>
      </c>
      <c r="H86" s="9" t="s">
        <v>322</v>
      </c>
      <c r="I86" s="9" t="s">
        <v>323</v>
      </c>
      <c r="J86" s="56"/>
      <c r="K86" s="12"/>
      <c r="L86" s="12"/>
      <c r="M86" s="12"/>
      <c r="N86" s="12"/>
      <c r="O86" s="12"/>
      <c r="P86" s="12"/>
      <c r="Q86" s="12"/>
      <c r="R86" s="12"/>
      <c r="S86" s="12"/>
      <c r="T86" s="56"/>
      <c r="U86" s="20"/>
      <c r="V86" s="20"/>
      <c r="W86" s="20"/>
      <c r="X86" s="20"/>
      <c r="Y86" s="20"/>
      <c r="Z86" s="20"/>
      <c r="AA86" s="20"/>
      <c r="AB86" s="17" t="s">
        <v>324</v>
      </c>
      <c r="AC86" s="20"/>
    </row>
    <row r="87" spans="1:49">
      <c r="A87" s="161" t="s">
        <v>333</v>
      </c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3"/>
    </row>
    <row r="88" spans="1:49" ht="24.75" customHeight="1">
      <c r="A88" s="155" t="s">
        <v>334</v>
      </c>
      <c r="B88" s="152"/>
      <c r="C88" s="152"/>
      <c r="D88" s="152"/>
      <c r="E88" s="152"/>
      <c r="F88" s="152"/>
      <c r="G88" s="152"/>
      <c r="H88" s="152"/>
      <c r="I88" s="153"/>
      <c r="J88" s="32"/>
      <c r="K88" s="151"/>
      <c r="L88" s="152"/>
      <c r="M88" s="152"/>
      <c r="N88" s="152"/>
      <c r="O88" s="152"/>
      <c r="P88" s="152"/>
      <c r="Q88" s="152"/>
      <c r="R88" s="152"/>
      <c r="S88" s="153"/>
      <c r="T88" s="32"/>
      <c r="U88" s="154"/>
      <c r="V88" s="152"/>
      <c r="W88" s="152"/>
      <c r="X88" s="152"/>
      <c r="Y88" s="152"/>
      <c r="Z88" s="152"/>
      <c r="AA88" s="153"/>
      <c r="AB88" s="37"/>
      <c r="AC88" s="37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</row>
    <row r="89" spans="1:49" ht="28.5">
      <c r="A89" s="57" t="s">
        <v>335</v>
      </c>
      <c r="B89" s="58" t="s">
        <v>336</v>
      </c>
      <c r="C89" s="58" t="s">
        <v>337</v>
      </c>
      <c r="D89" s="59" t="s">
        <v>338</v>
      </c>
      <c r="E89" s="59" t="s">
        <v>339</v>
      </c>
      <c r="F89" s="60"/>
      <c r="G89" s="58" t="s">
        <v>340</v>
      </c>
      <c r="H89" s="58" t="s">
        <v>341</v>
      </c>
      <c r="I89" s="58" t="s">
        <v>342</v>
      </c>
      <c r="J89" s="61"/>
      <c r="K89" s="12"/>
      <c r="L89" s="12"/>
      <c r="M89" s="12"/>
      <c r="N89" s="12"/>
      <c r="O89" s="12"/>
      <c r="P89" s="12"/>
      <c r="Q89" s="12"/>
      <c r="R89" s="12"/>
      <c r="S89" s="12"/>
      <c r="U89" s="60"/>
      <c r="V89" s="60"/>
      <c r="W89" s="60"/>
      <c r="X89" s="60"/>
      <c r="Y89" s="60"/>
      <c r="Z89" s="60"/>
      <c r="AA89" s="60"/>
      <c r="AB89" s="60"/>
      <c r="AC89" s="58" t="s">
        <v>343</v>
      </c>
    </row>
    <row r="90" spans="1:49" ht="57">
      <c r="A90" s="62" t="s">
        <v>344</v>
      </c>
      <c r="B90" s="63" t="s">
        <v>336</v>
      </c>
      <c r="C90" s="63" t="s">
        <v>345</v>
      </c>
      <c r="D90" s="64" t="s">
        <v>338</v>
      </c>
      <c r="E90" s="64" t="s">
        <v>339</v>
      </c>
      <c r="F90" s="65"/>
      <c r="G90" s="63" t="s">
        <v>346</v>
      </c>
      <c r="H90" s="63" t="s">
        <v>347</v>
      </c>
      <c r="I90" s="63" t="s">
        <v>348</v>
      </c>
      <c r="J90" s="61"/>
      <c r="K90" s="12"/>
      <c r="L90" s="12"/>
      <c r="M90" s="12"/>
      <c r="N90" s="12"/>
      <c r="O90" s="12"/>
      <c r="P90" s="12"/>
      <c r="Q90" s="12"/>
      <c r="R90" s="12"/>
      <c r="S90" s="12"/>
      <c r="T90" s="61"/>
      <c r="U90" s="65"/>
      <c r="V90" s="65"/>
      <c r="W90" s="65"/>
      <c r="X90" s="65"/>
      <c r="Y90" s="65"/>
      <c r="Z90" s="65"/>
      <c r="AA90" s="65"/>
      <c r="AB90" s="65"/>
      <c r="AC90" s="63" t="s">
        <v>349</v>
      </c>
    </row>
    <row r="91" spans="1:49" ht="42.75">
      <c r="A91" s="62" t="s">
        <v>350</v>
      </c>
      <c r="B91" s="63" t="s">
        <v>336</v>
      </c>
      <c r="C91" s="63" t="s">
        <v>351</v>
      </c>
      <c r="D91" s="64" t="s">
        <v>338</v>
      </c>
      <c r="E91" s="64" t="s">
        <v>339</v>
      </c>
      <c r="F91" s="65"/>
      <c r="G91" s="63" t="s">
        <v>352</v>
      </c>
      <c r="H91" s="63" t="s">
        <v>341</v>
      </c>
      <c r="I91" s="63" t="s">
        <v>353</v>
      </c>
      <c r="J91" s="61"/>
      <c r="K91" s="12"/>
      <c r="L91" s="12"/>
      <c r="M91" s="12"/>
      <c r="N91" s="12"/>
      <c r="O91" s="12"/>
      <c r="P91" s="12"/>
      <c r="Q91" s="12"/>
      <c r="R91" s="12"/>
      <c r="S91" s="12"/>
      <c r="T91" s="61"/>
      <c r="U91" s="65"/>
      <c r="V91" s="65"/>
      <c r="W91" s="65"/>
      <c r="X91" s="65"/>
      <c r="Y91" s="65"/>
      <c r="Z91" s="65"/>
      <c r="AA91" s="65"/>
      <c r="AB91" s="65"/>
      <c r="AC91" s="63" t="s">
        <v>349</v>
      </c>
    </row>
    <row r="92" spans="1:49" ht="42.75">
      <c r="A92" s="62" t="s">
        <v>354</v>
      </c>
      <c r="B92" s="63" t="s">
        <v>336</v>
      </c>
      <c r="C92" s="63" t="s">
        <v>355</v>
      </c>
      <c r="D92" s="64" t="s">
        <v>338</v>
      </c>
      <c r="E92" s="64" t="s">
        <v>339</v>
      </c>
      <c r="F92" s="65"/>
      <c r="G92" s="63" t="s">
        <v>352</v>
      </c>
      <c r="H92" s="63" t="s">
        <v>341</v>
      </c>
      <c r="I92" s="63" t="s">
        <v>356</v>
      </c>
      <c r="J92" s="61"/>
      <c r="K92" s="12"/>
      <c r="L92" s="12"/>
      <c r="M92" s="12"/>
      <c r="N92" s="12"/>
      <c r="O92" s="12"/>
      <c r="P92" s="12"/>
      <c r="Q92" s="12"/>
      <c r="R92" s="12"/>
      <c r="S92" s="12"/>
      <c r="T92" s="61"/>
      <c r="U92" s="65"/>
      <c r="V92" s="65"/>
      <c r="W92" s="65"/>
      <c r="X92" s="65"/>
      <c r="Y92" s="65"/>
      <c r="Z92" s="65"/>
      <c r="AA92" s="65"/>
      <c r="AB92" s="65"/>
      <c r="AC92" s="63" t="s">
        <v>349</v>
      </c>
    </row>
    <row r="93" spans="1:49" ht="42.75">
      <c r="A93" s="62" t="s">
        <v>357</v>
      </c>
      <c r="B93" s="63" t="s">
        <v>336</v>
      </c>
      <c r="C93" s="63" t="s">
        <v>358</v>
      </c>
      <c r="D93" s="64" t="s">
        <v>338</v>
      </c>
      <c r="E93" s="64" t="s">
        <v>339</v>
      </c>
      <c r="F93" s="65"/>
      <c r="G93" s="63" t="s">
        <v>352</v>
      </c>
      <c r="H93" s="63" t="s">
        <v>341</v>
      </c>
      <c r="I93" s="63" t="s">
        <v>359</v>
      </c>
      <c r="J93" s="61"/>
      <c r="K93" s="12"/>
      <c r="L93" s="12"/>
      <c r="M93" s="12"/>
      <c r="N93" s="12"/>
      <c r="O93" s="12"/>
      <c r="P93" s="12"/>
      <c r="Q93" s="12"/>
      <c r="R93" s="12"/>
      <c r="S93" s="12"/>
      <c r="T93" s="61"/>
      <c r="U93" s="65"/>
      <c r="V93" s="65"/>
      <c r="W93" s="65"/>
      <c r="X93" s="65"/>
      <c r="Y93" s="65"/>
      <c r="Z93" s="65"/>
      <c r="AA93" s="65"/>
      <c r="AB93" s="65"/>
      <c r="AC93" s="63" t="s">
        <v>349</v>
      </c>
    </row>
    <row r="94" spans="1:49" ht="42.75">
      <c r="A94" s="62" t="s">
        <v>360</v>
      </c>
      <c r="B94" s="63" t="s">
        <v>336</v>
      </c>
      <c r="C94" s="63" t="s">
        <v>358</v>
      </c>
      <c r="D94" s="64" t="s">
        <v>338</v>
      </c>
      <c r="E94" s="64" t="s">
        <v>339</v>
      </c>
      <c r="F94" s="65"/>
      <c r="G94" s="63" t="s">
        <v>352</v>
      </c>
      <c r="H94" s="63" t="s">
        <v>341</v>
      </c>
      <c r="I94" s="63" t="s">
        <v>359</v>
      </c>
      <c r="J94" s="61"/>
      <c r="K94" s="12"/>
      <c r="L94" s="12"/>
      <c r="M94" s="12"/>
      <c r="N94" s="12"/>
      <c r="O94" s="12"/>
      <c r="P94" s="12"/>
      <c r="Q94" s="12"/>
      <c r="R94" s="12"/>
      <c r="S94" s="12"/>
      <c r="T94" s="61"/>
      <c r="U94" s="65"/>
      <c r="V94" s="65"/>
      <c r="W94" s="65"/>
      <c r="X94" s="65"/>
      <c r="Y94" s="65"/>
      <c r="Z94" s="65"/>
      <c r="AA94" s="65"/>
      <c r="AB94" s="65"/>
      <c r="AC94" s="63" t="s">
        <v>349</v>
      </c>
    </row>
    <row r="95" spans="1:49" ht="57">
      <c r="A95" s="62" t="s">
        <v>361</v>
      </c>
      <c r="B95" s="63" t="s">
        <v>336</v>
      </c>
      <c r="C95" s="63" t="s">
        <v>362</v>
      </c>
      <c r="D95" s="64" t="s">
        <v>338</v>
      </c>
      <c r="E95" s="64" t="s">
        <v>339</v>
      </c>
      <c r="F95" s="65"/>
      <c r="G95" s="63" t="s">
        <v>352</v>
      </c>
      <c r="H95" s="63" t="s">
        <v>341</v>
      </c>
      <c r="I95" s="63" t="s">
        <v>363</v>
      </c>
      <c r="J95" s="61"/>
      <c r="K95" s="12"/>
      <c r="L95" s="12"/>
      <c r="M95" s="12"/>
      <c r="N95" s="12"/>
      <c r="O95" s="12"/>
      <c r="P95" s="12"/>
      <c r="Q95" s="12"/>
      <c r="R95" s="12"/>
      <c r="S95" s="12"/>
      <c r="T95" s="61"/>
      <c r="U95" s="65"/>
      <c r="V95" s="65"/>
      <c r="W95" s="65"/>
      <c r="X95" s="65"/>
      <c r="Y95" s="65"/>
      <c r="Z95" s="65"/>
      <c r="AA95" s="65"/>
      <c r="AB95" s="65"/>
      <c r="AC95" s="63" t="s">
        <v>349</v>
      </c>
    </row>
    <row r="96" spans="1:49" ht="57">
      <c r="A96" s="62" t="s">
        <v>364</v>
      </c>
      <c r="B96" s="63" t="s">
        <v>336</v>
      </c>
      <c r="C96" s="63" t="s">
        <v>362</v>
      </c>
      <c r="D96" s="64" t="s">
        <v>338</v>
      </c>
      <c r="E96" s="64" t="s">
        <v>339</v>
      </c>
      <c r="F96" s="65"/>
      <c r="G96" s="63" t="s">
        <v>352</v>
      </c>
      <c r="H96" s="63" t="s">
        <v>341</v>
      </c>
      <c r="I96" s="63" t="s">
        <v>363</v>
      </c>
      <c r="J96" s="61"/>
      <c r="K96" s="12"/>
      <c r="L96" s="12"/>
      <c r="M96" s="12"/>
      <c r="N96" s="12"/>
      <c r="O96" s="12"/>
      <c r="P96" s="12"/>
      <c r="Q96" s="12"/>
      <c r="R96" s="12"/>
      <c r="S96" s="12"/>
      <c r="T96" s="61"/>
      <c r="U96" s="65"/>
      <c r="V96" s="65"/>
      <c r="W96" s="65"/>
      <c r="X96" s="65"/>
      <c r="Y96" s="65"/>
      <c r="Z96" s="65"/>
      <c r="AA96" s="65"/>
      <c r="AB96" s="65"/>
      <c r="AC96" s="63" t="s">
        <v>349</v>
      </c>
    </row>
    <row r="97" spans="1:49" ht="24.75" customHeight="1">
      <c r="A97" s="57" t="s">
        <v>365</v>
      </c>
      <c r="B97" s="58" t="s">
        <v>336</v>
      </c>
      <c r="C97" s="58" t="s">
        <v>366</v>
      </c>
      <c r="D97" s="59" t="s">
        <v>338</v>
      </c>
      <c r="E97" s="59" t="s">
        <v>339</v>
      </c>
      <c r="F97" s="60"/>
      <c r="G97" s="66" t="s">
        <v>189</v>
      </c>
      <c r="H97" s="58" t="s">
        <v>341</v>
      </c>
      <c r="I97" s="58" t="s">
        <v>367</v>
      </c>
      <c r="J97" s="32"/>
      <c r="K97" s="33"/>
      <c r="L97" s="33"/>
      <c r="M97" s="33"/>
      <c r="N97" s="33"/>
      <c r="O97" s="33"/>
      <c r="P97" s="33"/>
      <c r="Q97" s="33"/>
      <c r="R97" s="33"/>
      <c r="S97" s="33"/>
      <c r="T97" s="25"/>
      <c r="U97" s="60"/>
      <c r="V97" s="60"/>
      <c r="W97" s="60"/>
      <c r="X97" s="60"/>
      <c r="Y97" s="60"/>
      <c r="Z97" s="60"/>
      <c r="AA97" s="60"/>
      <c r="AB97" s="58" t="s">
        <v>368</v>
      </c>
      <c r="AC97" s="58" t="s">
        <v>349</v>
      </c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</row>
    <row r="98" spans="1:49" ht="24.75" customHeight="1">
      <c r="A98" s="62" t="s">
        <v>369</v>
      </c>
      <c r="B98" s="63" t="s">
        <v>336</v>
      </c>
      <c r="C98" s="63" t="s">
        <v>370</v>
      </c>
      <c r="D98" s="64" t="s">
        <v>338</v>
      </c>
      <c r="E98" s="64" t="s">
        <v>339</v>
      </c>
      <c r="F98" s="65"/>
      <c r="G98" s="67" t="s">
        <v>189</v>
      </c>
      <c r="H98" s="63" t="s">
        <v>341</v>
      </c>
      <c r="I98" s="63" t="s">
        <v>371</v>
      </c>
      <c r="J98" s="32"/>
      <c r="K98" s="40"/>
      <c r="L98" s="40"/>
      <c r="M98" s="40"/>
      <c r="N98" s="40"/>
      <c r="O98" s="40"/>
      <c r="P98" s="40"/>
      <c r="Q98" s="40"/>
      <c r="R98" s="40"/>
      <c r="S98" s="40"/>
      <c r="T98" s="25"/>
      <c r="U98" s="65"/>
      <c r="V98" s="65"/>
      <c r="W98" s="65"/>
      <c r="X98" s="65"/>
      <c r="Y98" s="65"/>
      <c r="Z98" s="65"/>
      <c r="AA98" s="65"/>
      <c r="AB98" s="63" t="s">
        <v>372</v>
      </c>
      <c r="AC98" s="63" t="s">
        <v>349</v>
      </c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</row>
    <row r="99" spans="1:49" ht="24.75" customHeight="1">
      <c r="A99" s="62" t="s">
        <v>373</v>
      </c>
      <c r="B99" s="63" t="s">
        <v>336</v>
      </c>
      <c r="C99" s="63" t="s">
        <v>374</v>
      </c>
      <c r="D99" s="64" t="s">
        <v>338</v>
      </c>
      <c r="E99" s="64" t="s">
        <v>339</v>
      </c>
      <c r="F99" s="65"/>
      <c r="G99" s="67" t="s">
        <v>189</v>
      </c>
      <c r="H99" s="63" t="s">
        <v>341</v>
      </c>
      <c r="I99" s="63" t="s">
        <v>375</v>
      </c>
      <c r="J99" s="32"/>
      <c r="K99" s="40"/>
      <c r="L99" s="40"/>
      <c r="M99" s="40"/>
      <c r="N99" s="40"/>
      <c r="O99" s="40"/>
      <c r="P99" s="40"/>
      <c r="Q99" s="40"/>
      <c r="R99" s="40"/>
      <c r="S99" s="40"/>
      <c r="T99" s="25"/>
      <c r="U99" s="65"/>
      <c r="V99" s="65"/>
      <c r="W99" s="65"/>
      <c r="X99" s="65"/>
      <c r="Y99" s="65"/>
      <c r="Z99" s="65"/>
      <c r="AA99" s="65"/>
      <c r="AB99" s="63" t="s">
        <v>376</v>
      </c>
      <c r="AC99" s="63" t="s">
        <v>349</v>
      </c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</row>
    <row r="100" spans="1:49" ht="24.75" customHeight="1">
      <c r="A100" s="62" t="s">
        <v>377</v>
      </c>
      <c r="B100" s="63" t="s">
        <v>336</v>
      </c>
      <c r="C100" s="63" t="s">
        <v>374</v>
      </c>
      <c r="D100" s="64" t="s">
        <v>338</v>
      </c>
      <c r="E100" s="64" t="s">
        <v>339</v>
      </c>
      <c r="F100" s="65"/>
      <c r="G100" s="67" t="s">
        <v>189</v>
      </c>
      <c r="H100" s="63" t="s">
        <v>341</v>
      </c>
      <c r="I100" s="63" t="s">
        <v>375</v>
      </c>
      <c r="J100" s="32"/>
      <c r="K100" s="40"/>
      <c r="L100" s="40"/>
      <c r="M100" s="40"/>
      <c r="N100" s="40"/>
      <c r="O100" s="40"/>
      <c r="P100" s="40"/>
      <c r="Q100" s="40"/>
      <c r="R100" s="40"/>
      <c r="S100" s="40"/>
      <c r="T100" s="25"/>
      <c r="U100" s="65"/>
      <c r="V100" s="65"/>
      <c r="W100" s="65"/>
      <c r="X100" s="65"/>
      <c r="Y100" s="65"/>
      <c r="Z100" s="65"/>
      <c r="AA100" s="65"/>
      <c r="AB100" s="63" t="s">
        <v>376</v>
      </c>
      <c r="AC100" s="63" t="s">
        <v>349</v>
      </c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</row>
    <row r="101" spans="1:49" ht="24.75" customHeight="1">
      <c r="A101" s="62" t="s">
        <v>378</v>
      </c>
      <c r="B101" s="63" t="s">
        <v>336</v>
      </c>
      <c r="C101" s="63" t="s">
        <v>374</v>
      </c>
      <c r="D101" s="64" t="s">
        <v>338</v>
      </c>
      <c r="E101" s="64" t="s">
        <v>339</v>
      </c>
      <c r="F101" s="65"/>
      <c r="G101" s="67" t="s">
        <v>189</v>
      </c>
      <c r="H101" s="63" t="s">
        <v>341</v>
      </c>
      <c r="I101" s="63" t="s">
        <v>375</v>
      </c>
      <c r="J101" s="32"/>
      <c r="K101" s="40"/>
      <c r="L101" s="40"/>
      <c r="M101" s="40"/>
      <c r="N101" s="40"/>
      <c r="O101" s="40"/>
      <c r="P101" s="40"/>
      <c r="Q101" s="40"/>
      <c r="R101" s="40"/>
      <c r="S101" s="40"/>
      <c r="T101" s="25"/>
      <c r="U101" s="65"/>
      <c r="V101" s="65"/>
      <c r="W101" s="65"/>
      <c r="X101" s="65"/>
      <c r="Y101" s="65"/>
      <c r="Z101" s="65"/>
      <c r="AA101" s="65"/>
      <c r="AB101" s="63" t="s">
        <v>376</v>
      </c>
      <c r="AC101" s="63" t="s">
        <v>349</v>
      </c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</row>
    <row r="102" spans="1:49" ht="24.75" customHeight="1">
      <c r="A102" s="62" t="s">
        <v>379</v>
      </c>
      <c r="B102" s="63" t="s">
        <v>336</v>
      </c>
      <c r="C102" s="63" t="s">
        <v>374</v>
      </c>
      <c r="D102" s="64" t="s">
        <v>338</v>
      </c>
      <c r="E102" s="64" t="s">
        <v>339</v>
      </c>
      <c r="F102" s="65"/>
      <c r="G102" s="67" t="s">
        <v>189</v>
      </c>
      <c r="H102" s="63" t="s">
        <v>341</v>
      </c>
      <c r="I102" s="63" t="s">
        <v>375</v>
      </c>
      <c r="J102" s="32"/>
      <c r="K102" s="40"/>
      <c r="L102" s="40"/>
      <c r="M102" s="40"/>
      <c r="N102" s="40"/>
      <c r="O102" s="40"/>
      <c r="P102" s="40"/>
      <c r="Q102" s="40"/>
      <c r="R102" s="40"/>
      <c r="S102" s="40"/>
      <c r="T102" s="25"/>
      <c r="U102" s="65"/>
      <c r="V102" s="65"/>
      <c r="W102" s="65"/>
      <c r="X102" s="65"/>
      <c r="Y102" s="65"/>
      <c r="Z102" s="65"/>
      <c r="AA102" s="65"/>
      <c r="AB102" s="63" t="s">
        <v>376</v>
      </c>
      <c r="AC102" s="63" t="s">
        <v>349</v>
      </c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</row>
    <row r="103" spans="1:49" ht="24.75" customHeight="1">
      <c r="A103" s="62" t="s">
        <v>380</v>
      </c>
      <c r="B103" s="63" t="s">
        <v>336</v>
      </c>
      <c r="C103" s="63" t="s">
        <v>374</v>
      </c>
      <c r="D103" s="64" t="s">
        <v>338</v>
      </c>
      <c r="E103" s="64" t="s">
        <v>339</v>
      </c>
      <c r="F103" s="65"/>
      <c r="G103" s="67" t="s">
        <v>189</v>
      </c>
      <c r="H103" s="63" t="s">
        <v>341</v>
      </c>
      <c r="I103" s="63" t="s">
        <v>375</v>
      </c>
      <c r="J103" s="32"/>
      <c r="K103" s="40"/>
      <c r="L103" s="40"/>
      <c r="M103" s="40"/>
      <c r="N103" s="40"/>
      <c r="O103" s="40"/>
      <c r="P103" s="40"/>
      <c r="Q103" s="40"/>
      <c r="R103" s="40"/>
      <c r="S103" s="40"/>
      <c r="T103" s="25"/>
      <c r="U103" s="65"/>
      <c r="V103" s="65"/>
      <c r="W103" s="65"/>
      <c r="X103" s="65"/>
      <c r="Y103" s="65"/>
      <c r="Z103" s="65"/>
      <c r="AA103" s="65"/>
      <c r="AB103" s="63" t="s">
        <v>376</v>
      </c>
      <c r="AC103" s="63" t="s">
        <v>349</v>
      </c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</row>
    <row r="104" spans="1:49" ht="24.75" customHeight="1">
      <c r="A104" s="62" t="s">
        <v>381</v>
      </c>
      <c r="B104" s="63" t="s">
        <v>336</v>
      </c>
      <c r="C104" s="63" t="s">
        <v>374</v>
      </c>
      <c r="D104" s="64" t="s">
        <v>338</v>
      </c>
      <c r="E104" s="64" t="s">
        <v>339</v>
      </c>
      <c r="F104" s="65"/>
      <c r="G104" s="67" t="s">
        <v>189</v>
      </c>
      <c r="H104" s="63" t="s">
        <v>341</v>
      </c>
      <c r="I104" s="63" t="s">
        <v>375</v>
      </c>
      <c r="J104" s="32"/>
      <c r="K104" s="40"/>
      <c r="L104" s="40"/>
      <c r="M104" s="40"/>
      <c r="N104" s="40"/>
      <c r="O104" s="40"/>
      <c r="P104" s="40"/>
      <c r="Q104" s="40"/>
      <c r="R104" s="40"/>
      <c r="S104" s="40"/>
      <c r="T104" s="25"/>
      <c r="U104" s="65"/>
      <c r="V104" s="65"/>
      <c r="W104" s="65"/>
      <c r="X104" s="65"/>
      <c r="Y104" s="65"/>
      <c r="Z104" s="65"/>
      <c r="AA104" s="65"/>
      <c r="AB104" s="63" t="s">
        <v>376</v>
      </c>
      <c r="AC104" s="63" t="s">
        <v>349</v>
      </c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</row>
    <row r="105" spans="1:49" ht="24.75" customHeight="1">
      <c r="A105" s="62" t="s">
        <v>382</v>
      </c>
      <c r="B105" s="63" t="s">
        <v>336</v>
      </c>
      <c r="C105" s="63" t="s">
        <v>383</v>
      </c>
      <c r="D105" s="64" t="s">
        <v>338</v>
      </c>
      <c r="E105" s="64" t="s">
        <v>339</v>
      </c>
      <c r="F105" s="65"/>
      <c r="G105" s="67" t="s">
        <v>189</v>
      </c>
      <c r="H105" s="63" t="s">
        <v>384</v>
      </c>
      <c r="I105" s="63" t="s">
        <v>385</v>
      </c>
      <c r="J105" s="32"/>
      <c r="K105" s="40"/>
      <c r="L105" s="40"/>
      <c r="M105" s="40"/>
      <c r="N105" s="40"/>
      <c r="O105" s="40"/>
      <c r="P105" s="40"/>
      <c r="Q105" s="40"/>
      <c r="R105" s="40"/>
      <c r="S105" s="40"/>
      <c r="T105" s="25"/>
      <c r="U105" s="65"/>
      <c r="V105" s="65"/>
      <c r="W105" s="65"/>
      <c r="X105" s="65"/>
      <c r="Y105" s="65"/>
      <c r="Z105" s="65"/>
      <c r="AA105" s="65"/>
      <c r="AB105" s="63" t="s">
        <v>386</v>
      </c>
      <c r="AC105" s="63" t="s">
        <v>349</v>
      </c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</row>
    <row r="106" spans="1:49" ht="24.75" customHeight="1">
      <c r="A106" s="62" t="s">
        <v>387</v>
      </c>
      <c r="B106" s="63" t="s">
        <v>336</v>
      </c>
      <c r="C106" s="63" t="s">
        <v>388</v>
      </c>
      <c r="D106" s="64" t="s">
        <v>338</v>
      </c>
      <c r="E106" s="64" t="s">
        <v>339</v>
      </c>
      <c r="F106" s="65"/>
      <c r="G106" s="67" t="s">
        <v>189</v>
      </c>
      <c r="H106" s="63" t="s">
        <v>384</v>
      </c>
      <c r="I106" s="63" t="s">
        <v>385</v>
      </c>
      <c r="J106" s="32"/>
      <c r="K106" s="40"/>
      <c r="L106" s="40"/>
      <c r="M106" s="40"/>
      <c r="N106" s="40"/>
      <c r="O106" s="40"/>
      <c r="P106" s="40"/>
      <c r="Q106" s="40"/>
      <c r="R106" s="40"/>
      <c r="S106" s="40"/>
      <c r="T106" s="25"/>
      <c r="U106" s="65"/>
      <c r="V106" s="65"/>
      <c r="W106" s="65"/>
      <c r="X106" s="65"/>
      <c r="Y106" s="65"/>
      <c r="Z106" s="65"/>
      <c r="AA106" s="65"/>
      <c r="AB106" s="63" t="s">
        <v>386</v>
      </c>
      <c r="AC106" s="63" t="s">
        <v>349</v>
      </c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</row>
    <row r="107" spans="1:49" ht="24.75" customHeight="1">
      <c r="A107" s="62" t="s">
        <v>389</v>
      </c>
      <c r="B107" s="63" t="s">
        <v>336</v>
      </c>
      <c r="C107" s="63" t="s">
        <v>390</v>
      </c>
      <c r="D107" s="64" t="s">
        <v>338</v>
      </c>
      <c r="E107" s="64" t="s">
        <v>339</v>
      </c>
      <c r="F107" s="65"/>
      <c r="G107" s="63" t="s">
        <v>391</v>
      </c>
      <c r="H107" s="63" t="s">
        <v>392</v>
      </c>
      <c r="I107" s="63" t="s">
        <v>393</v>
      </c>
      <c r="J107" s="32"/>
      <c r="K107" s="40"/>
      <c r="L107" s="40"/>
      <c r="M107" s="40"/>
      <c r="N107" s="40"/>
      <c r="O107" s="40"/>
      <c r="P107" s="40"/>
      <c r="Q107" s="40"/>
      <c r="R107" s="40"/>
      <c r="S107" s="40"/>
      <c r="T107" s="25"/>
      <c r="U107" s="65"/>
      <c r="V107" s="65"/>
      <c r="W107" s="65"/>
      <c r="X107" s="65"/>
      <c r="Y107" s="65"/>
      <c r="Z107" s="65"/>
      <c r="AA107" s="65"/>
      <c r="AB107" s="65"/>
      <c r="AC107" s="63" t="s">
        <v>349</v>
      </c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</row>
    <row r="108" spans="1:49" ht="24.75" customHeight="1">
      <c r="A108" s="155" t="s">
        <v>394</v>
      </c>
      <c r="B108" s="152"/>
      <c r="C108" s="152"/>
      <c r="D108" s="152"/>
      <c r="E108" s="152"/>
      <c r="F108" s="152"/>
      <c r="G108" s="152"/>
      <c r="H108" s="152"/>
      <c r="I108" s="153"/>
      <c r="J108" s="32"/>
      <c r="K108" s="151"/>
      <c r="L108" s="152"/>
      <c r="M108" s="152"/>
      <c r="N108" s="152"/>
      <c r="O108" s="152"/>
      <c r="P108" s="152"/>
      <c r="Q108" s="152"/>
      <c r="R108" s="152"/>
      <c r="S108" s="153"/>
      <c r="T108" s="32"/>
      <c r="U108" s="154"/>
      <c r="V108" s="152"/>
      <c r="W108" s="152"/>
      <c r="X108" s="152"/>
      <c r="Y108" s="152"/>
      <c r="Z108" s="152"/>
      <c r="AA108" s="153"/>
      <c r="AB108" s="37"/>
      <c r="AC108" s="37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</row>
    <row r="109" spans="1:49" ht="28.5">
      <c r="A109" s="68" t="s">
        <v>395</v>
      </c>
      <c r="B109" s="69" t="s">
        <v>336</v>
      </c>
      <c r="C109" s="69" t="s">
        <v>337</v>
      </c>
      <c r="D109" s="70" t="s">
        <v>396</v>
      </c>
      <c r="E109" s="70" t="s">
        <v>397</v>
      </c>
      <c r="F109" s="71"/>
      <c r="G109" s="69" t="s">
        <v>340</v>
      </c>
      <c r="H109" s="69" t="s">
        <v>341</v>
      </c>
      <c r="I109" s="69" t="s">
        <v>342</v>
      </c>
      <c r="J109" s="61"/>
      <c r="K109" s="12"/>
      <c r="L109" s="12"/>
      <c r="M109" s="12"/>
      <c r="N109" s="12"/>
      <c r="O109" s="12"/>
      <c r="P109" s="12"/>
      <c r="Q109" s="12"/>
      <c r="R109" s="12"/>
      <c r="S109" s="12"/>
      <c r="T109" s="61"/>
      <c r="U109" s="71"/>
      <c r="V109" s="71"/>
      <c r="W109" s="71"/>
      <c r="X109" s="71"/>
      <c r="Y109" s="71"/>
      <c r="Z109" s="71"/>
      <c r="AA109" s="71"/>
      <c r="AB109" s="71"/>
      <c r="AC109" s="69" t="s">
        <v>398</v>
      </c>
    </row>
    <row r="110" spans="1:49" ht="57">
      <c r="A110" s="68" t="s">
        <v>399</v>
      </c>
      <c r="B110" s="69" t="s">
        <v>336</v>
      </c>
      <c r="C110" s="69" t="s">
        <v>345</v>
      </c>
      <c r="D110" s="70" t="s">
        <v>396</v>
      </c>
      <c r="E110" s="70" t="s">
        <v>397</v>
      </c>
      <c r="F110" s="71"/>
      <c r="G110" s="69" t="s">
        <v>346</v>
      </c>
      <c r="H110" s="69" t="s">
        <v>347</v>
      </c>
      <c r="I110" s="69" t="s">
        <v>348</v>
      </c>
      <c r="J110" s="61"/>
      <c r="K110" s="12"/>
      <c r="L110" s="12"/>
      <c r="M110" s="12"/>
      <c r="N110" s="12"/>
      <c r="O110" s="12"/>
      <c r="P110" s="12"/>
      <c r="Q110" s="12"/>
      <c r="R110" s="12"/>
      <c r="S110" s="12"/>
      <c r="T110" s="61"/>
      <c r="U110" s="71"/>
      <c r="V110" s="71"/>
      <c r="W110" s="71"/>
      <c r="X110" s="71"/>
      <c r="Y110" s="71"/>
      <c r="Z110" s="71"/>
      <c r="AA110" s="71"/>
      <c r="AB110" s="71"/>
      <c r="AC110" s="69" t="s">
        <v>398</v>
      </c>
    </row>
    <row r="111" spans="1:49" ht="42.75">
      <c r="A111" s="68" t="s">
        <v>400</v>
      </c>
      <c r="B111" s="69" t="s">
        <v>336</v>
      </c>
      <c r="C111" s="69" t="s">
        <v>358</v>
      </c>
      <c r="D111" s="70" t="s">
        <v>396</v>
      </c>
      <c r="E111" s="70" t="s">
        <v>397</v>
      </c>
      <c r="F111" s="71"/>
      <c r="G111" s="69" t="s">
        <v>352</v>
      </c>
      <c r="H111" s="69" t="s">
        <v>341</v>
      </c>
      <c r="I111" s="69" t="s">
        <v>359</v>
      </c>
      <c r="J111" s="61"/>
      <c r="K111" s="12"/>
      <c r="L111" s="12"/>
      <c r="M111" s="12"/>
      <c r="N111" s="12"/>
      <c r="O111" s="12"/>
      <c r="P111" s="12"/>
      <c r="Q111" s="12"/>
      <c r="R111" s="12"/>
      <c r="S111" s="12"/>
      <c r="T111" s="61"/>
      <c r="U111" s="71"/>
      <c r="V111" s="71"/>
      <c r="W111" s="71"/>
      <c r="X111" s="71"/>
      <c r="Y111" s="71"/>
      <c r="Z111" s="71"/>
      <c r="AA111" s="71"/>
      <c r="AB111" s="71"/>
      <c r="AC111" s="69" t="s">
        <v>398</v>
      </c>
    </row>
    <row r="112" spans="1:49" ht="42.75">
      <c r="A112" s="68" t="s">
        <v>401</v>
      </c>
      <c r="B112" s="69" t="s">
        <v>336</v>
      </c>
      <c r="C112" s="69" t="s">
        <v>358</v>
      </c>
      <c r="D112" s="70" t="s">
        <v>396</v>
      </c>
      <c r="E112" s="70" t="s">
        <v>397</v>
      </c>
      <c r="F112" s="71"/>
      <c r="G112" s="69" t="s">
        <v>352</v>
      </c>
      <c r="H112" s="69" t="s">
        <v>341</v>
      </c>
      <c r="I112" s="69" t="s">
        <v>359</v>
      </c>
      <c r="J112" s="61"/>
      <c r="K112" s="12"/>
      <c r="L112" s="12"/>
      <c r="M112" s="12"/>
      <c r="N112" s="12"/>
      <c r="O112" s="12"/>
      <c r="P112" s="12"/>
      <c r="Q112" s="12"/>
      <c r="R112" s="12"/>
      <c r="S112" s="12"/>
      <c r="T112" s="61"/>
      <c r="U112" s="71"/>
      <c r="V112" s="71"/>
      <c r="W112" s="71"/>
      <c r="X112" s="71"/>
      <c r="Y112" s="71"/>
      <c r="Z112" s="71"/>
      <c r="AA112" s="71"/>
      <c r="AB112" s="71"/>
      <c r="AC112" s="69" t="s">
        <v>398</v>
      </c>
    </row>
    <row r="113" spans="1:49" ht="57">
      <c r="A113" s="68" t="s">
        <v>402</v>
      </c>
      <c r="B113" s="69" t="s">
        <v>336</v>
      </c>
      <c r="C113" s="69" t="s">
        <v>362</v>
      </c>
      <c r="D113" s="70" t="s">
        <v>396</v>
      </c>
      <c r="E113" s="70" t="s">
        <v>397</v>
      </c>
      <c r="F113" s="71"/>
      <c r="G113" s="69" t="s">
        <v>352</v>
      </c>
      <c r="H113" s="69" t="s">
        <v>341</v>
      </c>
      <c r="I113" s="69" t="s">
        <v>363</v>
      </c>
      <c r="J113" s="61"/>
      <c r="K113" s="12"/>
      <c r="L113" s="12"/>
      <c r="M113" s="12"/>
      <c r="N113" s="12"/>
      <c r="O113" s="12"/>
      <c r="P113" s="12"/>
      <c r="Q113" s="12"/>
      <c r="R113" s="12"/>
      <c r="S113" s="12"/>
      <c r="T113" s="61"/>
      <c r="U113" s="71"/>
      <c r="V113" s="71"/>
      <c r="W113" s="71"/>
      <c r="X113" s="71"/>
      <c r="Y113" s="71"/>
      <c r="Z113" s="71"/>
      <c r="AA113" s="71"/>
      <c r="AB113" s="71"/>
      <c r="AC113" s="69" t="s">
        <v>398</v>
      </c>
    </row>
    <row r="114" spans="1:49" ht="57">
      <c r="A114" s="68" t="s">
        <v>403</v>
      </c>
      <c r="B114" s="69" t="s">
        <v>336</v>
      </c>
      <c r="C114" s="69" t="s">
        <v>362</v>
      </c>
      <c r="D114" s="70" t="s">
        <v>396</v>
      </c>
      <c r="E114" s="70" t="s">
        <v>397</v>
      </c>
      <c r="F114" s="71"/>
      <c r="G114" s="69" t="s">
        <v>352</v>
      </c>
      <c r="H114" s="69" t="s">
        <v>341</v>
      </c>
      <c r="I114" s="69" t="s">
        <v>363</v>
      </c>
      <c r="J114" s="61"/>
      <c r="K114" s="12"/>
      <c r="L114" s="12"/>
      <c r="M114" s="12"/>
      <c r="N114" s="12"/>
      <c r="O114" s="12"/>
      <c r="P114" s="12"/>
      <c r="Q114" s="12"/>
      <c r="R114" s="12"/>
      <c r="S114" s="12"/>
      <c r="T114" s="61"/>
      <c r="U114" s="71"/>
      <c r="V114" s="71"/>
      <c r="W114" s="71"/>
      <c r="X114" s="71"/>
      <c r="Y114" s="71"/>
      <c r="Z114" s="71"/>
      <c r="AA114" s="71"/>
      <c r="AB114" s="71"/>
      <c r="AC114" s="69" t="s">
        <v>398</v>
      </c>
    </row>
    <row r="115" spans="1:49" ht="28.5">
      <c r="A115" s="68" t="s">
        <v>404</v>
      </c>
      <c r="B115" s="69" t="s">
        <v>336</v>
      </c>
      <c r="C115" s="69" t="s">
        <v>374</v>
      </c>
      <c r="D115" s="70" t="s">
        <v>396</v>
      </c>
      <c r="E115" s="70" t="s">
        <v>397</v>
      </c>
      <c r="F115" s="71"/>
      <c r="G115" s="72" t="s">
        <v>189</v>
      </c>
      <c r="H115" s="69" t="s">
        <v>341</v>
      </c>
      <c r="I115" s="69" t="s">
        <v>375</v>
      </c>
      <c r="J115" s="61"/>
      <c r="K115" s="12"/>
      <c r="L115" s="12"/>
      <c r="M115" s="12"/>
      <c r="N115" s="12"/>
      <c r="O115" s="12"/>
      <c r="P115" s="12"/>
      <c r="Q115" s="12"/>
      <c r="R115" s="12"/>
      <c r="S115" s="12"/>
      <c r="T115" s="61"/>
      <c r="U115" s="71"/>
      <c r="V115" s="71"/>
      <c r="W115" s="71"/>
      <c r="X115" s="71"/>
      <c r="Y115" s="71"/>
      <c r="Z115" s="71"/>
      <c r="AA115" s="71"/>
      <c r="AB115" s="69" t="s">
        <v>376</v>
      </c>
      <c r="AC115" s="69" t="s">
        <v>398</v>
      </c>
    </row>
    <row r="116" spans="1:49" ht="28.5">
      <c r="A116" s="68" t="s">
        <v>405</v>
      </c>
      <c r="B116" s="69" t="s">
        <v>336</v>
      </c>
      <c r="C116" s="69" t="s">
        <v>374</v>
      </c>
      <c r="D116" s="70" t="s">
        <v>396</v>
      </c>
      <c r="E116" s="70" t="s">
        <v>397</v>
      </c>
      <c r="F116" s="71"/>
      <c r="G116" s="72" t="s">
        <v>189</v>
      </c>
      <c r="H116" s="69" t="s">
        <v>341</v>
      </c>
      <c r="I116" s="69" t="s">
        <v>375</v>
      </c>
      <c r="J116" s="61"/>
      <c r="K116" s="12"/>
      <c r="L116" s="12"/>
      <c r="M116" s="12"/>
      <c r="N116" s="12"/>
      <c r="O116" s="12"/>
      <c r="P116" s="12"/>
      <c r="Q116" s="12"/>
      <c r="R116" s="12"/>
      <c r="S116" s="12"/>
      <c r="T116" s="61"/>
      <c r="U116" s="71"/>
      <c r="V116" s="71"/>
      <c r="W116" s="71"/>
      <c r="X116" s="71"/>
      <c r="Y116" s="71"/>
      <c r="Z116" s="71"/>
      <c r="AA116" s="71"/>
      <c r="AB116" s="69" t="s">
        <v>376</v>
      </c>
      <c r="AC116" s="69" t="s">
        <v>398</v>
      </c>
    </row>
    <row r="117" spans="1:49" ht="28.5">
      <c r="A117" s="68" t="s">
        <v>406</v>
      </c>
      <c r="B117" s="69" t="s">
        <v>336</v>
      </c>
      <c r="C117" s="69" t="s">
        <v>374</v>
      </c>
      <c r="D117" s="70" t="s">
        <v>396</v>
      </c>
      <c r="E117" s="70" t="s">
        <v>397</v>
      </c>
      <c r="F117" s="71"/>
      <c r="G117" s="72" t="s">
        <v>189</v>
      </c>
      <c r="H117" s="69" t="s">
        <v>341</v>
      </c>
      <c r="I117" s="69" t="s">
        <v>375</v>
      </c>
      <c r="J117" s="61"/>
      <c r="K117" s="12"/>
      <c r="L117" s="12"/>
      <c r="M117" s="12"/>
      <c r="N117" s="12"/>
      <c r="O117" s="12"/>
      <c r="P117" s="12"/>
      <c r="Q117" s="12"/>
      <c r="R117" s="12"/>
      <c r="S117" s="12"/>
      <c r="T117" s="61"/>
      <c r="U117" s="71"/>
      <c r="V117" s="71"/>
      <c r="W117" s="71"/>
      <c r="X117" s="71"/>
      <c r="Y117" s="71"/>
      <c r="Z117" s="71"/>
      <c r="AA117" s="71"/>
      <c r="AB117" s="69" t="s">
        <v>376</v>
      </c>
      <c r="AC117" s="69" t="s">
        <v>398</v>
      </c>
    </row>
    <row r="118" spans="1:49" ht="28.5">
      <c r="A118" s="68" t="s">
        <v>407</v>
      </c>
      <c r="B118" s="69" t="s">
        <v>336</v>
      </c>
      <c r="C118" s="69" t="s">
        <v>374</v>
      </c>
      <c r="D118" s="70" t="s">
        <v>396</v>
      </c>
      <c r="E118" s="70" t="s">
        <v>397</v>
      </c>
      <c r="F118" s="71"/>
      <c r="G118" s="72" t="s">
        <v>189</v>
      </c>
      <c r="H118" s="69" t="s">
        <v>341</v>
      </c>
      <c r="I118" s="69" t="s">
        <v>375</v>
      </c>
      <c r="J118" s="61"/>
      <c r="K118" s="12"/>
      <c r="L118" s="12"/>
      <c r="M118" s="12"/>
      <c r="N118" s="12"/>
      <c r="O118" s="12"/>
      <c r="P118" s="12"/>
      <c r="Q118" s="12"/>
      <c r="R118" s="12"/>
      <c r="S118" s="12"/>
      <c r="T118" s="61"/>
      <c r="U118" s="71"/>
      <c r="V118" s="71"/>
      <c r="W118" s="71"/>
      <c r="X118" s="71"/>
      <c r="Y118" s="71"/>
      <c r="Z118" s="71"/>
      <c r="AA118" s="71"/>
      <c r="AB118" s="69" t="s">
        <v>376</v>
      </c>
      <c r="AC118" s="69" t="s">
        <v>398</v>
      </c>
    </row>
    <row r="119" spans="1:49" ht="28.5">
      <c r="A119" s="68" t="s">
        <v>408</v>
      </c>
      <c r="B119" s="69" t="s">
        <v>336</v>
      </c>
      <c r="C119" s="69" t="s">
        <v>374</v>
      </c>
      <c r="D119" s="70" t="s">
        <v>396</v>
      </c>
      <c r="E119" s="70" t="s">
        <v>397</v>
      </c>
      <c r="F119" s="71"/>
      <c r="G119" s="72" t="s">
        <v>189</v>
      </c>
      <c r="H119" s="69" t="s">
        <v>341</v>
      </c>
      <c r="I119" s="69" t="s">
        <v>375</v>
      </c>
      <c r="J119" s="61"/>
      <c r="K119" s="12"/>
      <c r="L119" s="12"/>
      <c r="M119" s="12"/>
      <c r="N119" s="12"/>
      <c r="O119" s="12"/>
      <c r="P119" s="12"/>
      <c r="Q119" s="12"/>
      <c r="R119" s="12"/>
      <c r="S119" s="12"/>
      <c r="T119" s="61"/>
      <c r="U119" s="71"/>
      <c r="V119" s="71"/>
      <c r="W119" s="71"/>
      <c r="X119" s="71"/>
      <c r="Y119" s="71"/>
      <c r="Z119" s="71"/>
      <c r="AA119" s="71"/>
      <c r="AB119" s="69" t="s">
        <v>376</v>
      </c>
      <c r="AC119" s="69" t="s">
        <v>398</v>
      </c>
    </row>
    <row r="120" spans="1:49" ht="28.5">
      <c r="A120" s="68" t="s">
        <v>409</v>
      </c>
      <c r="B120" s="69" t="s">
        <v>336</v>
      </c>
      <c r="C120" s="69" t="s">
        <v>374</v>
      </c>
      <c r="D120" s="70" t="s">
        <v>396</v>
      </c>
      <c r="E120" s="70" t="s">
        <v>397</v>
      </c>
      <c r="F120" s="71"/>
      <c r="G120" s="72" t="s">
        <v>189</v>
      </c>
      <c r="H120" s="69" t="s">
        <v>341</v>
      </c>
      <c r="I120" s="69" t="s">
        <v>375</v>
      </c>
      <c r="J120" s="61"/>
      <c r="K120" s="12"/>
      <c r="L120" s="12"/>
      <c r="M120" s="12"/>
      <c r="N120" s="12"/>
      <c r="O120" s="12"/>
      <c r="P120" s="12"/>
      <c r="Q120" s="12"/>
      <c r="R120" s="12"/>
      <c r="S120" s="12"/>
      <c r="T120" s="61"/>
      <c r="U120" s="71"/>
      <c r="V120" s="71"/>
      <c r="W120" s="71"/>
      <c r="X120" s="71"/>
      <c r="Y120" s="71"/>
      <c r="Z120" s="71"/>
      <c r="AA120" s="71"/>
      <c r="AB120" s="69" t="s">
        <v>376</v>
      </c>
      <c r="AC120" s="69" t="s">
        <v>398</v>
      </c>
    </row>
    <row r="121" spans="1:49" ht="24.75" customHeight="1">
      <c r="A121" s="73" t="s">
        <v>410</v>
      </c>
      <c r="B121" s="74" t="s">
        <v>336</v>
      </c>
      <c r="C121" s="74" t="s">
        <v>383</v>
      </c>
      <c r="D121" s="75" t="s">
        <v>396</v>
      </c>
      <c r="E121" s="75" t="s">
        <v>397</v>
      </c>
      <c r="F121" s="76"/>
      <c r="G121" s="77" t="s">
        <v>189</v>
      </c>
      <c r="H121" s="74" t="s">
        <v>384</v>
      </c>
      <c r="I121" s="74" t="s">
        <v>385</v>
      </c>
      <c r="J121" s="32"/>
      <c r="K121" s="33"/>
      <c r="L121" s="33"/>
      <c r="M121" s="33"/>
      <c r="N121" s="33"/>
      <c r="O121" s="33"/>
      <c r="P121" s="33"/>
      <c r="Q121" s="33"/>
      <c r="R121" s="33"/>
      <c r="S121" s="33"/>
      <c r="T121" s="25"/>
      <c r="U121" s="76"/>
      <c r="V121" s="76"/>
      <c r="W121" s="76"/>
      <c r="X121" s="76"/>
      <c r="Y121" s="76"/>
      <c r="Z121" s="76"/>
      <c r="AA121" s="76"/>
      <c r="AB121" s="74" t="s">
        <v>386</v>
      </c>
      <c r="AC121" s="74" t="s">
        <v>398</v>
      </c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24.75" customHeight="1">
      <c r="A122" s="68" t="s">
        <v>411</v>
      </c>
      <c r="B122" s="69" t="s">
        <v>336</v>
      </c>
      <c r="C122" s="69" t="s">
        <v>388</v>
      </c>
      <c r="D122" s="70" t="s">
        <v>396</v>
      </c>
      <c r="E122" s="70" t="s">
        <v>397</v>
      </c>
      <c r="F122" s="71"/>
      <c r="G122" s="72" t="s">
        <v>189</v>
      </c>
      <c r="H122" s="69" t="s">
        <v>384</v>
      </c>
      <c r="I122" s="69" t="s">
        <v>385</v>
      </c>
      <c r="J122" s="32"/>
      <c r="K122" s="40"/>
      <c r="L122" s="40"/>
      <c r="M122" s="40"/>
      <c r="N122" s="40"/>
      <c r="O122" s="40"/>
      <c r="P122" s="40"/>
      <c r="Q122" s="40"/>
      <c r="R122" s="40"/>
      <c r="S122" s="40"/>
      <c r="T122" s="25"/>
      <c r="U122" s="71"/>
      <c r="V122" s="71"/>
      <c r="W122" s="71"/>
      <c r="X122" s="71"/>
      <c r="Y122" s="71"/>
      <c r="Z122" s="71"/>
      <c r="AA122" s="71"/>
      <c r="AB122" s="69" t="s">
        <v>386</v>
      </c>
      <c r="AC122" s="69" t="s">
        <v>398</v>
      </c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</row>
    <row r="123" spans="1:49" ht="24.75" customHeight="1">
      <c r="A123" s="68" t="s">
        <v>412</v>
      </c>
      <c r="B123" s="69" t="s">
        <v>336</v>
      </c>
      <c r="C123" s="69" t="s">
        <v>390</v>
      </c>
      <c r="D123" s="70" t="s">
        <v>396</v>
      </c>
      <c r="E123" s="70" t="s">
        <v>397</v>
      </c>
      <c r="F123" s="71"/>
      <c r="G123" s="69" t="s">
        <v>391</v>
      </c>
      <c r="H123" s="69" t="s">
        <v>392</v>
      </c>
      <c r="I123" s="69" t="s">
        <v>393</v>
      </c>
      <c r="J123" s="32"/>
      <c r="K123" s="40"/>
      <c r="L123" s="40"/>
      <c r="M123" s="40"/>
      <c r="N123" s="40"/>
      <c r="O123" s="40"/>
      <c r="P123" s="40"/>
      <c r="Q123" s="40"/>
      <c r="R123" s="40"/>
      <c r="S123" s="40"/>
      <c r="T123" s="25"/>
      <c r="U123" s="71"/>
      <c r="V123" s="71"/>
      <c r="W123" s="71"/>
      <c r="X123" s="71"/>
      <c r="Y123" s="71"/>
      <c r="Z123" s="71"/>
      <c r="AA123" s="71"/>
      <c r="AB123" s="71"/>
      <c r="AC123" s="69" t="s">
        <v>398</v>
      </c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24.75" customHeight="1">
      <c r="A124" s="155" t="s">
        <v>413</v>
      </c>
      <c r="B124" s="152"/>
      <c r="C124" s="152"/>
      <c r="D124" s="152"/>
      <c r="E124" s="152"/>
      <c r="F124" s="152"/>
      <c r="G124" s="152"/>
      <c r="H124" s="152"/>
      <c r="I124" s="153"/>
      <c r="J124" s="32"/>
      <c r="K124" s="151"/>
      <c r="L124" s="152"/>
      <c r="M124" s="152"/>
      <c r="N124" s="152"/>
      <c r="O124" s="152"/>
      <c r="P124" s="152"/>
      <c r="Q124" s="152"/>
      <c r="R124" s="152"/>
      <c r="S124" s="153"/>
      <c r="T124" s="32"/>
      <c r="U124" s="154"/>
      <c r="V124" s="152"/>
      <c r="W124" s="152"/>
      <c r="X124" s="152"/>
      <c r="Y124" s="152"/>
      <c r="Z124" s="152"/>
      <c r="AA124" s="153"/>
      <c r="AB124" s="37"/>
      <c r="AC124" s="37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</row>
    <row r="125" spans="1:49" ht="28.5">
      <c r="A125" s="78" t="s">
        <v>414</v>
      </c>
      <c r="B125" s="79" t="s">
        <v>336</v>
      </c>
      <c r="C125" s="79" t="s">
        <v>337</v>
      </c>
      <c r="D125" s="80" t="s">
        <v>415</v>
      </c>
      <c r="E125" s="80" t="s">
        <v>416</v>
      </c>
      <c r="F125" s="81"/>
      <c r="G125" s="79" t="s">
        <v>340</v>
      </c>
      <c r="H125" s="79" t="s">
        <v>341</v>
      </c>
      <c r="I125" s="79" t="s">
        <v>342</v>
      </c>
      <c r="J125" s="61"/>
      <c r="K125" s="12"/>
      <c r="L125" s="12"/>
      <c r="M125" s="12"/>
      <c r="N125" s="12"/>
      <c r="O125" s="12"/>
      <c r="P125" s="12"/>
      <c r="Q125" s="12"/>
      <c r="R125" s="12"/>
      <c r="S125" s="12"/>
      <c r="T125" s="61"/>
      <c r="U125" s="81"/>
      <c r="V125" s="81"/>
      <c r="W125" s="81"/>
      <c r="X125" s="81"/>
      <c r="Y125" s="81"/>
      <c r="Z125" s="81"/>
      <c r="AA125" s="81"/>
      <c r="AB125" s="81"/>
      <c r="AC125" s="79" t="s">
        <v>417</v>
      </c>
    </row>
    <row r="126" spans="1:49" ht="24.75" customHeight="1">
      <c r="A126" s="78" t="s">
        <v>418</v>
      </c>
      <c r="B126" s="79" t="s">
        <v>336</v>
      </c>
      <c r="C126" s="79" t="s">
        <v>345</v>
      </c>
      <c r="D126" s="80" t="s">
        <v>415</v>
      </c>
      <c r="E126" s="80" t="s">
        <v>416</v>
      </c>
      <c r="F126" s="81"/>
      <c r="G126" s="79" t="s">
        <v>346</v>
      </c>
      <c r="H126" s="79" t="s">
        <v>347</v>
      </c>
      <c r="I126" s="79" t="s">
        <v>348</v>
      </c>
      <c r="J126" s="32"/>
      <c r="K126" s="33"/>
      <c r="L126" s="33"/>
      <c r="M126" s="33"/>
      <c r="N126" s="33"/>
      <c r="O126" s="33"/>
      <c r="P126" s="33"/>
      <c r="Q126" s="33"/>
      <c r="R126" s="33"/>
      <c r="S126" s="33"/>
      <c r="T126" s="25"/>
      <c r="U126" s="81"/>
      <c r="V126" s="81"/>
      <c r="W126" s="81"/>
      <c r="X126" s="81"/>
      <c r="Y126" s="81"/>
      <c r="Z126" s="81"/>
      <c r="AA126" s="81"/>
      <c r="AB126" s="81"/>
      <c r="AC126" s="79" t="s">
        <v>417</v>
      </c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</row>
    <row r="127" spans="1:49" ht="24.75" customHeight="1">
      <c r="A127" s="78" t="s">
        <v>419</v>
      </c>
      <c r="B127" s="79" t="s">
        <v>336</v>
      </c>
      <c r="C127" s="79" t="s">
        <v>358</v>
      </c>
      <c r="D127" s="80" t="s">
        <v>415</v>
      </c>
      <c r="E127" s="80" t="s">
        <v>416</v>
      </c>
      <c r="F127" s="81"/>
      <c r="G127" s="79" t="s">
        <v>352</v>
      </c>
      <c r="H127" s="79" t="s">
        <v>341</v>
      </c>
      <c r="I127" s="79" t="s">
        <v>359</v>
      </c>
      <c r="J127" s="32"/>
      <c r="K127" s="40"/>
      <c r="L127" s="40"/>
      <c r="M127" s="40"/>
      <c r="N127" s="40"/>
      <c r="O127" s="40"/>
      <c r="P127" s="40"/>
      <c r="Q127" s="40"/>
      <c r="R127" s="40"/>
      <c r="S127" s="40"/>
      <c r="T127" s="25"/>
      <c r="U127" s="81"/>
      <c r="V127" s="81"/>
      <c r="W127" s="81"/>
      <c r="X127" s="81"/>
      <c r="Y127" s="81"/>
      <c r="Z127" s="81"/>
      <c r="AA127" s="81"/>
      <c r="AB127" s="81"/>
      <c r="AC127" s="79" t="s">
        <v>417</v>
      </c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</row>
    <row r="128" spans="1:49" ht="24.75" customHeight="1">
      <c r="A128" s="78" t="s">
        <v>420</v>
      </c>
      <c r="B128" s="79" t="s">
        <v>336</v>
      </c>
      <c r="C128" s="79" t="s">
        <v>358</v>
      </c>
      <c r="D128" s="80" t="s">
        <v>415</v>
      </c>
      <c r="E128" s="80" t="s">
        <v>416</v>
      </c>
      <c r="F128" s="81"/>
      <c r="G128" s="79" t="s">
        <v>352</v>
      </c>
      <c r="H128" s="79" t="s">
        <v>341</v>
      </c>
      <c r="I128" s="79" t="s">
        <v>359</v>
      </c>
      <c r="J128" s="32"/>
      <c r="K128" s="40"/>
      <c r="L128" s="40"/>
      <c r="M128" s="40"/>
      <c r="N128" s="40"/>
      <c r="O128" s="40"/>
      <c r="P128" s="40"/>
      <c r="Q128" s="40"/>
      <c r="R128" s="40"/>
      <c r="S128" s="40"/>
      <c r="T128" s="25"/>
      <c r="U128" s="81"/>
      <c r="V128" s="81"/>
      <c r="W128" s="81"/>
      <c r="X128" s="81"/>
      <c r="Y128" s="81"/>
      <c r="Z128" s="81"/>
      <c r="AA128" s="81"/>
      <c r="AB128" s="81"/>
      <c r="AC128" s="79" t="s">
        <v>417</v>
      </c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</row>
    <row r="129" spans="1:49" ht="24.75" customHeight="1">
      <c r="A129" s="78" t="s">
        <v>421</v>
      </c>
      <c r="B129" s="79" t="s">
        <v>336</v>
      </c>
      <c r="C129" s="79" t="s">
        <v>362</v>
      </c>
      <c r="D129" s="80" t="s">
        <v>415</v>
      </c>
      <c r="E129" s="80" t="s">
        <v>416</v>
      </c>
      <c r="F129" s="81"/>
      <c r="G129" s="79" t="s">
        <v>352</v>
      </c>
      <c r="H129" s="79" t="s">
        <v>341</v>
      </c>
      <c r="I129" s="79" t="s">
        <v>363</v>
      </c>
      <c r="J129" s="32"/>
      <c r="K129" s="40"/>
      <c r="L129" s="40"/>
      <c r="M129" s="40"/>
      <c r="N129" s="40"/>
      <c r="O129" s="40"/>
      <c r="P129" s="40"/>
      <c r="Q129" s="40"/>
      <c r="R129" s="40"/>
      <c r="S129" s="40"/>
      <c r="T129" s="25"/>
      <c r="U129" s="81"/>
      <c r="V129" s="81"/>
      <c r="W129" s="81"/>
      <c r="X129" s="81"/>
      <c r="Y129" s="81"/>
      <c r="Z129" s="81"/>
      <c r="AA129" s="81"/>
      <c r="AB129" s="81"/>
      <c r="AC129" s="79" t="s">
        <v>417</v>
      </c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</row>
    <row r="130" spans="1:49" ht="24.75" customHeight="1">
      <c r="A130" s="78" t="s">
        <v>422</v>
      </c>
      <c r="B130" s="79" t="s">
        <v>336</v>
      </c>
      <c r="C130" s="79" t="s">
        <v>362</v>
      </c>
      <c r="D130" s="80" t="s">
        <v>415</v>
      </c>
      <c r="E130" s="80" t="s">
        <v>416</v>
      </c>
      <c r="F130" s="81"/>
      <c r="G130" s="79" t="s">
        <v>352</v>
      </c>
      <c r="H130" s="79" t="s">
        <v>341</v>
      </c>
      <c r="I130" s="79" t="s">
        <v>363</v>
      </c>
      <c r="J130" s="32"/>
      <c r="K130" s="40"/>
      <c r="L130" s="40"/>
      <c r="M130" s="40"/>
      <c r="N130" s="40"/>
      <c r="O130" s="40"/>
      <c r="P130" s="40"/>
      <c r="Q130" s="40"/>
      <c r="R130" s="40"/>
      <c r="S130" s="40"/>
      <c r="T130" s="25"/>
      <c r="U130" s="81"/>
      <c r="V130" s="81"/>
      <c r="W130" s="81"/>
      <c r="X130" s="81"/>
      <c r="Y130" s="81"/>
      <c r="Z130" s="81"/>
      <c r="AA130" s="81"/>
      <c r="AB130" s="81"/>
      <c r="AC130" s="79" t="s">
        <v>417</v>
      </c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</row>
    <row r="131" spans="1:49" ht="24.75" customHeight="1">
      <c r="A131" s="78" t="s">
        <v>423</v>
      </c>
      <c r="B131" s="79" t="s">
        <v>336</v>
      </c>
      <c r="C131" s="79" t="s">
        <v>374</v>
      </c>
      <c r="D131" s="80" t="s">
        <v>415</v>
      </c>
      <c r="E131" s="80" t="s">
        <v>416</v>
      </c>
      <c r="F131" s="81"/>
      <c r="G131" s="82" t="s">
        <v>189</v>
      </c>
      <c r="H131" s="79" t="s">
        <v>341</v>
      </c>
      <c r="I131" s="79" t="s">
        <v>375</v>
      </c>
      <c r="J131" s="32"/>
      <c r="K131" s="40"/>
      <c r="L131" s="40"/>
      <c r="M131" s="40"/>
      <c r="N131" s="40"/>
      <c r="O131" s="40"/>
      <c r="P131" s="40"/>
      <c r="Q131" s="40"/>
      <c r="R131" s="40"/>
      <c r="S131" s="40"/>
      <c r="T131" s="25"/>
      <c r="U131" s="81"/>
      <c r="V131" s="81"/>
      <c r="W131" s="81"/>
      <c r="X131" s="81"/>
      <c r="Y131" s="81"/>
      <c r="Z131" s="81"/>
      <c r="AA131" s="81"/>
      <c r="AB131" s="79" t="s">
        <v>376</v>
      </c>
      <c r="AC131" s="79" t="s">
        <v>417</v>
      </c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</row>
    <row r="132" spans="1:49" ht="24.75" customHeight="1">
      <c r="A132" s="78" t="s">
        <v>424</v>
      </c>
      <c r="B132" s="79" t="s">
        <v>336</v>
      </c>
      <c r="C132" s="79" t="s">
        <v>374</v>
      </c>
      <c r="D132" s="80" t="s">
        <v>415</v>
      </c>
      <c r="E132" s="80" t="s">
        <v>416</v>
      </c>
      <c r="F132" s="81"/>
      <c r="G132" s="82" t="s">
        <v>189</v>
      </c>
      <c r="H132" s="79" t="s">
        <v>341</v>
      </c>
      <c r="I132" s="79" t="s">
        <v>375</v>
      </c>
      <c r="J132" s="32"/>
      <c r="K132" s="40"/>
      <c r="L132" s="40"/>
      <c r="M132" s="40"/>
      <c r="N132" s="40"/>
      <c r="O132" s="40"/>
      <c r="P132" s="40"/>
      <c r="Q132" s="40"/>
      <c r="R132" s="40"/>
      <c r="S132" s="40"/>
      <c r="T132" s="25"/>
      <c r="U132" s="81"/>
      <c r="V132" s="81"/>
      <c r="W132" s="81"/>
      <c r="X132" s="81"/>
      <c r="Y132" s="81"/>
      <c r="Z132" s="81"/>
      <c r="AA132" s="81"/>
      <c r="AB132" s="79" t="s">
        <v>376</v>
      </c>
      <c r="AC132" s="79" t="s">
        <v>417</v>
      </c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</row>
    <row r="133" spans="1:49" ht="24.75" customHeight="1">
      <c r="A133" s="78" t="s">
        <v>425</v>
      </c>
      <c r="B133" s="79" t="s">
        <v>336</v>
      </c>
      <c r="C133" s="79" t="s">
        <v>374</v>
      </c>
      <c r="D133" s="80" t="s">
        <v>415</v>
      </c>
      <c r="E133" s="80" t="s">
        <v>416</v>
      </c>
      <c r="F133" s="81"/>
      <c r="G133" s="82" t="s">
        <v>189</v>
      </c>
      <c r="H133" s="79" t="s">
        <v>341</v>
      </c>
      <c r="I133" s="79" t="s">
        <v>375</v>
      </c>
      <c r="J133" s="32"/>
      <c r="K133" s="40"/>
      <c r="L133" s="40"/>
      <c r="M133" s="40"/>
      <c r="N133" s="40"/>
      <c r="O133" s="40"/>
      <c r="P133" s="40"/>
      <c r="Q133" s="40"/>
      <c r="R133" s="40"/>
      <c r="S133" s="40"/>
      <c r="T133" s="25"/>
      <c r="U133" s="81"/>
      <c r="V133" s="81"/>
      <c r="W133" s="81"/>
      <c r="X133" s="81"/>
      <c r="Y133" s="81"/>
      <c r="Z133" s="81"/>
      <c r="AA133" s="81"/>
      <c r="AB133" s="79" t="s">
        <v>376</v>
      </c>
      <c r="AC133" s="79" t="s">
        <v>417</v>
      </c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</row>
    <row r="134" spans="1:49" ht="24.75" customHeight="1">
      <c r="A134" s="78" t="s">
        <v>426</v>
      </c>
      <c r="B134" s="79" t="s">
        <v>336</v>
      </c>
      <c r="C134" s="79" t="s">
        <v>374</v>
      </c>
      <c r="D134" s="80" t="s">
        <v>415</v>
      </c>
      <c r="E134" s="80" t="s">
        <v>416</v>
      </c>
      <c r="F134" s="81"/>
      <c r="G134" s="82" t="s">
        <v>189</v>
      </c>
      <c r="H134" s="79" t="s">
        <v>341</v>
      </c>
      <c r="I134" s="79" t="s">
        <v>375</v>
      </c>
      <c r="J134" s="32"/>
      <c r="K134" s="40"/>
      <c r="L134" s="40"/>
      <c r="M134" s="40"/>
      <c r="N134" s="40"/>
      <c r="O134" s="40"/>
      <c r="P134" s="40"/>
      <c r="Q134" s="40"/>
      <c r="R134" s="40"/>
      <c r="S134" s="40"/>
      <c r="T134" s="25"/>
      <c r="U134" s="81"/>
      <c r="V134" s="81"/>
      <c r="W134" s="81"/>
      <c r="X134" s="81"/>
      <c r="Y134" s="81"/>
      <c r="Z134" s="81"/>
      <c r="AA134" s="81"/>
      <c r="AB134" s="79" t="s">
        <v>376</v>
      </c>
      <c r="AC134" s="79" t="s">
        <v>417</v>
      </c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</row>
    <row r="135" spans="1:49" ht="24.75" customHeight="1">
      <c r="A135" s="78" t="s">
        <v>427</v>
      </c>
      <c r="B135" s="79" t="s">
        <v>336</v>
      </c>
      <c r="C135" s="79" t="s">
        <v>374</v>
      </c>
      <c r="D135" s="80" t="s">
        <v>415</v>
      </c>
      <c r="E135" s="80" t="s">
        <v>416</v>
      </c>
      <c r="F135" s="81"/>
      <c r="G135" s="82" t="s">
        <v>189</v>
      </c>
      <c r="H135" s="79" t="s">
        <v>341</v>
      </c>
      <c r="I135" s="79" t="s">
        <v>375</v>
      </c>
      <c r="J135" s="32"/>
      <c r="K135" s="40"/>
      <c r="L135" s="40"/>
      <c r="M135" s="40"/>
      <c r="N135" s="40"/>
      <c r="O135" s="40"/>
      <c r="P135" s="40"/>
      <c r="Q135" s="40"/>
      <c r="R135" s="40"/>
      <c r="S135" s="40"/>
      <c r="T135" s="25"/>
      <c r="U135" s="81"/>
      <c r="V135" s="81"/>
      <c r="W135" s="81"/>
      <c r="X135" s="81"/>
      <c r="Y135" s="81"/>
      <c r="Z135" s="81"/>
      <c r="AA135" s="81"/>
      <c r="AB135" s="79" t="s">
        <v>376</v>
      </c>
      <c r="AC135" s="79" t="s">
        <v>417</v>
      </c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</row>
    <row r="136" spans="1:49" ht="24.75" customHeight="1">
      <c r="A136" s="78" t="s">
        <v>428</v>
      </c>
      <c r="B136" s="79" t="s">
        <v>336</v>
      </c>
      <c r="C136" s="79" t="s">
        <v>374</v>
      </c>
      <c r="D136" s="80" t="s">
        <v>415</v>
      </c>
      <c r="E136" s="80" t="s">
        <v>416</v>
      </c>
      <c r="F136" s="81"/>
      <c r="G136" s="82" t="s">
        <v>189</v>
      </c>
      <c r="H136" s="79" t="s">
        <v>341</v>
      </c>
      <c r="I136" s="79" t="s">
        <v>375</v>
      </c>
      <c r="J136" s="32"/>
      <c r="K136" s="40"/>
      <c r="L136" s="40"/>
      <c r="M136" s="40"/>
      <c r="N136" s="40"/>
      <c r="O136" s="40"/>
      <c r="P136" s="40"/>
      <c r="Q136" s="40"/>
      <c r="R136" s="40"/>
      <c r="S136" s="40"/>
      <c r="T136" s="25"/>
      <c r="U136" s="81"/>
      <c r="V136" s="81"/>
      <c r="W136" s="81"/>
      <c r="X136" s="81"/>
      <c r="Y136" s="81"/>
      <c r="Z136" s="81"/>
      <c r="AA136" s="81"/>
      <c r="AB136" s="79" t="s">
        <v>376</v>
      </c>
      <c r="AC136" s="79" t="s">
        <v>417</v>
      </c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</row>
    <row r="137" spans="1:49" ht="24.75" customHeight="1">
      <c r="A137" s="78" t="s">
        <v>429</v>
      </c>
      <c r="B137" s="79" t="s">
        <v>336</v>
      </c>
      <c r="C137" s="79" t="s">
        <v>383</v>
      </c>
      <c r="D137" s="80" t="s">
        <v>415</v>
      </c>
      <c r="E137" s="80" t="s">
        <v>416</v>
      </c>
      <c r="F137" s="81"/>
      <c r="G137" s="82" t="s">
        <v>189</v>
      </c>
      <c r="H137" s="79" t="s">
        <v>384</v>
      </c>
      <c r="I137" s="79" t="s">
        <v>385</v>
      </c>
      <c r="J137" s="32"/>
      <c r="K137" s="40"/>
      <c r="L137" s="40"/>
      <c r="M137" s="40"/>
      <c r="N137" s="40"/>
      <c r="O137" s="40"/>
      <c r="P137" s="40"/>
      <c r="Q137" s="40"/>
      <c r="R137" s="40"/>
      <c r="S137" s="40"/>
      <c r="T137" s="25"/>
      <c r="U137" s="81"/>
      <c r="V137" s="81"/>
      <c r="W137" s="81"/>
      <c r="X137" s="81"/>
      <c r="Y137" s="81"/>
      <c r="Z137" s="81"/>
      <c r="AA137" s="81"/>
      <c r="AB137" s="79" t="s">
        <v>386</v>
      </c>
      <c r="AC137" s="79" t="s">
        <v>417</v>
      </c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</row>
    <row r="138" spans="1:49" ht="24.75" customHeight="1">
      <c r="A138" s="78" t="s">
        <v>430</v>
      </c>
      <c r="B138" s="79" t="s">
        <v>336</v>
      </c>
      <c r="C138" s="79" t="s">
        <v>388</v>
      </c>
      <c r="D138" s="80" t="s">
        <v>415</v>
      </c>
      <c r="E138" s="80" t="s">
        <v>416</v>
      </c>
      <c r="F138" s="81"/>
      <c r="G138" s="82" t="s">
        <v>189</v>
      </c>
      <c r="H138" s="79" t="s">
        <v>384</v>
      </c>
      <c r="I138" s="79" t="s">
        <v>385</v>
      </c>
      <c r="J138" s="32"/>
      <c r="K138" s="40"/>
      <c r="L138" s="40"/>
      <c r="M138" s="40"/>
      <c r="N138" s="40"/>
      <c r="O138" s="40"/>
      <c r="P138" s="40"/>
      <c r="Q138" s="40"/>
      <c r="R138" s="40"/>
      <c r="S138" s="40"/>
      <c r="T138" s="25"/>
      <c r="U138" s="81"/>
      <c r="V138" s="81"/>
      <c r="W138" s="81"/>
      <c r="X138" s="81"/>
      <c r="Y138" s="81"/>
      <c r="Z138" s="81"/>
      <c r="AA138" s="81"/>
      <c r="AB138" s="79" t="s">
        <v>386</v>
      </c>
      <c r="AC138" s="79" t="s">
        <v>417</v>
      </c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</row>
    <row r="139" spans="1:49" ht="24.75" customHeight="1">
      <c r="A139" s="78" t="s">
        <v>431</v>
      </c>
      <c r="B139" s="79" t="s">
        <v>336</v>
      </c>
      <c r="C139" s="79" t="s">
        <v>390</v>
      </c>
      <c r="D139" s="80" t="s">
        <v>415</v>
      </c>
      <c r="E139" s="80" t="s">
        <v>416</v>
      </c>
      <c r="F139" s="81"/>
      <c r="G139" s="79" t="s">
        <v>391</v>
      </c>
      <c r="H139" s="79" t="s">
        <v>392</v>
      </c>
      <c r="I139" s="79" t="s">
        <v>393</v>
      </c>
      <c r="J139" s="32"/>
      <c r="K139" s="40"/>
      <c r="L139" s="40"/>
      <c r="M139" s="40"/>
      <c r="N139" s="40"/>
      <c r="O139" s="40"/>
      <c r="P139" s="40"/>
      <c r="Q139" s="40"/>
      <c r="R139" s="40"/>
      <c r="S139" s="40"/>
      <c r="T139" s="25"/>
      <c r="U139" s="81"/>
      <c r="V139" s="81"/>
      <c r="W139" s="81"/>
      <c r="X139" s="81"/>
      <c r="Y139" s="81"/>
      <c r="Z139" s="81"/>
      <c r="AA139" s="81"/>
      <c r="AB139" s="81"/>
      <c r="AC139" s="79" t="s">
        <v>417</v>
      </c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</row>
    <row r="140" spans="1:49" ht="24.75" customHeight="1">
      <c r="A140" s="155" t="s">
        <v>432</v>
      </c>
      <c r="B140" s="152"/>
      <c r="C140" s="152"/>
      <c r="D140" s="152"/>
      <c r="E140" s="152"/>
      <c r="F140" s="152"/>
      <c r="G140" s="152"/>
      <c r="H140" s="152"/>
      <c r="I140" s="153"/>
      <c r="J140" s="32"/>
      <c r="K140" s="151"/>
      <c r="L140" s="152"/>
      <c r="M140" s="152"/>
      <c r="N140" s="152"/>
      <c r="O140" s="152"/>
      <c r="P140" s="152"/>
      <c r="Q140" s="152"/>
      <c r="R140" s="152"/>
      <c r="S140" s="153"/>
      <c r="T140" s="32"/>
      <c r="U140" s="154"/>
      <c r="V140" s="152"/>
      <c r="W140" s="152"/>
      <c r="X140" s="152"/>
      <c r="Y140" s="152"/>
      <c r="Z140" s="152"/>
      <c r="AA140" s="153"/>
      <c r="AB140" s="37"/>
      <c r="AC140" s="37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</row>
    <row r="141" spans="1:49" ht="28.5">
      <c r="A141" s="83" t="s">
        <v>433</v>
      </c>
      <c r="B141" s="84" t="s">
        <v>336</v>
      </c>
      <c r="C141" s="84" t="s">
        <v>337</v>
      </c>
      <c r="D141" s="85" t="s">
        <v>434</v>
      </c>
      <c r="E141" s="85" t="s">
        <v>435</v>
      </c>
      <c r="F141" s="86"/>
      <c r="G141" s="84" t="s">
        <v>340</v>
      </c>
      <c r="H141" s="84" t="s">
        <v>341</v>
      </c>
      <c r="I141" s="84" t="s">
        <v>342</v>
      </c>
      <c r="J141" s="61"/>
      <c r="K141" s="12"/>
      <c r="L141" s="12"/>
      <c r="M141" s="12"/>
      <c r="N141" s="12"/>
      <c r="O141" s="12"/>
      <c r="P141" s="12"/>
      <c r="Q141" s="12"/>
      <c r="R141" s="12"/>
      <c r="S141" s="12"/>
      <c r="T141" s="61"/>
      <c r="U141" s="86"/>
      <c r="V141" s="86"/>
      <c r="W141" s="86"/>
      <c r="X141" s="86"/>
      <c r="Y141" s="86"/>
      <c r="Z141" s="86"/>
      <c r="AA141" s="86"/>
      <c r="AB141" s="86"/>
      <c r="AC141" s="84" t="s">
        <v>436</v>
      </c>
    </row>
    <row r="142" spans="1:49" ht="24.75" customHeight="1">
      <c r="A142" s="83" t="s">
        <v>437</v>
      </c>
      <c r="B142" s="84" t="s">
        <v>336</v>
      </c>
      <c r="C142" s="84" t="s">
        <v>345</v>
      </c>
      <c r="D142" s="85" t="s">
        <v>434</v>
      </c>
      <c r="E142" s="85" t="s">
        <v>435</v>
      </c>
      <c r="F142" s="86"/>
      <c r="G142" s="84" t="s">
        <v>346</v>
      </c>
      <c r="H142" s="84" t="s">
        <v>347</v>
      </c>
      <c r="I142" s="84" t="s">
        <v>348</v>
      </c>
      <c r="J142" s="32"/>
      <c r="K142" s="33"/>
      <c r="L142" s="33"/>
      <c r="M142" s="33"/>
      <c r="N142" s="33"/>
      <c r="O142" s="33"/>
      <c r="P142" s="33"/>
      <c r="Q142" s="33"/>
      <c r="R142" s="33"/>
      <c r="S142" s="33"/>
      <c r="T142" s="25"/>
      <c r="U142" s="86"/>
      <c r="V142" s="86"/>
      <c r="W142" s="86"/>
      <c r="X142" s="86"/>
      <c r="Y142" s="86"/>
      <c r="Z142" s="86"/>
      <c r="AA142" s="86"/>
      <c r="AB142" s="86"/>
      <c r="AC142" s="84" t="s">
        <v>436</v>
      </c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</row>
    <row r="143" spans="1:49" ht="24.75" customHeight="1">
      <c r="A143" s="83" t="s">
        <v>438</v>
      </c>
      <c r="B143" s="84" t="s">
        <v>336</v>
      </c>
      <c r="C143" s="84" t="s">
        <v>358</v>
      </c>
      <c r="D143" s="85" t="s">
        <v>434</v>
      </c>
      <c r="E143" s="85" t="s">
        <v>435</v>
      </c>
      <c r="F143" s="86"/>
      <c r="G143" s="84" t="s">
        <v>352</v>
      </c>
      <c r="H143" s="84" t="s">
        <v>341</v>
      </c>
      <c r="I143" s="84" t="s">
        <v>359</v>
      </c>
      <c r="J143" s="32"/>
      <c r="K143" s="40"/>
      <c r="L143" s="40"/>
      <c r="M143" s="40"/>
      <c r="N143" s="40"/>
      <c r="O143" s="40"/>
      <c r="P143" s="40"/>
      <c r="Q143" s="40"/>
      <c r="R143" s="40"/>
      <c r="S143" s="40"/>
      <c r="T143" s="25"/>
      <c r="U143" s="86"/>
      <c r="V143" s="86"/>
      <c r="W143" s="86"/>
      <c r="X143" s="86"/>
      <c r="Y143" s="86"/>
      <c r="Z143" s="86"/>
      <c r="AA143" s="86"/>
      <c r="AB143" s="86"/>
      <c r="AC143" s="84" t="s">
        <v>436</v>
      </c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</row>
    <row r="144" spans="1:49" ht="24.75" customHeight="1">
      <c r="A144" s="83" t="s">
        <v>439</v>
      </c>
      <c r="B144" s="84" t="s">
        <v>336</v>
      </c>
      <c r="C144" s="84" t="s">
        <v>358</v>
      </c>
      <c r="D144" s="85" t="s">
        <v>434</v>
      </c>
      <c r="E144" s="85" t="s">
        <v>435</v>
      </c>
      <c r="F144" s="86"/>
      <c r="G144" s="84" t="s">
        <v>352</v>
      </c>
      <c r="H144" s="84" t="s">
        <v>341</v>
      </c>
      <c r="I144" s="84" t="s">
        <v>359</v>
      </c>
      <c r="J144" s="32"/>
      <c r="K144" s="40"/>
      <c r="L144" s="40"/>
      <c r="M144" s="40"/>
      <c r="N144" s="40"/>
      <c r="O144" s="40"/>
      <c r="P144" s="40"/>
      <c r="Q144" s="40"/>
      <c r="R144" s="40"/>
      <c r="S144" s="40"/>
      <c r="T144" s="25"/>
      <c r="U144" s="86"/>
      <c r="V144" s="86"/>
      <c r="W144" s="86"/>
      <c r="X144" s="86"/>
      <c r="Y144" s="86"/>
      <c r="Z144" s="86"/>
      <c r="AA144" s="86"/>
      <c r="AB144" s="86"/>
      <c r="AC144" s="84" t="s">
        <v>436</v>
      </c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</row>
    <row r="145" spans="1:49" ht="24.75" customHeight="1">
      <c r="A145" s="83" t="s">
        <v>440</v>
      </c>
      <c r="B145" s="84" t="s">
        <v>336</v>
      </c>
      <c r="C145" s="84" t="s">
        <v>362</v>
      </c>
      <c r="D145" s="85" t="s">
        <v>434</v>
      </c>
      <c r="E145" s="85" t="s">
        <v>435</v>
      </c>
      <c r="F145" s="86"/>
      <c r="G145" s="84" t="s">
        <v>352</v>
      </c>
      <c r="H145" s="84" t="s">
        <v>341</v>
      </c>
      <c r="I145" s="84" t="s">
        <v>363</v>
      </c>
      <c r="J145" s="32"/>
      <c r="K145" s="40"/>
      <c r="L145" s="40"/>
      <c r="M145" s="40"/>
      <c r="N145" s="40"/>
      <c r="O145" s="40"/>
      <c r="P145" s="40"/>
      <c r="Q145" s="40"/>
      <c r="R145" s="40"/>
      <c r="S145" s="40"/>
      <c r="T145" s="25"/>
      <c r="U145" s="86"/>
      <c r="V145" s="86"/>
      <c r="W145" s="86"/>
      <c r="X145" s="86"/>
      <c r="Y145" s="86"/>
      <c r="Z145" s="86"/>
      <c r="AA145" s="86"/>
      <c r="AB145" s="86"/>
      <c r="AC145" s="84" t="s">
        <v>436</v>
      </c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</row>
    <row r="146" spans="1:49" ht="24.75" customHeight="1">
      <c r="A146" s="83" t="s">
        <v>441</v>
      </c>
      <c r="B146" s="84" t="s">
        <v>336</v>
      </c>
      <c r="C146" s="84" t="s">
        <v>362</v>
      </c>
      <c r="D146" s="85" t="s">
        <v>434</v>
      </c>
      <c r="E146" s="85" t="s">
        <v>435</v>
      </c>
      <c r="F146" s="86"/>
      <c r="G146" s="84" t="s">
        <v>352</v>
      </c>
      <c r="H146" s="84" t="s">
        <v>341</v>
      </c>
      <c r="I146" s="84" t="s">
        <v>363</v>
      </c>
      <c r="J146" s="32"/>
      <c r="K146" s="40"/>
      <c r="L146" s="40"/>
      <c r="M146" s="40"/>
      <c r="N146" s="40"/>
      <c r="O146" s="40"/>
      <c r="P146" s="40"/>
      <c r="Q146" s="40"/>
      <c r="R146" s="40"/>
      <c r="S146" s="40"/>
      <c r="T146" s="25"/>
      <c r="U146" s="86"/>
      <c r="V146" s="86"/>
      <c r="W146" s="86"/>
      <c r="X146" s="86"/>
      <c r="Y146" s="86"/>
      <c r="Z146" s="86"/>
      <c r="AA146" s="86"/>
      <c r="AB146" s="86"/>
      <c r="AC146" s="84" t="s">
        <v>436</v>
      </c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</row>
    <row r="147" spans="1:49" ht="24.75" customHeight="1">
      <c r="A147" s="83" t="s">
        <v>442</v>
      </c>
      <c r="B147" s="84" t="s">
        <v>336</v>
      </c>
      <c r="C147" s="84" t="s">
        <v>374</v>
      </c>
      <c r="D147" s="85" t="s">
        <v>434</v>
      </c>
      <c r="E147" s="85" t="s">
        <v>435</v>
      </c>
      <c r="F147" s="86"/>
      <c r="G147" s="87" t="s">
        <v>189</v>
      </c>
      <c r="H147" s="84" t="s">
        <v>341</v>
      </c>
      <c r="I147" s="84" t="s">
        <v>375</v>
      </c>
      <c r="J147" s="32"/>
      <c r="K147" s="40"/>
      <c r="L147" s="40"/>
      <c r="M147" s="40"/>
      <c r="N147" s="40"/>
      <c r="O147" s="40"/>
      <c r="P147" s="40"/>
      <c r="Q147" s="40"/>
      <c r="R147" s="40"/>
      <c r="S147" s="40"/>
      <c r="T147" s="25"/>
      <c r="U147" s="86"/>
      <c r="V147" s="86"/>
      <c r="W147" s="86"/>
      <c r="X147" s="86"/>
      <c r="Y147" s="86"/>
      <c r="Z147" s="86"/>
      <c r="AA147" s="86"/>
      <c r="AB147" s="84" t="s">
        <v>376</v>
      </c>
      <c r="AC147" s="84" t="s">
        <v>436</v>
      </c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</row>
    <row r="148" spans="1:49" ht="24.75" customHeight="1">
      <c r="A148" s="83" t="s">
        <v>443</v>
      </c>
      <c r="B148" s="84" t="s">
        <v>336</v>
      </c>
      <c r="C148" s="84" t="s">
        <v>374</v>
      </c>
      <c r="D148" s="85" t="s">
        <v>434</v>
      </c>
      <c r="E148" s="85" t="s">
        <v>435</v>
      </c>
      <c r="F148" s="86"/>
      <c r="G148" s="87" t="s">
        <v>189</v>
      </c>
      <c r="H148" s="84" t="s">
        <v>341</v>
      </c>
      <c r="I148" s="84" t="s">
        <v>375</v>
      </c>
      <c r="J148" s="32"/>
      <c r="K148" s="40"/>
      <c r="L148" s="40"/>
      <c r="M148" s="40"/>
      <c r="N148" s="40"/>
      <c r="O148" s="40"/>
      <c r="P148" s="40"/>
      <c r="Q148" s="40"/>
      <c r="R148" s="40"/>
      <c r="S148" s="40"/>
      <c r="T148" s="25"/>
      <c r="U148" s="86"/>
      <c r="V148" s="86"/>
      <c r="W148" s="86"/>
      <c r="X148" s="86"/>
      <c r="Y148" s="86"/>
      <c r="Z148" s="86"/>
      <c r="AA148" s="86"/>
      <c r="AB148" s="84" t="s">
        <v>376</v>
      </c>
      <c r="AC148" s="84" t="s">
        <v>436</v>
      </c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</row>
    <row r="149" spans="1:49" ht="24.75" customHeight="1">
      <c r="A149" s="83" t="s">
        <v>444</v>
      </c>
      <c r="B149" s="84" t="s">
        <v>336</v>
      </c>
      <c r="C149" s="84" t="s">
        <v>374</v>
      </c>
      <c r="D149" s="85" t="s">
        <v>434</v>
      </c>
      <c r="E149" s="85" t="s">
        <v>435</v>
      </c>
      <c r="F149" s="86"/>
      <c r="G149" s="87" t="s">
        <v>189</v>
      </c>
      <c r="H149" s="84" t="s">
        <v>341</v>
      </c>
      <c r="I149" s="84" t="s">
        <v>375</v>
      </c>
      <c r="J149" s="32"/>
      <c r="K149" s="40"/>
      <c r="L149" s="40"/>
      <c r="M149" s="40"/>
      <c r="N149" s="40"/>
      <c r="O149" s="40"/>
      <c r="P149" s="40"/>
      <c r="Q149" s="40"/>
      <c r="R149" s="40"/>
      <c r="S149" s="40"/>
      <c r="T149" s="25"/>
      <c r="U149" s="86"/>
      <c r="V149" s="86"/>
      <c r="W149" s="86"/>
      <c r="X149" s="86"/>
      <c r="Y149" s="86"/>
      <c r="Z149" s="86"/>
      <c r="AA149" s="86"/>
      <c r="AB149" s="84" t="s">
        <v>376</v>
      </c>
      <c r="AC149" s="84" t="s">
        <v>436</v>
      </c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</row>
    <row r="150" spans="1:49" ht="24.75" customHeight="1">
      <c r="A150" s="83" t="s">
        <v>445</v>
      </c>
      <c r="B150" s="84" t="s">
        <v>336</v>
      </c>
      <c r="C150" s="84" t="s">
        <v>374</v>
      </c>
      <c r="D150" s="85" t="s">
        <v>434</v>
      </c>
      <c r="E150" s="85" t="s">
        <v>435</v>
      </c>
      <c r="F150" s="86"/>
      <c r="G150" s="87" t="s">
        <v>189</v>
      </c>
      <c r="H150" s="84" t="s">
        <v>341</v>
      </c>
      <c r="I150" s="84" t="s">
        <v>375</v>
      </c>
      <c r="J150" s="32"/>
      <c r="K150" s="40"/>
      <c r="L150" s="40"/>
      <c r="M150" s="40"/>
      <c r="N150" s="40"/>
      <c r="O150" s="40"/>
      <c r="P150" s="40"/>
      <c r="Q150" s="40"/>
      <c r="R150" s="40"/>
      <c r="S150" s="40"/>
      <c r="T150" s="25"/>
      <c r="U150" s="86"/>
      <c r="V150" s="86"/>
      <c r="W150" s="86"/>
      <c r="X150" s="86"/>
      <c r="Y150" s="86"/>
      <c r="Z150" s="86"/>
      <c r="AA150" s="86"/>
      <c r="AB150" s="84" t="s">
        <v>376</v>
      </c>
      <c r="AC150" s="84" t="s">
        <v>436</v>
      </c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</row>
    <row r="151" spans="1:49" ht="24.75" customHeight="1">
      <c r="A151" s="83" t="s">
        <v>446</v>
      </c>
      <c r="B151" s="84" t="s">
        <v>336</v>
      </c>
      <c r="C151" s="84" t="s">
        <v>374</v>
      </c>
      <c r="D151" s="85" t="s">
        <v>434</v>
      </c>
      <c r="E151" s="85" t="s">
        <v>435</v>
      </c>
      <c r="F151" s="86"/>
      <c r="G151" s="87" t="s">
        <v>189</v>
      </c>
      <c r="H151" s="84" t="s">
        <v>341</v>
      </c>
      <c r="I151" s="84" t="s">
        <v>375</v>
      </c>
      <c r="J151" s="32"/>
      <c r="K151" s="40"/>
      <c r="L151" s="40"/>
      <c r="M151" s="40"/>
      <c r="N151" s="40"/>
      <c r="O151" s="40"/>
      <c r="P151" s="40"/>
      <c r="Q151" s="40"/>
      <c r="R151" s="40"/>
      <c r="S151" s="40"/>
      <c r="T151" s="25"/>
      <c r="U151" s="86"/>
      <c r="V151" s="86"/>
      <c r="W151" s="86"/>
      <c r="X151" s="86"/>
      <c r="Y151" s="86"/>
      <c r="Z151" s="86"/>
      <c r="AA151" s="86"/>
      <c r="AB151" s="84" t="s">
        <v>376</v>
      </c>
      <c r="AC151" s="84" t="s">
        <v>436</v>
      </c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</row>
    <row r="152" spans="1:49" ht="24.75" customHeight="1">
      <c r="A152" s="83" t="s">
        <v>447</v>
      </c>
      <c r="B152" s="84" t="s">
        <v>336</v>
      </c>
      <c r="C152" s="84" t="s">
        <v>374</v>
      </c>
      <c r="D152" s="85" t="s">
        <v>434</v>
      </c>
      <c r="E152" s="85" t="s">
        <v>435</v>
      </c>
      <c r="F152" s="86"/>
      <c r="G152" s="87" t="s">
        <v>189</v>
      </c>
      <c r="H152" s="84" t="s">
        <v>341</v>
      </c>
      <c r="I152" s="84" t="s">
        <v>375</v>
      </c>
      <c r="J152" s="32"/>
      <c r="K152" s="40"/>
      <c r="L152" s="40"/>
      <c r="M152" s="40"/>
      <c r="N152" s="40"/>
      <c r="O152" s="40"/>
      <c r="P152" s="40"/>
      <c r="Q152" s="40"/>
      <c r="R152" s="40"/>
      <c r="S152" s="40"/>
      <c r="T152" s="25"/>
      <c r="U152" s="86"/>
      <c r="V152" s="86"/>
      <c r="W152" s="86"/>
      <c r="X152" s="86"/>
      <c r="Y152" s="86"/>
      <c r="Z152" s="86"/>
      <c r="AA152" s="86"/>
      <c r="AB152" s="84" t="s">
        <v>376</v>
      </c>
      <c r="AC152" s="84" t="s">
        <v>436</v>
      </c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</row>
    <row r="153" spans="1:49" ht="24.75" customHeight="1">
      <c r="A153" s="83" t="s">
        <v>448</v>
      </c>
      <c r="B153" s="84" t="s">
        <v>336</v>
      </c>
      <c r="C153" s="84" t="s">
        <v>383</v>
      </c>
      <c r="D153" s="85" t="s">
        <v>434</v>
      </c>
      <c r="E153" s="85" t="s">
        <v>435</v>
      </c>
      <c r="F153" s="86"/>
      <c r="G153" s="87" t="s">
        <v>189</v>
      </c>
      <c r="H153" s="84" t="s">
        <v>384</v>
      </c>
      <c r="I153" s="84" t="s">
        <v>385</v>
      </c>
      <c r="J153" s="32"/>
      <c r="K153" s="40"/>
      <c r="L153" s="40"/>
      <c r="M153" s="40"/>
      <c r="N153" s="40"/>
      <c r="O153" s="40"/>
      <c r="P153" s="40"/>
      <c r="Q153" s="40"/>
      <c r="R153" s="40"/>
      <c r="S153" s="40"/>
      <c r="T153" s="25"/>
      <c r="U153" s="86"/>
      <c r="V153" s="86"/>
      <c r="W153" s="86"/>
      <c r="X153" s="86"/>
      <c r="Y153" s="86"/>
      <c r="Z153" s="86"/>
      <c r="AA153" s="86"/>
      <c r="AB153" s="84" t="s">
        <v>386</v>
      </c>
      <c r="AC153" s="84" t="s">
        <v>436</v>
      </c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</row>
    <row r="154" spans="1:49" ht="24.75" customHeight="1">
      <c r="A154" s="83" t="s">
        <v>449</v>
      </c>
      <c r="B154" s="84" t="s">
        <v>336</v>
      </c>
      <c r="C154" s="84" t="s">
        <v>388</v>
      </c>
      <c r="D154" s="85" t="s">
        <v>434</v>
      </c>
      <c r="E154" s="85" t="s">
        <v>435</v>
      </c>
      <c r="F154" s="86"/>
      <c r="G154" s="87" t="s">
        <v>189</v>
      </c>
      <c r="H154" s="84" t="s">
        <v>384</v>
      </c>
      <c r="I154" s="84" t="s">
        <v>385</v>
      </c>
      <c r="J154" s="32"/>
      <c r="K154" s="40"/>
      <c r="L154" s="40"/>
      <c r="M154" s="40"/>
      <c r="N154" s="40"/>
      <c r="O154" s="40"/>
      <c r="P154" s="40"/>
      <c r="Q154" s="40"/>
      <c r="R154" s="40"/>
      <c r="S154" s="40"/>
      <c r="T154" s="25"/>
      <c r="U154" s="86"/>
      <c r="V154" s="86"/>
      <c r="W154" s="86"/>
      <c r="X154" s="86"/>
      <c r="Y154" s="86"/>
      <c r="Z154" s="86"/>
      <c r="AA154" s="86"/>
      <c r="AB154" s="84" t="s">
        <v>386</v>
      </c>
      <c r="AC154" s="84" t="s">
        <v>436</v>
      </c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</row>
    <row r="155" spans="1:49" ht="24.75" customHeight="1">
      <c r="A155" s="83" t="s">
        <v>450</v>
      </c>
      <c r="B155" s="84" t="s">
        <v>336</v>
      </c>
      <c r="C155" s="84" t="s">
        <v>390</v>
      </c>
      <c r="D155" s="85" t="s">
        <v>434</v>
      </c>
      <c r="E155" s="85" t="s">
        <v>435</v>
      </c>
      <c r="F155" s="86"/>
      <c r="G155" s="84" t="s">
        <v>391</v>
      </c>
      <c r="H155" s="84" t="s">
        <v>392</v>
      </c>
      <c r="I155" s="84" t="s">
        <v>393</v>
      </c>
      <c r="J155" s="32"/>
      <c r="K155" s="40"/>
      <c r="L155" s="40"/>
      <c r="M155" s="40"/>
      <c r="N155" s="40"/>
      <c r="O155" s="40"/>
      <c r="P155" s="40"/>
      <c r="Q155" s="40"/>
      <c r="R155" s="40"/>
      <c r="S155" s="40"/>
      <c r="T155" s="25"/>
      <c r="U155" s="86"/>
      <c r="V155" s="86"/>
      <c r="W155" s="86"/>
      <c r="X155" s="86"/>
      <c r="Y155" s="86"/>
      <c r="Z155" s="86"/>
      <c r="AA155" s="86"/>
      <c r="AB155" s="86"/>
      <c r="AC155" s="84" t="s">
        <v>436</v>
      </c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</row>
    <row r="156" spans="1:49" ht="24.75" customHeight="1">
      <c r="A156" s="155" t="s">
        <v>451</v>
      </c>
      <c r="B156" s="152"/>
      <c r="C156" s="152"/>
      <c r="D156" s="152"/>
      <c r="E156" s="152"/>
      <c r="F156" s="152"/>
      <c r="G156" s="152"/>
      <c r="H156" s="152"/>
      <c r="I156" s="153"/>
      <c r="J156" s="32"/>
      <c r="K156" s="151"/>
      <c r="L156" s="152"/>
      <c r="M156" s="152"/>
      <c r="N156" s="152"/>
      <c r="O156" s="152"/>
      <c r="P156" s="152"/>
      <c r="Q156" s="152"/>
      <c r="R156" s="152"/>
      <c r="S156" s="153"/>
      <c r="T156" s="32"/>
      <c r="U156" s="154"/>
      <c r="V156" s="152"/>
      <c r="W156" s="152"/>
      <c r="X156" s="152"/>
      <c r="Y156" s="152"/>
      <c r="Z156" s="152"/>
      <c r="AA156" s="153"/>
      <c r="AB156" s="37"/>
      <c r="AC156" s="37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</row>
    <row r="157" spans="1:49" ht="28.5">
      <c r="A157" s="88" t="s">
        <v>452</v>
      </c>
      <c r="B157" s="89" t="s">
        <v>336</v>
      </c>
      <c r="C157" s="89" t="s">
        <v>337</v>
      </c>
      <c r="D157" s="90" t="s">
        <v>453</v>
      </c>
      <c r="E157" s="90" t="s">
        <v>454</v>
      </c>
      <c r="F157" s="91"/>
      <c r="G157" s="89" t="s">
        <v>340</v>
      </c>
      <c r="H157" s="89" t="s">
        <v>341</v>
      </c>
      <c r="I157" s="89" t="s">
        <v>342</v>
      </c>
      <c r="J157" s="61"/>
      <c r="K157" s="12"/>
      <c r="L157" s="12"/>
      <c r="M157" s="12"/>
      <c r="N157" s="12"/>
      <c r="O157" s="12"/>
      <c r="P157" s="12"/>
      <c r="Q157" s="12"/>
      <c r="R157" s="12"/>
      <c r="S157" s="12"/>
      <c r="T157" s="61"/>
      <c r="U157" s="91"/>
      <c r="V157" s="91"/>
      <c r="W157" s="91"/>
      <c r="X157" s="91"/>
      <c r="Y157" s="91"/>
      <c r="Z157" s="91"/>
      <c r="AA157" s="91"/>
      <c r="AB157" s="91"/>
      <c r="AC157" s="89" t="s">
        <v>455</v>
      </c>
    </row>
    <row r="158" spans="1:49" ht="57">
      <c r="A158" s="88" t="s">
        <v>456</v>
      </c>
      <c r="B158" s="89" t="s">
        <v>336</v>
      </c>
      <c r="C158" s="89" t="s">
        <v>362</v>
      </c>
      <c r="D158" s="90" t="s">
        <v>453</v>
      </c>
      <c r="E158" s="90" t="s">
        <v>454</v>
      </c>
      <c r="F158" s="91"/>
      <c r="G158" s="89" t="s">
        <v>352</v>
      </c>
      <c r="H158" s="89" t="s">
        <v>341</v>
      </c>
      <c r="I158" s="89" t="s">
        <v>363</v>
      </c>
      <c r="J158" s="61"/>
      <c r="K158" s="12"/>
      <c r="L158" s="12"/>
      <c r="M158" s="12"/>
      <c r="N158" s="12"/>
      <c r="O158" s="12"/>
      <c r="P158" s="12"/>
      <c r="Q158" s="12"/>
      <c r="R158" s="12"/>
      <c r="S158" s="12"/>
      <c r="T158" s="61"/>
      <c r="U158" s="91"/>
      <c r="V158" s="91"/>
      <c r="W158" s="91"/>
      <c r="X158" s="91"/>
      <c r="Y158" s="91"/>
      <c r="Z158" s="91"/>
      <c r="AA158" s="91"/>
      <c r="AB158" s="91"/>
      <c r="AC158" s="89" t="s">
        <v>455</v>
      </c>
    </row>
    <row r="159" spans="1:49" ht="42.75">
      <c r="A159" s="88" t="s">
        <v>457</v>
      </c>
      <c r="B159" s="89" t="s">
        <v>336</v>
      </c>
      <c r="C159" s="89" t="s">
        <v>458</v>
      </c>
      <c r="D159" s="90" t="s">
        <v>453</v>
      </c>
      <c r="E159" s="90" t="s">
        <v>454</v>
      </c>
      <c r="F159" s="91"/>
      <c r="G159" s="92" t="s">
        <v>189</v>
      </c>
      <c r="H159" s="89" t="s">
        <v>384</v>
      </c>
      <c r="I159" s="89" t="s">
        <v>385</v>
      </c>
      <c r="J159" s="61"/>
      <c r="K159" s="12"/>
      <c r="L159" s="12"/>
      <c r="M159" s="12"/>
      <c r="N159" s="12"/>
      <c r="O159" s="12"/>
      <c r="P159" s="12"/>
      <c r="Q159" s="12"/>
      <c r="R159" s="12"/>
      <c r="S159" s="12"/>
      <c r="T159" s="61"/>
      <c r="U159" s="91"/>
      <c r="V159" s="91"/>
      <c r="W159" s="91"/>
      <c r="X159" s="91"/>
      <c r="Y159" s="91"/>
      <c r="Z159" s="91"/>
      <c r="AA159" s="91"/>
      <c r="AB159" s="89" t="s">
        <v>386</v>
      </c>
      <c r="AC159" s="89" t="s">
        <v>455</v>
      </c>
    </row>
    <row r="160" spans="1:49" ht="24.75" customHeight="1">
      <c r="A160" s="155" t="s">
        <v>459</v>
      </c>
      <c r="B160" s="152"/>
      <c r="C160" s="152"/>
      <c r="D160" s="152"/>
      <c r="E160" s="152"/>
      <c r="F160" s="152"/>
      <c r="G160" s="152"/>
      <c r="H160" s="152"/>
      <c r="I160" s="153"/>
      <c r="J160" s="32"/>
      <c r="K160" s="151"/>
      <c r="L160" s="152"/>
      <c r="M160" s="152"/>
      <c r="N160" s="152"/>
      <c r="O160" s="152"/>
      <c r="P160" s="152"/>
      <c r="Q160" s="152"/>
      <c r="R160" s="152"/>
      <c r="S160" s="153"/>
      <c r="T160" s="32"/>
      <c r="U160" s="154"/>
      <c r="V160" s="152"/>
      <c r="W160" s="152"/>
      <c r="X160" s="152"/>
      <c r="Y160" s="152"/>
      <c r="Z160" s="152"/>
      <c r="AA160" s="153"/>
      <c r="AB160" s="37"/>
      <c r="AC160" s="37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</row>
    <row r="161" spans="1:49" ht="28.5">
      <c r="A161" s="93" t="s">
        <v>460</v>
      </c>
      <c r="B161" s="94" t="s">
        <v>336</v>
      </c>
      <c r="C161" s="94" t="s">
        <v>337</v>
      </c>
      <c r="D161" s="95" t="s">
        <v>461</v>
      </c>
      <c r="E161" s="95" t="s">
        <v>462</v>
      </c>
      <c r="F161" s="96"/>
      <c r="G161" s="94" t="s">
        <v>340</v>
      </c>
      <c r="H161" s="94" t="s">
        <v>341</v>
      </c>
      <c r="I161" s="94" t="s">
        <v>342</v>
      </c>
      <c r="J161" s="61"/>
      <c r="K161" s="12"/>
      <c r="L161" s="12"/>
      <c r="M161" s="12"/>
      <c r="N161" s="12"/>
      <c r="O161" s="12"/>
      <c r="P161" s="12"/>
      <c r="Q161" s="12"/>
      <c r="R161" s="12"/>
      <c r="S161" s="12"/>
      <c r="T161" s="61"/>
      <c r="U161" s="96"/>
      <c r="V161" s="96"/>
      <c r="W161" s="96"/>
      <c r="X161" s="96"/>
      <c r="Y161" s="96"/>
      <c r="Z161" s="96"/>
      <c r="AA161" s="96"/>
      <c r="AB161" s="96"/>
      <c r="AC161" s="94" t="s">
        <v>463</v>
      </c>
    </row>
    <row r="162" spans="1:49" ht="57">
      <c r="A162" s="93" t="s">
        <v>464</v>
      </c>
      <c r="B162" s="94" t="s">
        <v>336</v>
      </c>
      <c r="C162" s="94" t="s">
        <v>362</v>
      </c>
      <c r="D162" s="95" t="s">
        <v>461</v>
      </c>
      <c r="E162" s="95" t="s">
        <v>462</v>
      </c>
      <c r="F162" s="96"/>
      <c r="G162" s="94" t="s">
        <v>352</v>
      </c>
      <c r="H162" s="94" t="s">
        <v>341</v>
      </c>
      <c r="I162" s="94" t="s">
        <v>363</v>
      </c>
      <c r="J162" s="61"/>
      <c r="K162" s="12"/>
      <c r="L162" s="12"/>
      <c r="M162" s="12"/>
      <c r="N162" s="12"/>
      <c r="O162" s="12"/>
      <c r="P162" s="12"/>
      <c r="Q162" s="12"/>
      <c r="R162" s="12"/>
      <c r="S162" s="12"/>
      <c r="T162" s="61"/>
      <c r="U162" s="96"/>
      <c r="V162" s="96"/>
      <c r="W162" s="96"/>
      <c r="X162" s="96"/>
      <c r="Y162" s="96"/>
      <c r="Z162" s="96"/>
      <c r="AA162" s="96"/>
      <c r="AB162" s="96"/>
      <c r="AC162" s="94" t="s">
        <v>463</v>
      </c>
    </row>
    <row r="163" spans="1:49" ht="42.75">
      <c r="A163" s="93" t="s">
        <v>465</v>
      </c>
      <c r="B163" s="94" t="s">
        <v>336</v>
      </c>
      <c r="C163" s="94" t="s">
        <v>458</v>
      </c>
      <c r="D163" s="95" t="s">
        <v>461</v>
      </c>
      <c r="E163" s="95" t="s">
        <v>462</v>
      </c>
      <c r="F163" s="96"/>
      <c r="G163" s="97" t="s">
        <v>189</v>
      </c>
      <c r="H163" s="94" t="s">
        <v>384</v>
      </c>
      <c r="I163" s="94" t="s">
        <v>385</v>
      </c>
      <c r="J163" s="61"/>
      <c r="K163" s="12"/>
      <c r="L163" s="12"/>
      <c r="M163" s="12"/>
      <c r="N163" s="12"/>
      <c r="O163" s="12"/>
      <c r="P163" s="12"/>
      <c r="Q163" s="12"/>
      <c r="R163" s="12"/>
      <c r="S163" s="12"/>
      <c r="T163" s="61"/>
      <c r="U163" s="96"/>
      <c r="V163" s="96"/>
      <c r="W163" s="96"/>
      <c r="X163" s="96"/>
      <c r="Y163" s="96"/>
      <c r="Z163" s="96"/>
      <c r="AA163" s="96"/>
      <c r="AB163" s="94" t="s">
        <v>386</v>
      </c>
      <c r="AC163" s="94" t="s">
        <v>463</v>
      </c>
    </row>
    <row r="164" spans="1:49" ht="24.75" customHeight="1">
      <c r="A164" s="155" t="s">
        <v>466</v>
      </c>
      <c r="B164" s="152"/>
      <c r="C164" s="152"/>
      <c r="D164" s="152"/>
      <c r="E164" s="152"/>
      <c r="F164" s="152"/>
      <c r="G164" s="152"/>
      <c r="H164" s="152"/>
      <c r="I164" s="153"/>
      <c r="J164" s="32"/>
      <c r="K164" s="151"/>
      <c r="L164" s="152"/>
      <c r="M164" s="152"/>
      <c r="N164" s="152"/>
      <c r="O164" s="152"/>
      <c r="P164" s="152"/>
      <c r="Q164" s="152"/>
      <c r="R164" s="152"/>
      <c r="S164" s="153"/>
      <c r="T164" s="32"/>
      <c r="U164" s="154"/>
      <c r="V164" s="152"/>
      <c r="W164" s="152"/>
      <c r="X164" s="152"/>
      <c r="Y164" s="152"/>
      <c r="Z164" s="152"/>
      <c r="AA164" s="153"/>
      <c r="AB164" s="37"/>
      <c r="AC164" s="37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</row>
    <row r="165" spans="1:49" ht="28.5">
      <c r="A165" s="98" t="s">
        <v>467</v>
      </c>
      <c r="B165" s="99" t="s">
        <v>336</v>
      </c>
      <c r="C165" s="99" t="s">
        <v>337</v>
      </c>
      <c r="D165" s="100" t="s">
        <v>468</v>
      </c>
      <c r="E165" s="100" t="s">
        <v>469</v>
      </c>
      <c r="F165" s="101"/>
      <c r="G165" s="99" t="s">
        <v>340</v>
      </c>
      <c r="H165" s="99" t="s">
        <v>341</v>
      </c>
      <c r="I165" s="99" t="s">
        <v>342</v>
      </c>
      <c r="J165" s="61"/>
      <c r="K165" s="12"/>
      <c r="L165" s="12"/>
      <c r="M165" s="12"/>
      <c r="N165" s="12"/>
      <c r="O165" s="12"/>
      <c r="P165" s="12"/>
      <c r="Q165" s="12"/>
      <c r="R165" s="12"/>
      <c r="S165" s="12"/>
      <c r="T165" s="61"/>
      <c r="U165" s="101"/>
      <c r="V165" s="101"/>
      <c r="W165" s="101"/>
      <c r="X165" s="101"/>
      <c r="Y165" s="101"/>
      <c r="Z165" s="101"/>
      <c r="AA165" s="101"/>
      <c r="AB165" s="101"/>
      <c r="AC165" s="99" t="s">
        <v>470</v>
      </c>
    </row>
    <row r="166" spans="1:49" ht="57">
      <c r="A166" s="98" t="s">
        <v>471</v>
      </c>
      <c r="B166" s="99" t="s">
        <v>336</v>
      </c>
      <c r="C166" s="99" t="s">
        <v>362</v>
      </c>
      <c r="D166" s="100" t="s">
        <v>468</v>
      </c>
      <c r="E166" s="100" t="s">
        <v>469</v>
      </c>
      <c r="F166" s="101"/>
      <c r="G166" s="99" t="s">
        <v>352</v>
      </c>
      <c r="H166" s="99" t="s">
        <v>341</v>
      </c>
      <c r="I166" s="99" t="s">
        <v>363</v>
      </c>
      <c r="J166" s="61"/>
      <c r="K166" s="12"/>
      <c r="L166" s="12"/>
      <c r="M166" s="12"/>
      <c r="N166" s="12"/>
      <c r="O166" s="12"/>
      <c r="P166" s="12"/>
      <c r="Q166" s="12"/>
      <c r="R166" s="12"/>
      <c r="S166" s="12"/>
      <c r="T166" s="61"/>
      <c r="U166" s="101"/>
      <c r="V166" s="101"/>
      <c r="W166" s="101"/>
      <c r="X166" s="101"/>
      <c r="Y166" s="101"/>
      <c r="Z166" s="101"/>
      <c r="AA166" s="101"/>
      <c r="AB166" s="101"/>
      <c r="AC166" s="99" t="s">
        <v>470</v>
      </c>
    </row>
    <row r="167" spans="1:49" ht="42.75">
      <c r="A167" s="98" t="s">
        <v>472</v>
      </c>
      <c r="B167" s="99" t="s">
        <v>336</v>
      </c>
      <c r="C167" s="99" t="s">
        <v>458</v>
      </c>
      <c r="D167" s="100" t="s">
        <v>468</v>
      </c>
      <c r="E167" s="100" t="s">
        <v>469</v>
      </c>
      <c r="F167" s="101"/>
      <c r="G167" s="102" t="s">
        <v>189</v>
      </c>
      <c r="H167" s="99" t="s">
        <v>384</v>
      </c>
      <c r="I167" s="99" t="s">
        <v>385</v>
      </c>
      <c r="J167" s="61"/>
      <c r="K167" s="12"/>
      <c r="L167" s="12"/>
      <c r="M167" s="12"/>
      <c r="N167" s="12"/>
      <c r="O167" s="12"/>
      <c r="P167" s="12"/>
      <c r="Q167" s="12"/>
      <c r="R167" s="12"/>
      <c r="S167" s="12"/>
      <c r="T167" s="61"/>
      <c r="U167" s="101"/>
      <c r="V167" s="101"/>
      <c r="W167" s="101"/>
      <c r="X167" s="101"/>
      <c r="Y167" s="101"/>
      <c r="Z167" s="101"/>
      <c r="AA167" s="101"/>
      <c r="AB167" s="99" t="s">
        <v>386</v>
      </c>
      <c r="AC167" s="99" t="s">
        <v>470</v>
      </c>
    </row>
    <row r="168" spans="1:49" ht="24.75" customHeight="1">
      <c r="A168" s="155" t="s">
        <v>473</v>
      </c>
      <c r="B168" s="152"/>
      <c r="C168" s="152"/>
      <c r="D168" s="152"/>
      <c r="E168" s="152"/>
      <c r="F168" s="152"/>
      <c r="G168" s="152"/>
      <c r="H168" s="152"/>
      <c r="I168" s="153"/>
      <c r="J168" s="32"/>
      <c r="K168" s="151"/>
      <c r="L168" s="152"/>
      <c r="M168" s="152"/>
      <c r="N168" s="152"/>
      <c r="O168" s="152"/>
      <c r="P168" s="152"/>
      <c r="Q168" s="152"/>
      <c r="R168" s="152"/>
      <c r="S168" s="153"/>
      <c r="T168" s="32"/>
      <c r="U168" s="154"/>
      <c r="V168" s="152"/>
      <c r="W168" s="152"/>
      <c r="X168" s="152"/>
      <c r="Y168" s="152"/>
      <c r="Z168" s="152"/>
      <c r="AA168" s="153"/>
      <c r="AB168" s="37"/>
      <c r="AC168" s="37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</row>
    <row r="169" spans="1:49" ht="28.5">
      <c r="A169" s="103" t="s">
        <v>474</v>
      </c>
      <c r="B169" s="104" t="s">
        <v>336</v>
      </c>
      <c r="C169" s="104" t="s">
        <v>337</v>
      </c>
      <c r="D169" s="105" t="s">
        <v>475</v>
      </c>
      <c r="E169" s="105" t="s">
        <v>476</v>
      </c>
      <c r="F169" s="106"/>
      <c r="G169" s="104" t="s">
        <v>340</v>
      </c>
      <c r="H169" s="104" t="s">
        <v>341</v>
      </c>
      <c r="I169" s="104" t="s">
        <v>342</v>
      </c>
      <c r="J169" s="61"/>
      <c r="K169" s="12"/>
      <c r="L169" s="12"/>
      <c r="M169" s="12"/>
      <c r="N169" s="12"/>
      <c r="O169" s="12"/>
      <c r="P169" s="12"/>
      <c r="Q169" s="12"/>
      <c r="R169" s="12"/>
      <c r="S169" s="12"/>
      <c r="T169" s="61"/>
      <c r="U169" s="106"/>
      <c r="V169" s="106"/>
      <c r="W169" s="106"/>
      <c r="X169" s="106"/>
      <c r="Y169" s="106"/>
      <c r="Z169" s="106"/>
      <c r="AA169" s="106"/>
      <c r="AB169" s="106"/>
      <c r="AC169" s="104" t="s">
        <v>477</v>
      </c>
    </row>
    <row r="170" spans="1:49" ht="57">
      <c r="A170" s="103" t="s">
        <v>478</v>
      </c>
      <c r="B170" s="104" t="s">
        <v>336</v>
      </c>
      <c r="C170" s="104" t="s">
        <v>362</v>
      </c>
      <c r="D170" s="105" t="s">
        <v>475</v>
      </c>
      <c r="E170" s="105" t="s">
        <v>476</v>
      </c>
      <c r="F170" s="106"/>
      <c r="G170" s="104" t="s">
        <v>352</v>
      </c>
      <c r="H170" s="104" t="s">
        <v>341</v>
      </c>
      <c r="I170" s="104" t="s">
        <v>363</v>
      </c>
      <c r="J170" s="61"/>
      <c r="K170" s="12"/>
      <c r="L170" s="12"/>
      <c r="M170" s="12"/>
      <c r="N170" s="12"/>
      <c r="O170" s="12"/>
      <c r="P170" s="12"/>
      <c r="Q170" s="12"/>
      <c r="R170" s="12"/>
      <c r="S170" s="12"/>
      <c r="T170" s="61"/>
      <c r="U170" s="106"/>
      <c r="V170" s="106"/>
      <c r="W170" s="106"/>
      <c r="X170" s="106"/>
      <c r="Y170" s="106"/>
      <c r="Z170" s="106"/>
      <c r="AA170" s="106"/>
      <c r="AB170" s="106"/>
      <c r="AC170" s="104" t="s">
        <v>477</v>
      </c>
    </row>
    <row r="171" spans="1:49" ht="42.75">
      <c r="A171" s="103" t="s">
        <v>479</v>
      </c>
      <c r="B171" s="104" t="s">
        <v>336</v>
      </c>
      <c r="C171" s="104" t="s">
        <v>480</v>
      </c>
      <c r="D171" s="105" t="s">
        <v>475</v>
      </c>
      <c r="E171" s="105" t="s">
        <v>476</v>
      </c>
      <c r="F171" s="106"/>
      <c r="G171" s="107" t="s">
        <v>189</v>
      </c>
      <c r="H171" s="104" t="s">
        <v>384</v>
      </c>
      <c r="I171" s="104" t="s">
        <v>385</v>
      </c>
      <c r="J171" s="61"/>
      <c r="K171" s="12"/>
      <c r="L171" s="12"/>
      <c r="M171" s="12"/>
      <c r="N171" s="12"/>
      <c r="O171" s="12"/>
      <c r="P171" s="12"/>
      <c r="Q171" s="12"/>
      <c r="R171" s="12"/>
      <c r="S171" s="12"/>
      <c r="T171" s="61"/>
      <c r="U171" s="106"/>
      <c r="V171" s="106"/>
      <c r="W171" s="106"/>
      <c r="X171" s="106"/>
      <c r="Y171" s="106"/>
      <c r="Z171" s="106"/>
      <c r="AA171" s="106"/>
      <c r="AB171" s="104" t="s">
        <v>386</v>
      </c>
      <c r="AC171" s="104" t="s">
        <v>477</v>
      </c>
    </row>
    <row r="172" spans="1:49" ht="24.75" customHeight="1">
      <c r="A172" s="155" t="s">
        <v>481</v>
      </c>
      <c r="B172" s="152"/>
      <c r="C172" s="152"/>
      <c r="D172" s="152"/>
      <c r="E172" s="152"/>
      <c r="F172" s="152"/>
      <c r="G172" s="152"/>
      <c r="H172" s="152"/>
      <c r="I172" s="153"/>
      <c r="J172" s="32"/>
      <c r="K172" s="151"/>
      <c r="L172" s="152"/>
      <c r="M172" s="152"/>
      <c r="N172" s="152"/>
      <c r="O172" s="152"/>
      <c r="P172" s="152"/>
      <c r="Q172" s="152"/>
      <c r="R172" s="152"/>
      <c r="S172" s="153"/>
      <c r="T172" s="32"/>
      <c r="U172" s="154"/>
      <c r="V172" s="152"/>
      <c r="W172" s="152"/>
      <c r="X172" s="152"/>
      <c r="Y172" s="152"/>
      <c r="Z172" s="152"/>
      <c r="AA172" s="153"/>
      <c r="AB172" s="37"/>
      <c r="AC172" s="37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</row>
    <row r="173" spans="1:49" ht="28.5">
      <c r="A173" s="108" t="s">
        <v>482</v>
      </c>
      <c r="B173" s="109" t="s">
        <v>336</v>
      </c>
      <c r="C173" s="109" t="s">
        <v>337</v>
      </c>
      <c r="D173" s="110" t="s">
        <v>483</v>
      </c>
      <c r="E173" s="110" t="s">
        <v>484</v>
      </c>
      <c r="F173" s="111"/>
      <c r="G173" s="109" t="s">
        <v>340</v>
      </c>
      <c r="H173" s="109" t="s">
        <v>341</v>
      </c>
      <c r="I173" s="109" t="s">
        <v>342</v>
      </c>
      <c r="J173" s="61"/>
      <c r="K173" s="12"/>
      <c r="L173" s="12"/>
      <c r="M173" s="12"/>
      <c r="N173" s="12"/>
      <c r="O173" s="12"/>
      <c r="P173" s="12"/>
      <c r="Q173" s="12"/>
      <c r="R173" s="12"/>
      <c r="S173" s="12"/>
      <c r="T173" s="61"/>
      <c r="U173" s="111"/>
      <c r="V173" s="111"/>
      <c r="W173" s="111"/>
      <c r="X173" s="111"/>
      <c r="Y173" s="111"/>
      <c r="Z173" s="111"/>
      <c r="AA173" s="111"/>
      <c r="AB173" s="111"/>
      <c r="AC173" s="109" t="s">
        <v>485</v>
      </c>
    </row>
    <row r="174" spans="1:49" ht="57">
      <c r="A174" s="108" t="s">
        <v>486</v>
      </c>
      <c r="B174" s="109" t="s">
        <v>336</v>
      </c>
      <c r="C174" s="109" t="s">
        <v>362</v>
      </c>
      <c r="D174" s="110" t="s">
        <v>483</v>
      </c>
      <c r="E174" s="110" t="s">
        <v>484</v>
      </c>
      <c r="F174" s="111"/>
      <c r="G174" s="109" t="s">
        <v>352</v>
      </c>
      <c r="H174" s="109" t="s">
        <v>341</v>
      </c>
      <c r="I174" s="109" t="s">
        <v>363</v>
      </c>
      <c r="J174" s="61"/>
      <c r="K174" s="12"/>
      <c r="L174" s="12"/>
      <c r="M174" s="12"/>
      <c r="N174" s="12"/>
      <c r="O174" s="12"/>
      <c r="P174" s="12"/>
      <c r="Q174" s="12"/>
      <c r="R174" s="12"/>
      <c r="S174" s="12"/>
      <c r="T174" s="61"/>
      <c r="U174" s="111"/>
      <c r="V174" s="111"/>
      <c r="W174" s="111"/>
      <c r="X174" s="111"/>
      <c r="Y174" s="111"/>
      <c r="Z174" s="111"/>
      <c r="AA174" s="111"/>
      <c r="AB174" s="111"/>
      <c r="AC174" s="109" t="s">
        <v>485</v>
      </c>
    </row>
    <row r="175" spans="1:49" ht="28.5">
      <c r="A175" s="108" t="s">
        <v>487</v>
      </c>
      <c r="B175" s="109" t="s">
        <v>336</v>
      </c>
      <c r="C175" s="109" t="s">
        <v>383</v>
      </c>
      <c r="D175" s="110" t="s">
        <v>483</v>
      </c>
      <c r="E175" s="110" t="s">
        <v>484</v>
      </c>
      <c r="F175" s="111"/>
      <c r="G175" s="112" t="s">
        <v>189</v>
      </c>
      <c r="H175" s="109" t="s">
        <v>384</v>
      </c>
      <c r="I175" s="109" t="s">
        <v>385</v>
      </c>
      <c r="J175" s="61"/>
      <c r="K175" s="12"/>
      <c r="L175" s="12"/>
      <c r="M175" s="12"/>
      <c r="N175" s="12"/>
      <c r="O175" s="12"/>
      <c r="P175" s="12"/>
      <c r="Q175" s="12"/>
      <c r="R175" s="12"/>
      <c r="S175" s="12"/>
      <c r="T175" s="61"/>
      <c r="U175" s="111"/>
      <c r="V175" s="111"/>
      <c r="W175" s="111"/>
      <c r="X175" s="111"/>
      <c r="Y175" s="111"/>
      <c r="Z175" s="111"/>
      <c r="AA175" s="111"/>
      <c r="AB175" s="109" t="s">
        <v>386</v>
      </c>
      <c r="AC175" s="109" t="s">
        <v>485</v>
      </c>
    </row>
    <row r="176" spans="1:49" ht="24.75" customHeight="1">
      <c r="A176" s="155" t="s">
        <v>488</v>
      </c>
      <c r="B176" s="152"/>
      <c r="C176" s="152"/>
      <c r="D176" s="152"/>
      <c r="E176" s="152"/>
      <c r="F176" s="152"/>
      <c r="G176" s="152"/>
      <c r="H176" s="152"/>
      <c r="I176" s="153"/>
      <c r="J176" s="32"/>
      <c r="K176" s="151"/>
      <c r="L176" s="152"/>
      <c r="M176" s="152"/>
      <c r="N176" s="152"/>
      <c r="O176" s="152"/>
      <c r="P176" s="152"/>
      <c r="Q176" s="152"/>
      <c r="R176" s="152"/>
      <c r="S176" s="153"/>
      <c r="T176" s="32"/>
      <c r="U176" s="154"/>
      <c r="V176" s="152"/>
      <c r="W176" s="152"/>
      <c r="X176" s="152"/>
      <c r="Y176" s="152"/>
      <c r="Z176" s="152"/>
      <c r="AA176" s="153"/>
      <c r="AB176" s="37"/>
      <c r="AC176" s="37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</row>
    <row r="177" spans="1:49" ht="28.5">
      <c r="A177" s="108" t="s">
        <v>482</v>
      </c>
      <c r="B177" s="109" t="s">
        <v>336</v>
      </c>
      <c r="C177" s="109" t="s">
        <v>337</v>
      </c>
      <c r="D177" s="110" t="s">
        <v>483</v>
      </c>
      <c r="E177" s="110" t="s">
        <v>484</v>
      </c>
      <c r="F177" s="111"/>
      <c r="G177" s="109" t="s">
        <v>340</v>
      </c>
      <c r="H177" s="109" t="s">
        <v>341</v>
      </c>
      <c r="I177" s="109" t="s">
        <v>342</v>
      </c>
      <c r="J177" s="61"/>
      <c r="K177" s="12"/>
      <c r="L177" s="12"/>
      <c r="M177" s="12"/>
      <c r="N177" s="12"/>
      <c r="O177" s="12"/>
      <c r="P177" s="12"/>
      <c r="Q177" s="12"/>
      <c r="R177" s="12"/>
      <c r="S177" s="12"/>
      <c r="T177" s="61"/>
      <c r="U177" s="111"/>
      <c r="V177" s="111"/>
      <c r="W177" s="111"/>
      <c r="X177" s="111"/>
      <c r="Y177" s="111"/>
      <c r="Z177" s="111"/>
      <c r="AA177" s="111"/>
      <c r="AB177" s="111"/>
      <c r="AC177" s="109" t="s">
        <v>489</v>
      </c>
    </row>
    <row r="178" spans="1:49" ht="57">
      <c r="A178" s="108" t="s">
        <v>490</v>
      </c>
      <c r="B178" s="109" t="s">
        <v>336</v>
      </c>
      <c r="C178" s="109" t="s">
        <v>362</v>
      </c>
      <c r="D178" s="110" t="s">
        <v>483</v>
      </c>
      <c r="E178" s="110" t="s">
        <v>484</v>
      </c>
      <c r="F178" s="111"/>
      <c r="G178" s="109" t="s">
        <v>352</v>
      </c>
      <c r="H178" s="109" t="s">
        <v>341</v>
      </c>
      <c r="I178" s="109" t="s">
        <v>363</v>
      </c>
      <c r="J178" s="61"/>
      <c r="K178" s="12"/>
      <c r="L178" s="12"/>
      <c r="M178" s="12"/>
      <c r="N178" s="12"/>
      <c r="O178" s="12"/>
      <c r="P178" s="12"/>
      <c r="Q178" s="12"/>
      <c r="R178" s="12"/>
      <c r="S178" s="12"/>
      <c r="T178" s="61"/>
      <c r="U178" s="111"/>
      <c r="V178" s="111"/>
      <c r="W178" s="111"/>
      <c r="X178" s="111"/>
      <c r="Y178" s="111"/>
      <c r="Z178" s="111"/>
      <c r="AA178" s="111"/>
      <c r="AB178" s="111"/>
      <c r="AC178" s="109" t="s">
        <v>489</v>
      </c>
    </row>
    <row r="179" spans="1:49" ht="28.5">
      <c r="A179" s="108" t="s">
        <v>491</v>
      </c>
      <c r="B179" s="109" t="s">
        <v>336</v>
      </c>
      <c r="C179" s="109" t="s">
        <v>492</v>
      </c>
      <c r="D179" s="110" t="s">
        <v>483</v>
      </c>
      <c r="E179" s="110" t="s">
        <v>484</v>
      </c>
      <c r="F179" s="111"/>
      <c r="G179" s="112" t="s">
        <v>189</v>
      </c>
      <c r="H179" s="109" t="s">
        <v>384</v>
      </c>
      <c r="I179" s="109" t="s">
        <v>385</v>
      </c>
      <c r="J179" s="61"/>
      <c r="K179" s="12"/>
      <c r="L179" s="12"/>
      <c r="M179" s="12"/>
      <c r="N179" s="12"/>
      <c r="O179" s="12"/>
      <c r="P179" s="12"/>
      <c r="Q179" s="12"/>
      <c r="R179" s="12"/>
      <c r="S179" s="12"/>
      <c r="T179" s="61"/>
      <c r="U179" s="111"/>
      <c r="V179" s="111"/>
      <c r="W179" s="111"/>
      <c r="X179" s="111"/>
      <c r="Y179" s="111"/>
      <c r="Z179" s="111"/>
      <c r="AA179" s="111"/>
      <c r="AB179" s="109" t="s">
        <v>386</v>
      </c>
      <c r="AC179" s="109" t="s">
        <v>489</v>
      </c>
    </row>
    <row r="180" spans="1:49" ht="24.75" customHeight="1">
      <c r="A180" s="155" t="s">
        <v>493</v>
      </c>
      <c r="B180" s="152"/>
      <c r="C180" s="152"/>
      <c r="D180" s="152"/>
      <c r="E180" s="152"/>
      <c r="F180" s="152"/>
      <c r="G180" s="152"/>
      <c r="H180" s="152"/>
      <c r="I180" s="153"/>
      <c r="J180" s="32"/>
      <c r="K180" s="151"/>
      <c r="L180" s="152"/>
      <c r="M180" s="152"/>
      <c r="N180" s="152"/>
      <c r="O180" s="152"/>
      <c r="P180" s="152"/>
      <c r="Q180" s="152"/>
      <c r="R180" s="152"/>
      <c r="S180" s="153"/>
      <c r="T180" s="32"/>
      <c r="U180" s="154"/>
      <c r="V180" s="152"/>
      <c r="W180" s="152"/>
      <c r="X180" s="152"/>
      <c r="Y180" s="152"/>
      <c r="Z180" s="152"/>
      <c r="AA180" s="153"/>
      <c r="AB180" s="37"/>
      <c r="AC180" s="37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</row>
    <row r="181" spans="1:49" ht="28.5">
      <c r="A181" s="113" t="s">
        <v>494</v>
      </c>
      <c r="B181" s="114" t="s">
        <v>336</v>
      </c>
      <c r="C181" s="114" t="s">
        <v>337</v>
      </c>
      <c r="D181" s="115" t="s">
        <v>495</v>
      </c>
      <c r="E181" s="115" t="s">
        <v>496</v>
      </c>
      <c r="F181" s="116"/>
      <c r="G181" s="114" t="s">
        <v>340</v>
      </c>
      <c r="H181" s="114" t="s">
        <v>341</v>
      </c>
      <c r="I181" s="114" t="s">
        <v>342</v>
      </c>
      <c r="J181" s="61"/>
      <c r="K181" s="12"/>
      <c r="L181" s="12"/>
      <c r="M181" s="12"/>
      <c r="N181" s="12"/>
      <c r="O181" s="12"/>
      <c r="P181" s="12"/>
      <c r="Q181" s="12"/>
      <c r="R181" s="12"/>
      <c r="S181" s="12"/>
      <c r="T181" s="61"/>
      <c r="U181" s="116"/>
      <c r="V181" s="116"/>
      <c r="W181" s="116"/>
      <c r="X181" s="116"/>
      <c r="Y181" s="116"/>
      <c r="Z181" s="116"/>
      <c r="AA181" s="116"/>
      <c r="AB181" s="116"/>
      <c r="AC181" s="114" t="s">
        <v>497</v>
      </c>
    </row>
    <row r="182" spans="1:49" ht="57">
      <c r="A182" s="113" t="s">
        <v>498</v>
      </c>
      <c r="B182" s="114" t="s">
        <v>336</v>
      </c>
      <c r="C182" s="114" t="s">
        <v>499</v>
      </c>
      <c r="D182" s="115" t="s">
        <v>495</v>
      </c>
      <c r="E182" s="115" t="s">
        <v>496</v>
      </c>
      <c r="F182" s="116"/>
      <c r="G182" s="114" t="s">
        <v>352</v>
      </c>
      <c r="H182" s="114" t="s">
        <v>341</v>
      </c>
      <c r="I182" s="114" t="s">
        <v>500</v>
      </c>
      <c r="J182" s="61"/>
      <c r="K182" s="12"/>
      <c r="L182" s="12"/>
      <c r="M182" s="12"/>
      <c r="N182" s="12"/>
      <c r="O182" s="12"/>
      <c r="P182" s="12"/>
      <c r="Q182" s="12"/>
      <c r="R182" s="12"/>
      <c r="S182" s="12"/>
      <c r="T182" s="61"/>
      <c r="U182" s="116"/>
      <c r="V182" s="116"/>
      <c r="W182" s="116"/>
      <c r="X182" s="116"/>
      <c r="Y182" s="116"/>
      <c r="Z182" s="116"/>
      <c r="AA182" s="116"/>
      <c r="AB182" s="116"/>
      <c r="AC182" s="114" t="s">
        <v>497</v>
      </c>
    </row>
    <row r="183" spans="1:49" ht="42.75">
      <c r="A183" s="113" t="s">
        <v>501</v>
      </c>
      <c r="B183" s="114" t="s">
        <v>336</v>
      </c>
      <c r="C183" s="114" t="s">
        <v>502</v>
      </c>
      <c r="D183" s="115" t="s">
        <v>495</v>
      </c>
      <c r="E183" s="115" t="s">
        <v>496</v>
      </c>
      <c r="F183" s="116"/>
      <c r="G183" s="117" t="s">
        <v>189</v>
      </c>
      <c r="H183" s="114" t="s">
        <v>503</v>
      </c>
      <c r="I183" s="114">
        <v>711</v>
      </c>
      <c r="J183" s="61"/>
      <c r="K183" s="12"/>
      <c r="L183" s="12"/>
      <c r="M183" s="12"/>
      <c r="N183" s="12"/>
      <c r="O183" s="12"/>
      <c r="P183" s="12"/>
      <c r="Q183" s="12"/>
      <c r="R183" s="12"/>
      <c r="S183" s="12"/>
      <c r="T183" s="61"/>
      <c r="U183" s="116"/>
      <c r="V183" s="116"/>
      <c r="W183" s="116"/>
      <c r="X183" s="116"/>
      <c r="Y183" s="116"/>
      <c r="Z183" s="116"/>
      <c r="AA183" s="116"/>
      <c r="AB183" s="114" t="s">
        <v>504</v>
      </c>
      <c r="AC183" s="114" t="s">
        <v>497</v>
      </c>
    </row>
    <row r="184" spans="1:49" ht="24.75" customHeight="1">
      <c r="A184" s="155" t="s">
        <v>505</v>
      </c>
      <c r="B184" s="152"/>
      <c r="C184" s="152"/>
      <c r="D184" s="152"/>
      <c r="E184" s="152"/>
      <c r="F184" s="152"/>
      <c r="G184" s="152"/>
      <c r="H184" s="152"/>
      <c r="I184" s="153"/>
      <c r="J184" s="32"/>
      <c r="K184" s="151"/>
      <c r="L184" s="152"/>
      <c r="M184" s="152"/>
      <c r="N184" s="152"/>
      <c r="O184" s="152"/>
      <c r="P184" s="152"/>
      <c r="Q184" s="152"/>
      <c r="R184" s="152"/>
      <c r="S184" s="153"/>
      <c r="T184" s="32"/>
      <c r="U184" s="154"/>
      <c r="V184" s="152"/>
      <c r="W184" s="152"/>
      <c r="X184" s="152"/>
      <c r="Y184" s="152"/>
      <c r="Z184" s="152"/>
      <c r="AA184" s="153"/>
      <c r="AB184" s="37"/>
      <c r="AC184" s="37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</row>
    <row r="185" spans="1:49" ht="28.5">
      <c r="A185" s="118" t="s">
        <v>506</v>
      </c>
      <c r="B185" s="119" t="s">
        <v>336</v>
      </c>
      <c r="C185" s="119" t="s">
        <v>337</v>
      </c>
      <c r="D185" s="120" t="s">
        <v>507</v>
      </c>
      <c r="E185" s="120" t="s">
        <v>508</v>
      </c>
      <c r="F185" s="37"/>
      <c r="G185" s="121" t="s">
        <v>340</v>
      </c>
      <c r="H185" s="121" t="s">
        <v>341</v>
      </c>
      <c r="I185" s="121" t="s">
        <v>342</v>
      </c>
      <c r="J185" s="61"/>
      <c r="K185" s="12"/>
      <c r="L185" s="12"/>
      <c r="M185" s="12"/>
      <c r="N185" s="12"/>
      <c r="O185" s="12"/>
      <c r="P185" s="12"/>
      <c r="Q185" s="12"/>
      <c r="R185" s="12"/>
      <c r="S185" s="12"/>
      <c r="T185" s="61"/>
      <c r="U185" s="122"/>
      <c r="V185" s="122"/>
      <c r="W185" s="122"/>
      <c r="X185" s="122"/>
      <c r="Y185" s="122"/>
      <c r="Z185" s="122"/>
      <c r="AA185" s="122"/>
      <c r="AB185" s="122"/>
      <c r="AC185" s="119" t="s">
        <v>509</v>
      </c>
    </row>
    <row r="186" spans="1:49" ht="57">
      <c r="A186" s="118" t="s">
        <v>510</v>
      </c>
      <c r="B186" s="119" t="s">
        <v>336</v>
      </c>
      <c r="C186" s="119" t="s">
        <v>499</v>
      </c>
      <c r="D186" s="120" t="s">
        <v>507</v>
      </c>
      <c r="E186" s="120" t="s">
        <v>508</v>
      </c>
      <c r="F186" s="37"/>
      <c r="G186" s="119" t="s">
        <v>352</v>
      </c>
      <c r="H186" s="119" t="s">
        <v>341</v>
      </c>
      <c r="I186" s="119" t="s">
        <v>500</v>
      </c>
      <c r="J186" s="61"/>
      <c r="K186" s="12"/>
      <c r="L186" s="12"/>
      <c r="M186" s="12"/>
      <c r="N186" s="12"/>
      <c r="O186" s="12"/>
      <c r="P186" s="12"/>
      <c r="Q186" s="12"/>
      <c r="R186" s="12"/>
      <c r="S186" s="12"/>
      <c r="T186" s="61"/>
      <c r="U186" s="37"/>
      <c r="V186" s="37"/>
      <c r="W186" s="37"/>
      <c r="X186" s="37"/>
      <c r="Y186" s="37"/>
      <c r="Z186" s="37"/>
      <c r="AA186" s="37"/>
      <c r="AB186" s="37"/>
      <c r="AC186" s="119" t="s">
        <v>509</v>
      </c>
    </row>
    <row r="187" spans="1:49" ht="42.75">
      <c r="A187" s="118" t="s">
        <v>511</v>
      </c>
      <c r="B187" s="119" t="s">
        <v>336</v>
      </c>
      <c r="C187" s="119" t="s">
        <v>502</v>
      </c>
      <c r="D187" s="120" t="s">
        <v>507</v>
      </c>
      <c r="E187" s="120" t="s">
        <v>508</v>
      </c>
      <c r="F187" s="37"/>
      <c r="G187" s="123" t="s">
        <v>189</v>
      </c>
      <c r="H187" s="119" t="s">
        <v>503</v>
      </c>
      <c r="I187" s="119">
        <v>711</v>
      </c>
      <c r="J187" s="61"/>
      <c r="K187" s="12"/>
      <c r="L187" s="12"/>
      <c r="M187" s="12"/>
      <c r="N187" s="12"/>
      <c r="O187" s="12"/>
      <c r="P187" s="12"/>
      <c r="Q187" s="12"/>
      <c r="R187" s="12"/>
      <c r="S187" s="12"/>
      <c r="T187" s="61"/>
      <c r="U187" s="50"/>
      <c r="V187" s="50"/>
      <c r="W187" s="50"/>
      <c r="X187" s="50"/>
      <c r="Y187" s="50"/>
      <c r="Z187" s="50"/>
      <c r="AA187" s="50"/>
      <c r="AB187" s="119" t="s">
        <v>504</v>
      </c>
      <c r="AC187" s="119" t="s">
        <v>509</v>
      </c>
    </row>
    <row r="188" spans="1:49" ht="24.75" customHeight="1">
      <c r="A188" s="155" t="s">
        <v>512</v>
      </c>
      <c r="B188" s="152"/>
      <c r="C188" s="152"/>
      <c r="D188" s="152"/>
      <c r="E188" s="152"/>
      <c r="F188" s="152"/>
      <c r="G188" s="152"/>
      <c r="H188" s="152"/>
      <c r="I188" s="153"/>
      <c r="J188" s="32"/>
      <c r="K188" s="151"/>
      <c r="L188" s="152"/>
      <c r="M188" s="152"/>
      <c r="N188" s="152"/>
      <c r="O188" s="152"/>
      <c r="P188" s="152"/>
      <c r="Q188" s="152"/>
      <c r="R188" s="152"/>
      <c r="S188" s="153"/>
      <c r="T188" s="32"/>
      <c r="U188" s="154"/>
      <c r="V188" s="152"/>
      <c r="W188" s="152"/>
      <c r="X188" s="152"/>
      <c r="Y188" s="152"/>
      <c r="Z188" s="152"/>
      <c r="AA188" s="153"/>
      <c r="AB188" s="37"/>
      <c r="AC188" s="37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</row>
    <row r="189" spans="1:49" ht="85.5">
      <c r="A189" s="124" t="s">
        <v>513</v>
      </c>
      <c r="B189" s="125" t="s">
        <v>336</v>
      </c>
      <c r="C189" s="125" t="s">
        <v>514</v>
      </c>
      <c r="D189" s="126" t="s">
        <v>515</v>
      </c>
      <c r="E189" s="126" t="s">
        <v>516</v>
      </c>
      <c r="F189" s="127"/>
      <c r="G189" s="125" t="s">
        <v>517</v>
      </c>
      <c r="H189" s="125" t="s">
        <v>518</v>
      </c>
      <c r="I189" s="125" t="s">
        <v>519</v>
      </c>
      <c r="J189" s="61"/>
      <c r="K189" s="12"/>
      <c r="L189" s="12"/>
      <c r="M189" s="12"/>
      <c r="N189" s="12"/>
      <c r="O189" s="12"/>
      <c r="P189" s="12"/>
      <c r="Q189" s="12"/>
      <c r="R189" s="12"/>
      <c r="S189" s="12"/>
      <c r="T189" s="61"/>
      <c r="U189" s="127"/>
      <c r="V189" s="127"/>
      <c r="W189" s="127"/>
      <c r="X189" s="127"/>
      <c r="Y189" s="127"/>
      <c r="Z189" s="127"/>
      <c r="AA189" s="127"/>
      <c r="AB189" s="127"/>
      <c r="AC189" s="125" t="s">
        <v>520</v>
      </c>
    </row>
    <row r="190" spans="1:49" ht="42.75">
      <c r="A190" s="124" t="s">
        <v>521</v>
      </c>
      <c r="B190" s="125" t="s">
        <v>336</v>
      </c>
      <c r="C190" s="125" t="s">
        <v>522</v>
      </c>
      <c r="D190" s="126" t="s">
        <v>515</v>
      </c>
      <c r="E190" s="126" t="s">
        <v>516</v>
      </c>
      <c r="F190" s="127"/>
      <c r="G190" s="128" t="s">
        <v>189</v>
      </c>
      <c r="H190" s="125" t="s">
        <v>523</v>
      </c>
      <c r="I190" s="125" t="s">
        <v>524</v>
      </c>
      <c r="J190" s="61"/>
      <c r="K190" s="12"/>
      <c r="L190" s="12"/>
      <c r="M190" s="12"/>
      <c r="N190" s="12"/>
      <c r="O190" s="12"/>
      <c r="P190" s="12"/>
      <c r="Q190" s="12"/>
      <c r="R190" s="12"/>
      <c r="S190" s="12"/>
      <c r="T190" s="61"/>
      <c r="U190" s="127"/>
      <c r="V190" s="127"/>
      <c r="W190" s="127"/>
      <c r="X190" s="127"/>
      <c r="Y190" s="127"/>
      <c r="Z190" s="127"/>
      <c r="AA190" s="127"/>
      <c r="AB190" s="125" t="s">
        <v>525</v>
      </c>
      <c r="AC190" s="125" t="s">
        <v>520</v>
      </c>
    </row>
    <row r="191" spans="1:49" ht="24.75" customHeight="1">
      <c r="A191" s="155" t="s">
        <v>526</v>
      </c>
      <c r="B191" s="152"/>
      <c r="C191" s="152"/>
      <c r="D191" s="152"/>
      <c r="E191" s="152"/>
      <c r="F191" s="152"/>
      <c r="G191" s="152"/>
      <c r="H191" s="152"/>
      <c r="I191" s="153"/>
      <c r="J191" s="32"/>
      <c r="K191" s="151"/>
      <c r="L191" s="152"/>
      <c r="M191" s="152"/>
      <c r="N191" s="152"/>
      <c r="O191" s="152"/>
      <c r="P191" s="152"/>
      <c r="Q191" s="152"/>
      <c r="R191" s="152"/>
      <c r="S191" s="153"/>
      <c r="T191" s="32"/>
      <c r="U191" s="154"/>
      <c r="V191" s="152"/>
      <c r="W191" s="152"/>
      <c r="X191" s="152"/>
      <c r="Y191" s="152"/>
      <c r="Z191" s="152"/>
      <c r="AA191" s="153"/>
      <c r="AB191" s="37"/>
      <c r="AC191" s="37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</row>
    <row r="192" spans="1:49" ht="85.5">
      <c r="A192" s="129" t="s">
        <v>527</v>
      </c>
      <c r="B192" s="130" t="s">
        <v>336</v>
      </c>
      <c r="C192" s="130" t="s">
        <v>514</v>
      </c>
      <c r="D192" s="131" t="s">
        <v>528</v>
      </c>
      <c r="E192" s="131" t="s">
        <v>529</v>
      </c>
      <c r="F192" s="132"/>
      <c r="G192" s="130" t="s">
        <v>517</v>
      </c>
      <c r="H192" s="130" t="s">
        <v>518</v>
      </c>
      <c r="I192" s="130" t="s">
        <v>519</v>
      </c>
      <c r="J192" s="61"/>
      <c r="K192" s="12"/>
      <c r="L192" s="12"/>
      <c r="M192" s="12"/>
      <c r="N192" s="12"/>
      <c r="O192" s="12"/>
      <c r="P192" s="12"/>
      <c r="Q192" s="12"/>
      <c r="R192" s="12"/>
      <c r="S192" s="12"/>
      <c r="T192" s="61"/>
      <c r="U192" s="132"/>
      <c r="V192" s="132"/>
      <c r="W192" s="132"/>
      <c r="X192" s="132"/>
      <c r="Y192" s="132"/>
      <c r="Z192" s="132"/>
      <c r="AA192" s="132"/>
      <c r="AB192" s="132"/>
      <c r="AC192" s="130" t="s">
        <v>530</v>
      </c>
    </row>
    <row r="193" spans="1:29" ht="42.75">
      <c r="A193" s="129" t="s">
        <v>531</v>
      </c>
      <c r="B193" s="130" t="s">
        <v>336</v>
      </c>
      <c r="C193" s="130" t="s">
        <v>522</v>
      </c>
      <c r="D193" s="131" t="s">
        <v>528</v>
      </c>
      <c r="E193" s="131" t="s">
        <v>529</v>
      </c>
      <c r="F193" s="132"/>
      <c r="G193" s="133" t="s">
        <v>189</v>
      </c>
      <c r="H193" s="130" t="s">
        <v>523</v>
      </c>
      <c r="I193" s="130" t="s">
        <v>524</v>
      </c>
      <c r="J193" s="61"/>
      <c r="K193" s="12"/>
      <c r="L193" s="12"/>
      <c r="M193" s="12"/>
      <c r="N193" s="12"/>
      <c r="O193" s="12"/>
      <c r="P193" s="12"/>
      <c r="Q193" s="12"/>
      <c r="R193" s="12"/>
      <c r="S193" s="12"/>
      <c r="T193" s="61"/>
      <c r="U193" s="132"/>
      <c r="V193" s="132"/>
      <c r="W193" s="132"/>
      <c r="X193" s="132"/>
      <c r="Y193" s="132"/>
      <c r="Z193" s="132"/>
      <c r="AA193" s="132"/>
      <c r="AB193" s="130" t="s">
        <v>525</v>
      </c>
      <c r="AC193" s="130" t="s">
        <v>530</v>
      </c>
    </row>
    <row r="216" spans="10:20" ht="14.25">
      <c r="J216" s="61"/>
      <c r="K216" s="61"/>
      <c r="T216" s="61"/>
    </row>
    <row r="217" spans="10:20" ht="14.25">
      <c r="J217" s="61"/>
      <c r="K217" s="61"/>
      <c r="T217" s="61"/>
    </row>
    <row r="218" spans="10:20" ht="14.25">
      <c r="J218" s="61"/>
      <c r="K218" s="61"/>
      <c r="T218" s="61"/>
    </row>
    <row r="219" spans="10:20" ht="14.25">
      <c r="J219" s="61"/>
      <c r="K219" s="61"/>
    </row>
    <row r="220" spans="10:20" ht="14.25">
      <c r="J220" s="61"/>
      <c r="K220" s="61"/>
    </row>
    <row r="221" spans="10:20" ht="14.25">
      <c r="J221" s="61"/>
      <c r="K221" s="61"/>
    </row>
    <row r="222" spans="10:20" ht="14.25">
      <c r="J222" s="61"/>
      <c r="K222" s="61"/>
    </row>
    <row r="223" spans="10:20" ht="14.25">
      <c r="J223" s="61"/>
      <c r="K223" s="61"/>
    </row>
    <row r="224" spans="10:20" ht="14.25">
      <c r="J224" s="61"/>
      <c r="K224" s="61"/>
    </row>
    <row r="225" spans="10:11" ht="14.25">
      <c r="J225" s="61"/>
      <c r="K225" s="61"/>
    </row>
    <row r="226" spans="10:11" ht="14.25">
      <c r="J226" s="61"/>
      <c r="K226" s="61"/>
    </row>
    <row r="227" spans="10:11" ht="14.25">
      <c r="J227" s="61"/>
      <c r="K227" s="61"/>
    </row>
    <row r="228" spans="10:11" ht="14.25">
      <c r="J228" s="61"/>
      <c r="K228" s="61"/>
    </row>
    <row r="229" spans="10:11" ht="14.25">
      <c r="J229" s="61"/>
      <c r="K229" s="61"/>
    </row>
    <row r="230" spans="10:11" ht="14.25">
      <c r="J230" s="61"/>
      <c r="K230" s="61"/>
    </row>
    <row r="231" spans="10:11" ht="14.25">
      <c r="J231" s="61"/>
      <c r="K231" s="61"/>
    </row>
    <row r="232" spans="10:11" ht="14.25">
      <c r="J232" s="61"/>
      <c r="K232" s="61"/>
    </row>
    <row r="233" spans="10:11" ht="14.25">
      <c r="J233" s="61"/>
      <c r="K233" s="61"/>
    </row>
    <row r="234" spans="10:11" ht="14.25">
      <c r="J234" s="61"/>
      <c r="K234" s="61"/>
    </row>
    <row r="235" spans="10:11" ht="14.25">
      <c r="J235" s="61"/>
      <c r="K235" s="61"/>
    </row>
    <row r="236" spans="10:11" ht="14.25">
      <c r="J236" s="61"/>
      <c r="K236" s="61"/>
    </row>
    <row r="237" spans="10:11" ht="14.25">
      <c r="J237" s="61"/>
      <c r="K237" s="61"/>
    </row>
    <row r="238" spans="10:11" ht="14.25">
      <c r="J238" s="61"/>
      <c r="K238" s="61"/>
    </row>
    <row r="239" spans="10:11" ht="14.25">
      <c r="J239" s="61"/>
      <c r="K239" s="61"/>
    </row>
    <row r="240" spans="10:11" ht="14.25">
      <c r="J240" s="61"/>
      <c r="K240" s="61"/>
    </row>
    <row r="241" spans="10:11" ht="14.25">
      <c r="J241" s="61"/>
      <c r="K241" s="61"/>
    </row>
    <row r="242" spans="10:11" ht="14.25">
      <c r="J242" s="61"/>
      <c r="K242" s="61"/>
    </row>
    <row r="243" spans="10:11" ht="14.25">
      <c r="J243" s="61"/>
      <c r="K243" s="61"/>
    </row>
    <row r="244" spans="10:11" ht="14.25">
      <c r="J244" s="61"/>
      <c r="K244" s="61"/>
    </row>
    <row r="245" spans="10:11" ht="14.25">
      <c r="J245" s="61"/>
      <c r="K245" s="61"/>
    </row>
    <row r="246" spans="10:11" ht="14.25">
      <c r="J246" s="61"/>
      <c r="K246" s="61"/>
    </row>
    <row r="247" spans="10:11" ht="14.25">
      <c r="J247" s="61"/>
      <c r="K247" s="61"/>
    </row>
    <row r="248" spans="10:11" ht="14.25">
      <c r="J248" s="61"/>
      <c r="K248" s="61"/>
    </row>
    <row r="249" spans="10:11" ht="14.25">
      <c r="J249" s="61"/>
      <c r="K249" s="61"/>
    </row>
    <row r="250" spans="10:11" ht="14.25">
      <c r="J250" s="61"/>
      <c r="K250" s="61"/>
    </row>
    <row r="251" spans="10:11" ht="14.25">
      <c r="J251" s="61"/>
      <c r="K251" s="61"/>
    </row>
    <row r="252" spans="10:11" ht="14.25">
      <c r="J252" s="61"/>
      <c r="K252" s="61"/>
    </row>
    <row r="253" spans="10:11" ht="14.25">
      <c r="J253" s="61"/>
      <c r="K253" s="61"/>
    </row>
    <row r="254" spans="10:11" ht="14.25">
      <c r="J254" s="61"/>
      <c r="K254" s="61"/>
    </row>
    <row r="255" spans="10:11" ht="14.25">
      <c r="J255" s="61"/>
      <c r="K255" s="61"/>
    </row>
    <row r="256" spans="10:11" ht="14.25">
      <c r="J256" s="61"/>
      <c r="K256" s="61"/>
    </row>
    <row r="257" spans="10:11" ht="14.25">
      <c r="J257" s="61"/>
      <c r="K257" s="61"/>
    </row>
    <row r="258" spans="10:11" ht="14.25">
      <c r="J258" s="61"/>
      <c r="K258" s="61"/>
    </row>
    <row r="259" spans="10:11" ht="14.25">
      <c r="J259" s="61"/>
      <c r="K259" s="61"/>
    </row>
    <row r="260" spans="10:11" ht="14.25">
      <c r="J260" s="61"/>
      <c r="K260" s="61"/>
    </row>
    <row r="261" spans="10:11" ht="14.25">
      <c r="J261" s="61"/>
      <c r="K261" s="61"/>
    </row>
    <row r="262" spans="10:11" ht="14.25">
      <c r="J262" s="61"/>
      <c r="K262" s="61"/>
    </row>
    <row r="263" spans="10:11" ht="14.25">
      <c r="J263" s="61"/>
      <c r="K263" s="61"/>
    </row>
    <row r="264" spans="10:11" ht="14.25">
      <c r="J264" s="61"/>
      <c r="K264" s="61"/>
    </row>
    <row r="265" spans="10:11" ht="14.25">
      <c r="J265" s="61"/>
      <c r="K265" s="61"/>
    </row>
    <row r="266" spans="10:11" ht="14.25">
      <c r="J266" s="61"/>
      <c r="K266" s="61"/>
    </row>
    <row r="267" spans="10:11" ht="14.25">
      <c r="J267" s="61"/>
      <c r="K267" s="61"/>
    </row>
    <row r="268" spans="10:11" ht="14.25">
      <c r="J268" s="61"/>
      <c r="K268" s="61"/>
    </row>
    <row r="269" spans="10:11" ht="14.25">
      <c r="J269" s="61"/>
      <c r="K269" s="61"/>
    </row>
    <row r="270" spans="10:11" ht="14.25">
      <c r="J270" s="61"/>
      <c r="K270" s="61"/>
    </row>
    <row r="271" spans="10:11" ht="14.25">
      <c r="J271" s="61"/>
      <c r="K271" s="61"/>
    </row>
    <row r="272" spans="10:11" ht="14.25">
      <c r="J272" s="61"/>
      <c r="K272" s="61"/>
    </row>
    <row r="273" spans="10:11" ht="14.25">
      <c r="J273" s="61"/>
      <c r="K273" s="61"/>
    </row>
    <row r="274" spans="10:11" ht="14.25">
      <c r="J274" s="61"/>
      <c r="K274" s="61"/>
    </row>
    <row r="275" spans="10:11" ht="14.25">
      <c r="J275" s="61"/>
      <c r="K275" s="61"/>
    </row>
    <row r="276" spans="10:11" ht="14.25">
      <c r="J276" s="61"/>
      <c r="K276" s="61"/>
    </row>
    <row r="277" spans="10:11" ht="14.25">
      <c r="J277" s="61"/>
      <c r="K277" s="61"/>
    </row>
    <row r="278" spans="10:11" ht="14.25">
      <c r="J278" s="61"/>
      <c r="K278" s="61"/>
    </row>
    <row r="279" spans="10:11" ht="14.25">
      <c r="J279" s="61"/>
      <c r="K279" s="61"/>
    </row>
    <row r="280" spans="10:11" ht="14.25">
      <c r="J280" s="61"/>
      <c r="K280" s="61"/>
    </row>
    <row r="281" spans="10:11" ht="14.25">
      <c r="J281" s="61"/>
      <c r="K281" s="61"/>
    </row>
    <row r="282" spans="10:11" ht="14.25">
      <c r="J282" s="61"/>
      <c r="K282" s="61"/>
    </row>
    <row r="283" spans="10:11" ht="14.25">
      <c r="J283" s="61"/>
      <c r="K283" s="61"/>
    </row>
    <row r="284" spans="10:11" ht="14.25">
      <c r="J284" s="61"/>
      <c r="K284" s="61"/>
    </row>
    <row r="285" spans="10:11" ht="14.25">
      <c r="J285" s="61"/>
      <c r="K285" s="61"/>
    </row>
    <row r="286" spans="10:11" ht="14.25">
      <c r="J286" s="61"/>
      <c r="K286" s="61"/>
    </row>
    <row r="287" spans="10:11" ht="14.25">
      <c r="J287" s="61"/>
      <c r="K287" s="61"/>
    </row>
    <row r="288" spans="10:11" ht="14.25">
      <c r="J288" s="61"/>
      <c r="K288" s="61"/>
    </row>
    <row r="289" spans="10:11" ht="14.25">
      <c r="J289" s="61"/>
      <c r="K289" s="61"/>
    </row>
    <row r="290" spans="10:11" ht="14.25">
      <c r="J290" s="61"/>
      <c r="K290" s="61"/>
    </row>
    <row r="291" spans="10:11" ht="14.25">
      <c r="J291" s="61"/>
      <c r="K291" s="61"/>
    </row>
    <row r="292" spans="10:11" ht="14.25">
      <c r="J292" s="61"/>
      <c r="K292" s="61"/>
    </row>
    <row r="293" spans="10:11" ht="14.25">
      <c r="J293" s="61"/>
      <c r="K293" s="61"/>
    </row>
    <row r="294" spans="10:11" ht="14.25">
      <c r="J294" s="61"/>
      <c r="K294" s="61"/>
    </row>
    <row r="295" spans="10:11" ht="14.25">
      <c r="J295" s="61"/>
      <c r="K295" s="61"/>
    </row>
    <row r="296" spans="10:11" ht="14.25">
      <c r="J296" s="61"/>
      <c r="K296" s="61"/>
    </row>
    <row r="297" spans="10:11" ht="14.25">
      <c r="J297" s="61"/>
      <c r="K297" s="61"/>
    </row>
    <row r="298" spans="10:11" ht="14.25">
      <c r="J298" s="61"/>
      <c r="K298" s="61"/>
    </row>
    <row r="299" spans="10:11" ht="14.25">
      <c r="J299" s="61"/>
      <c r="K299" s="61"/>
    </row>
    <row r="300" spans="10:11" ht="14.25">
      <c r="J300" s="61"/>
      <c r="K300" s="61"/>
    </row>
    <row r="301" spans="10:11" ht="14.25">
      <c r="J301" s="61"/>
      <c r="K301" s="61"/>
    </row>
    <row r="302" spans="10:11" ht="14.25">
      <c r="J302" s="61"/>
      <c r="K302" s="61"/>
    </row>
    <row r="303" spans="10:11" ht="14.25">
      <c r="J303" s="61"/>
      <c r="K303" s="61"/>
    </row>
    <row r="304" spans="10:11" ht="14.25">
      <c r="J304" s="61"/>
      <c r="K304" s="61"/>
    </row>
    <row r="305" spans="10:11" ht="14.25">
      <c r="J305" s="61"/>
      <c r="K305" s="61"/>
    </row>
    <row r="306" spans="10:11" ht="14.25">
      <c r="J306" s="61"/>
      <c r="K306" s="61"/>
    </row>
    <row r="307" spans="10:11" ht="14.25">
      <c r="J307" s="61"/>
      <c r="K307" s="61"/>
    </row>
    <row r="308" spans="10:11" ht="14.25">
      <c r="J308" s="61"/>
      <c r="K308" s="61"/>
    </row>
    <row r="309" spans="10:11" ht="14.25">
      <c r="J309" s="61"/>
      <c r="K309" s="61"/>
    </row>
    <row r="310" spans="10:11" ht="14.25">
      <c r="J310" s="61"/>
      <c r="K310" s="61"/>
    </row>
    <row r="311" spans="10:11" ht="14.25">
      <c r="J311" s="61"/>
      <c r="K311" s="61"/>
    </row>
    <row r="312" spans="10:11" ht="14.25">
      <c r="J312" s="61"/>
      <c r="K312" s="61"/>
    </row>
    <row r="313" spans="10:11" ht="14.25">
      <c r="J313" s="61"/>
      <c r="K313" s="61"/>
    </row>
    <row r="314" spans="10:11" ht="14.25">
      <c r="J314" s="61"/>
      <c r="K314" s="61"/>
    </row>
    <row r="315" spans="10:11" ht="14.25">
      <c r="J315" s="61"/>
      <c r="K315" s="61"/>
    </row>
    <row r="316" spans="10:11" ht="14.25">
      <c r="J316" s="61"/>
      <c r="K316" s="61"/>
    </row>
    <row r="317" spans="10:11" ht="14.25">
      <c r="J317" s="61"/>
      <c r="K317" s="61"/>
    </row>
    <row r="318" spans="10:11" ht="14.25">
      <c r="J318" s="61"/>
      <c r="K318" s="61"/>
    </row>
    <row r="319" spans="10:11" ht="14.25">
      <c r="J319" s="61"/>
      <c r="K319" s="61"/>
    </row>
    <row r="320" spans="10:11" ht="14.25">
      <c r="J320" s="61"/>
      <c r="K320" s="61"/>
    </row>
    <row r="321" spans="10:11" ht="14.25">
      <c r="J321" s="61"/>
      <c r="K321" s="61"/>
    </row>
    <row r="322" spans="10:11" ht="14.25">
      <c r="J322" s="61"/>
      <c r="K322" s="61"/>
    </row>
    <row r="323" spans="10:11" ht="14.25">
      <c r="J323" s="61"/>
      <c r="K323" s="61"/>
    </row>
    <row r="324" spans="10:11" ht="14.25">
      <c r="J324" s="61"/>
      <c r="K324" s="61"/>
    </row>
    <row r="325" spans="10:11" ht="14.25">
      <c r="J325" s="61"/>
      <c r="K325" s="61"/>
    </row>
    <row r="326" spans="10:11" ht="14.25">
      <c r="J326" s="61"/>
      <c r="K326" s="61"/>
    </row>
    <row r="327" spans="10:11" ht="14.25">
      <c r="J327" s="61"/>
      <c r="K327" s="61"/>
    </row>
    <row r="328" spans="10:11" ht="14.25">
      <c r="J328" s="61"/>
      <c r="K328" s="61"/>
    </row>
    <row r="329" spans="10:11" ht="14.25">
      <c r="J329" s="61"/>
      <c r="K329" s="61"/>
    </row>
    <row r="330" spans="10:11" ht="14.25">
      <c r="J330" s="61"/>
      <c r="K330" s="61"/>
    </row>
    <row r="331" spans="10:11" ht="14.25">
      <c r="J331" s="61"/>
      <c r="K331" s="61"/>
    </row>
    <row r="332" spans="10:11" ht="14.25">
      <c r="J332" s="61"/>
      <c r="K332" s="61"/>
    </row>
    <row r="333" spans="10:11" ht="14.25">
      <c r="J333" s="61"/>
      <c r="K333" s="61"/>
    </row>
    <row r="334" spans="10:11" ht="14.25">
      <c r="J334" s="61"/>
      <c r="K334" s="61"/>
    </row>
    <row r="335" spans="10:11" ht="14.25">
      <c r="J335" s="61"/>
      <c r="K335" s="61"/>
    </row>
    <row r="336" spans="10:11" ht="14.25">
      <c r="J336" s="61"/>
      <c r="K336" s="61"/>
    </row>
    <row r="337" spans="10:11" ht="14.25">
      <c r="J337" s="61"/>
      <c r="K337" s="61"/>
    </row>
    <row r="338" spans="10:11" ht="14.25">
      <c r="J338" s="61"/>
      <c r="K338" s="61"/>
    </row>
    <row r="339" spans="10:11" ht="14.25">
      <c r="J339" s="61"/>
      <c r="K339" s="61"/>
    </row>
    <row r="340" spans="10:11" ht="14.25">
      <c r="J340" s="61"/>
      <c r="K340" s="61"/>
    </row>
    <row r="341" spans="10:11" ht="14.25">
      <c r="J341" s="61"/>
      <c r="K341" s="61"/>
    </row>
    <row r="342" spans="10:11" ht="14.25">
      <c r="J342" s="61"/>
      <c r="K342" s="61"/>
    </row>
    <row r="343" spans="10:11" ht="14.25">
      <c r="J343" s="61"/>
      <c r="K343" s="61"/>
    </row>
    <row r="344" spans="10:11" ht="14.25">
      <c r="J344" s="61"/>
      <c r="K344" s="61"/>
    </row>
    <row r="345" spans="10:11" ht="14.25">
      <c r="J345" s="61"/>
      <c r="K345" s="61"/>
    </row>
    <row r="346" spans="10:11" ht="14.25">
      <c r="J346" s="61"/>
      <c r="K346" s="61"/>
    </row>
    <row r="347" spans="10:11" ht="14.25">
      <c r="J347" s="61"/>
      <c r="K347" s="61"/>
    </row>
    <row r="348" spans="10:11" ht="14.25">
      <c r="J348" s="61"/>
      <c r="K348" s="61"/>
    </row>
    <row r="349" spans="10:11" ht="14.25">
      <c r="J349" s="61"/>
      <c r="K349" s="61"/>
    </row>
    <row r="350" spans="10:11" ht="14.25">
      <c r="J350" s="61"/>
      <c r="K350" s="61"/>
    </row>
    <row r="351" spans="10:11" ht="14.25">
      <c r="J351" s="61"/>
      <c r="K351" s="61"/>
    </row>
    <row r="352" spans="10:11" ht="14.25">
      <c r="J352" s="61"/>
      <c r="K352" s="61"/>
    </row>
    <row r="353" spans="10:11" ht="14.25">
      <c r="J353" s="61"/>
      <c r="K353" s="61"/>
    </row>
    <row r="354" spans="10:11" ht="14.25">
      <c r="J354" s="61"/>
      <c r="K354" s="61"/>
    </row>
    <row r="355" spans="10:11" ht="14.25">
      <c r="J355" s="61"/>
      <c r="K355" s="61"/>
    </row>
    <row r="356" spans="10:11" ht="14.25">
      <c r="J356" s="61"/>
      <c r="K356" s="61"/>
    </row>
    <row r="357" spans="10:11" ht="14.25">
      <c r="J357" s="61"/>
      <c r="K357" s="61"/>
    </row>
    <row r="358" spans="10:11" ht="14.25">
      <c r="J358" s="61"/>
      <c r="K358" s="61"/>
    </row>
    <row r="359" spans="10:11" ht="14.25">
      <c r="J359" s="61"/>
      <c r="K359" s="61"/>
    </row>
    <row r="360" spans="10:11" ht="14.25">
      <c r="J360" s="61"/>
      <c r="K360" s="61"/>
    </row>
    <row r="361" spans="10:11" ht="14.25">
      <c r="J361" s="61"/>
      <c r="K361" s="61"/>
    </row>
    <row r="362" spans="10:11" ht="14.25">
      <c r="J362" s="61"/>
      <c r="K362" s="61"/>
    </row>
    <row r="363" spans="10:11" ht="14.25">
      <c r="J363" s="61"/>
      <c r="K363" s="61"/>
    </row>
    <row r="364" spans="10:11" ht="14.25">
      <c r="J364" s="61"/>
      <c r="K364" s="61"/>
    </row>
    <row r="365" spans="10:11" ht="14.25">
      <c r="J365" s="61"/>
      <c r="K365" s="61"/>
    </row>
    <row r="366" spans="10:11" ht="14.25">
      <c r="J366" s="61"/>
      <c r="K366" s="61"/>
    </row>
    <row r="367" spans="10:11" ht="14.25">
      <c r="J367" s="61"/>
      <c r="K367" s="61"/>
    </row>
    <row r="368" spans="10:11" ht="14.25">
      <c r="J368" s="61"/>
      <c r="K368" s="61"/>
    </row>
    <row r="369" spans="10:11" ht="14.25">
      <c r="J369" s="61"/>
      <c r="K369" s="61"/>
    </row>
    <row r="370" spans="10:11" ht="14.25">
      <c r="J370" s="61"/>
      <c r="K370" s="61"/>
    </row>
    <row r="371" spans="10:11" ht="14.25">
      <c r="J371" s="61"/>
      <c r="K371" s="61"/>
    </row>
    <row r="372" spans="10:11" ht="14.25">
      <c r="J372" s="61"/>
      <c r="K372" s="61"/>
    </row>
    <row r="373" spans="10:11" ht="14.25">
      <c r="J373" s="61"/>
      <c r="K373" s="61"/>
    </row>
    <row r="374" spans="10:11" ht="14.25">
      <c r="J374" s="61"/>
      <c r="K374" s="61"/>
    </row>
    <row r="375" spans="10:11" ht="14.25">
      <c r="J375" s="61"/>
      <c r="K375" s="61"/>
    </row>
    <row r="376" spans="10:11" ht="14.25">
      <c r="J376" s="61"/>
      <c r="K376" s="61"/>
    </row>
    <row r="377" spans="10:11" ht="14.25">
      <c r="J377" s="61"/>
      <c r="K377" s="61"/>
    </row>
    <row r="378" spans="10:11" ht="14.25">
      <c r="J378" s="61"/>
      <c r="K378" s="61"/>
    </row>
    <row r="379" spans="10:11" ht="14.25">
      <c r="J379" s="61"/>
      <c r="K379" s="61"/>
    </row>
    <row r="380" spans="10:11" ht="14.25">
      <c r="J380" s="61"/>
      <c r="K380" s="61"/>
    </row>
    <row r="381" spans="10:11" ht="14.25">
      <c r="J381" s="61"/>
      <c r="K381" s="61"/>
    </row>
    <row r="382" spans="10:11" ht="14.25">
      <c r="J382" s="61"/>
      <c r="K382" s="61"/>
    </row>
    <row r="383" spans="10:11" ht="14.25">
      <c r="J383" s="61"/>
      <c r="K383" s="61"/>
    </row>
    <row r="384" spans="10:11" ht="14.25">
      <c r="J384" s="61"/>
      <c r="K384" s="61"/>
    </row>
    <row r="385" spans="10:11" ht="14.25">
      <c r="J385" s="61"/>
      <c r="K385" s="61"/>
    </row>
    <row r="386" spans="10:11" ht="14.25">
      <c r="J386" s="61"/>
      <c r="K386" s="61"/>
    </row>
    <row r="387" spans="10:11" ht="14.25">
      <c r="J387" s="61"/>
      <c r="K387" s="61"/>
    </row>
    <row r="388" spans="10:11" ht="14.25">
      <c r="J388" s="61"/>
      <c r="K388" s="61"/>
    </row>
    <row r="389" spans="10:11" ht="14.25">
      <c r="J389" s="61"/>
      <c r="K389" s="61"/>
    </row>
    <row r="390" spans="10:11" ht="14.25">
      <c r="J390" s="61"/>
      <c r="K390" s="61"/>
    </row>
    <row r="391" spans="10:11" ht="14.25">
      <c r="J391" s="61"/>
      <c r="K391" s="61"/>
    </row>
    <row r="392" spans="10:11" ht="14.25">
      <c r="J392" s="61"/>
      <c r="K392" s="61"/>
    </row>
    <row r="393" spans="10:11" ht="14.25">
      <c r="J393" s="61"/>
      <c r="K393" s="61"/>
    </row>
    <row r="394" spans="10:11" ht="14.25">
      <c r="J394" s="61"/>
      <c r="K394" s="61"/>
    </row>
    <row r="395" spans="10:11" ht="14.25">
      <c r="J395" s="61"/>
      <c r="K395" s="61"/>
    </row>
    <row r="396" spans="10:11" ht="14.25">
      <c r="J396" s="61"/>
      <c r="K396" s="61"/>
    </row>
    <row r="397" spans="10:11" ht="14.25">
      <c r="J397" s="61"/>
      <c r="K397" s="61"/>
    </row>
    <row r="398" spans="10:11" ht="14.25">
      <c r="J398" s="61"/>
      <c r="K398" s="61"/>
    </row>
    <row r="399" spans="10:11" ht="14.25">
      <c r="J399" s="61"/>
      <c r="K399" s="61"/>
    </row>
    <row r="400" spans="10:11" ht="14.25">
      <c r="J400" s="61"/>
      <c r="K400" s="61"/>
    </row>
    <row r="401" spans="10:11" ht="14.25">
      <c r="J401" s="61"/>
      <c r="K401" s="61"/>
    </row>
    <row r="402" spans="10:11" ht="14.25">
      <c r="J402" s="61"/>
      <c r="K402" s="61"/>
    </row>
    <row r="403" spans="10:11" ht="14.25">
      <c r="J403" s="61"/>
      <c r="K403" s="61"/>
    </row>
    <row r="404" spans="10:11" ht="14.25">
      <c r="J404" s="61"/>
      <c r="K404" s="61"/>
    </row>
    <row r="405" spans="10:11" ht="14.25">
      <c r="J405" s="61"/>
      <c r="K405" s="61"/>
    </row>
    <row r="406" spans="10:11" ht="14.25">
      <c r="J406" s="61"/>
      <c r="K406" s="61"/>
    </row>
    <row r="407" spans="10:11" ht="14.25">
      <c r="J407" s="61"/>
      <c r="K407" s="61"/>
    </row>
    <row r="408" spans="10:11" ht="14.25">
      <c r="J408" s="61"/>
      <c r="K408" s="61"/>
    </row>
    <row r="409" spans="10:11" ht="14.25">
      <c r="J409" s="61"/>
      <c r="K409" s="61"/>
    </row>
    <row r="410" spans="10:11" ht="14.25">
      <c r="J410" s="61"/>
      <c r="K410" s="61"/>
    </row>
    <row r="411" spans="10:11" ht="14.25">
      <c r="J411" s="61"/>
      <c r="K411" s="61"/>
    </row>
    <row r="412" spans="10:11" ht="14.25">
      <c r="J412" s="61"/>
      <c r="K412" s="61"/>
    </row>
    <row r="413" spans="10:11" ht="14.25">
      <c r="J413" s="61"/>
      <c r="K413" s="61"/>
    </row>
    <row r="414" spans="10:11" ht="14.25">
      <c r="J414" s="61"/>
      <c r="K414" s="61"/>
    </row>
    <row r="415" spans="10:11" ht="14.25">
      <c r="J415" s="61"/>
      <c r="K415" s="61"/>
    </row>
    <row r="416" spans="10:11" ht="14.25">
      <c r="J416" s="61"/>
      <c r="K416" s="61"/>
    </row>
    <row r="417" spans="10:11" ht="14.25">
      <c r="J417" s="61"/>
      <c r="K417" s="61"/>
    </row>
    <row r="418" spans="10:11" ht="14.25">
      <c r="J418" s="61"/>
      <c r="K418" s="61"/>
    </row>
    <row r="419" spans="10:11" ht="14.25">
      <c r="J419" s="61"/>
      <c r="K419" s="61"/>
    </row>
    <row r="420" spans="10:11" ht="14.25">
      <c r="J420" s="61"/>
      <c r="K420" s="61"/>
    </row>
    <row r="421" spans="10:11" ht="14.25">
      <c r="J421" s="61"/>
      <c r="K421" s="61"/>
    </row>
    <row r="422" spans="10:11" ht="14.25">
      <c r="J422" s="61"/>
      <c r="K422" s="61"/>
    </row>
    <row r="423" spans="10:11" ht="14.25">
      <c r="J423" s="61"/>
      <c r="K423" s="61"/>
    </row>
    <row r="424" spans="10:11" ht="14.25">
      <c r="J424" s="61"/>
      <c r="K424" s="61"/>
    </row>
    <row r="425" spans="10:11" ht="14.25">
      <c r="J425" s="61"/>
      <c r="K425" s="61"/>
    </row>
    <row r="426" spans="10:11" ht="14.25">
      <c r="J426" s="61"/>
      <c r="K426" s="61"/>
    </row>
    <row r="427" spans="10:11" ht="14.25">
      <c r="J427" s="61"/>
      <c r="K427" s="61"/>
    </row>
    <row r="428" spans="10:11" ht="14.25">
      <c r="J428" s="61"/>
      <c r="K428" s="61"/>
    </row>
    <row r="429" spans="10:11" ht="14.25">
      <c r="J429" s="61"/>
      <c r="K429" s="61"/>
    </row>
    <row r="430" spans="10:11" ht="14.25">
      <c r="J430" s="61"/>
      <c r="K430" s="61"/>
    </row>
    <row r="431" spans="10:11" ht="14.25">
      <c r="J431" s="61"/>
      <c r="K431" s="61"/>
    </row>
    <row r="432" spans="10:11" ht="14.25">
      <c r="J432" s="61"/>
      <c r="K432" s="61"/>
    </row>
    <row r="433" spans="10:11" ht="14.25">
      <c r="J433" s="61"/>
      <c r="K433" s="61"/>
    </row>
    <row r="434" spans="10:11" ht="14.25">
      <c r="J434" s="61"/>
      <c r="K434" s="61"/>
    </row>
    <row r="435" spans="10:11" ht="14.25">
      <c r="J435" s="61"/>
      <c r="K435" s="61"/>
    </row>
    <row r="436" spans="10:11" ht="14.25">
      <c r="J436" s="61"/>
      <c r="K436" s="61"/>
    </row>
    <row r="437" spans="10:11" ht="14.25">
      <c r="J437" s="61"/>
      <c r="K437" s="61"/>
    </row>
    <row r="438" spans="10:11" ht="14.25">
      <c r="J438" s="61"/>
      <c r="K438" s="61"/>
    </row>
    <row r="439" spans="10:11" ht="14.25">
      <c r="J439" s="61"/>
      <c r="K439" s="61"/>
    </row>
    <row r="440" spans="10:11" ht="14.25">
      <c r="J440" s="61"/>
      <c r="K440" s="61"/>
    </row>
    <row r="441" spans="10:11" ht="14.25">
      <c r="J441" s="61"/>
      <c r="K441" s="61"/>
    </row>
    <row r="442" spans="10:11" ht="14.25">
      <c r="J442" s="61"/>
      <c r="K442" s="61"/>
    </row>
    <row r="443" spans="10:11" ht="14.25">
      <c r="J443" s="61"/>
      <c r="K443" s="61"/>
    </row>
    <row r="444" spans="10:11" ht="14.25">
      <c r="J444" s="61"/>
      <c r="K444" s="61"/>
    </row>
    <row r="445" spans="10:11" ht="14.25">
      <c r="J445" s="61"/>
      <c r="K445" s="61"/>
    </row>
    <row r="446" spans="10:11" ht="14.25">
      <c r="J446" s="61"/>
      <c r="K446" s="61"/>
    </row>
    <row r="447" spans="10:11" ht="14.25">
      <c r="J447" s="61"/>
      <c r="K447" s="61"/>
    </row>
    <row r="448" spans="10:11" ht="14.25">
      <c r="J448" s="61"/>
      <c r="K448" s="61"/>
    </row>
    <row r="449" spans="10:11" ht="14.25">
      <c r="J449" s="61"/>
      <c r="K449" s="61"/>
    </row>
    <row r="450" spans="10:11" ht="14.25">
      <c r="J450" s="61"/>
      <c r="K450" s="61"/>
    </row>
    <row r="451" spans="10:11" ht="14.25">
      <c r="J451" s="61"/>
      <c r="K451" s="61"/>
    </row>
    <row r="452" spans="10:11" ht="14.25">
      <c r="J452" s="61"/>
      <c r="K452" s="61"/>
    </row>
    <row r="453" spans="10:11" ht="14.25">
      <c r="J453" s="61"/>
      <c r="K453" s="61"/>
    </row>
    <row r="454" spans="10:11" ht="14.25">
      <c r="J454" s="61"/>
      <c r="K454" s="61"/>
    </row>
    <row r="455" spans="10:11" ht="14.25">
      <c r="J455" s="61"/>
      <c r="K455" s="61"/>
    </row>
    <row r="456" spans="10:11" ht="14.25">
      <c r="J456" s="61"/>
      <c r="K456" s="61"/>
    </row>
    <row r="457" spans="10:11" ht="14.25">
      <c r="J457" s="61"/>
      <c r="K457" s="61"/>
    </row>
    <row r="458" spans="10:11" ht="14.25">
      <c r="J458" s="61"/>
      <c r="K458" s="61"/>
    </row>
    <row r="459" spans="10:11" ht="14.25">
      <c r="J459" s="61"/>
      <c r="K459" s="61"/>
    </row>
    <row r="460" spans="10:11" ht="14.25">
      <c r="J460" s="61"/>
      <c r="K460" s="61"/>
    </row>
    <row r="461" spans="10:11" ht="14.25">
      <c r="J461" s="61"/>
      <c r="K461" s="61"/>
    </row>
    <row r="462" spans="10:11" ht="14.25">
      <c r="J462" s="61"/>
      <c r="K462" s="61"/>
    </row>
    <row r="463" spans="10:11" ht="14.25">
      <c r="J463" s="61"/>
      <c r="K463" s="61"/>
    </row>
    <row r="464" spans="10:11" ht="14.25">
      <c r="J464" s="61"/>
      <c r="K464" s="61"/>
    </row>
    <row r="465" spans="10:11" ht="14.25">
      <c r="J465" s="61"/>
      <c r="K465" s="61"/>
    </row>
    <row r="466" spans="10:11" ht="14.25">
      <c r="J466" s="61"/>
      <c r="K466" s="61"/>
    </row>
    <row r="467" spans="10:11" ht="14.25">
      <c r="J467" s="61"/>
      <c r="K467" s="61"/>
    </row>
    <row r="468" spans="10:11" ht="14.25">
      <c r="J468" s="61"/>
      <c r="K468" s="61"/>
    </row>
    <row r="469" spans="10:11" ht="14.25">
      <c r="J469" s="61"/>
      <c r="K469" s="61"/>
    </row>
    <row r="470" spans="10:11" ht="14.25">
      <c r="J470" s="61"/>
      <c r="K470" s="61"/>
    </row>
    <row r="471" spans="10:11" ht="14.25">
      <c r="J471" s="61"/>
      <c r="K471" s="61"/>
    </row>
    <row r="472" spans="10:11" ht="14.25">
      <c r="J472" s="61"/>
      <c r="K472" s="61"/>
    </row>
    <row r="473" spans="10:11" ht="14.25">
      <c r="J473" s="61"/>
      <c r="K473" s="61"/>
    </row>
    <row r="474" spans="10:11" ht="14.25">
      <c r="J474" s="61"/>
      <c r="K474" s="61"/>
    </row>
    <row r="475" spans="10:11" ht="14.25">
      <c r="J475" s="61"/>
      <c r="K475" s="61"/>
    </row>
    <row r="476" spans="10:11" ht="14.25">
      <c r="J476" s="61"/>
      <c r="K476" s="61"/>
    </row>
    <row r="477" spans="10:11" ht="14.25">
      <c r="J477" s="61"/>
      <c r="K477" s="61"/>
    </row>
    <row r="478" spans="10:11" ht="14.25">
      <c r="J478" s="61"/>
      <c r="K478" s="61"/>
    </row>
    <row r="479" spans="10:11" ht="14.25">
      <c r="J479" s="61"/>
      <c r="K479" s="61"/>
    </row>
    <row r="480" spans="10:11" ht="14.25">
      <c r="J480" s="61"/>
      <c r="K480" s="61"/>
    </row>
    <row r="481" spans="10:11" ht="14.25">
      <c r="J481" s="61"/>
      <c r="K481" s="61"/>
    </row>
    <row r="482" spans="10:11" ht="14.25">
      <c r="J482" s="61"/>
      <c r="K482" s="61"/>
    </row>
    <row r="483" spans="10:11" ht="14.25">
      <c r="J483" s="61"/>
      <c r="K483" s="61"/>
    </row>
    <row r="484" spans="10:11" ht="14.25">
      <c r="J484" s="61"/>
      <c r="K484" s="61"/>
    </row>
    <row r="485" spans="10:11" ht="14.25">
      <c r="J485" s="61"/>
      <c r="K485" s="61"/>
    </row>
    <row r="486" spans="10:11" ht="14.25">
      <c r="J486" s="61"/>
      <c r="K486" s="61"/>
    </row>
    <row r="487" spans="10:11" ht="14.25">
      <c r="J487" s="61"/>
      <c r="K487" s="61"/>
    </row>
    <row r="488" spans="10:11" ht="14.25">
      <c r="J488" s="61"/>
      <c r="K488" s="61"/>
    </row>
    <row r="489" spans="10:11" ht="14.25">
      <c r="J489" s="61"/>
      <c r="K489" s="61"/>
    </row>
    <row r="490" spans="10:11" ht="14.25">
      <c r="J490" s="61"/>
      <c r="K490" s="61"/>
    </row>
    <row r="491" spans="10:11" ht="14.25">
      <c r="J491" s="61"/>
      <c r="K491" s="61"/>
    </row>
    <row r="492" spans="10:11" ht="14.25">
      <c r="J492" s="61"/>
      <c r="K492" s="61"/>
    </row>
    <row r="493" spans="10:11" ht="14.25">
      <c r="J493" s="61"/>
      <c r="K493" s="61"/>
    </row>
    <row r="494" spans="10:11" ht="14.25">
      <c r="J494" s="61"/>
      <c r="K494" s="61"/>
    </row>
    <row r="495" spans="10:11" ht="14.25">
      <c r="J495" s="61"/>
      <c r="K495" s="61"/>
    </row>
    <row r="496" spans="10:11" ht="14.25">
      <c r="J496" s="61"/>
      <c r="K496" s="61"/>
    </row>
    <row r="497" spans="10:11" ht="14.25">
      <c r="J497" s="61"/>
      <c r="K497" s="61"/>
    </row>
    <row r="498" spans="10:11" ht="14.25">
      <c r="J498" s="61"/>
      <c r="K498" s="61"/>
    </row>
    <row r="499" spans="10:11" ht="14.25">
      <c r="J499" s="61"/>
      <c r="K499" s="61"/>
    </row>
    <row r="500" spans="10:11" ht="14.25">
      <c r="J500" s="61"/>
      <c r="K500" s="61"/>
    </row>
    <row r="501" spans="10:11" ht="14.25">
      <c r="J501" s="61"/>
      <c r="K501" s="61"/>
    </row>
    <row r="502" spans="10:11" ht="14.25">
      <c r="J502" s="61"/>
      <c r="K502" s="61"/>
    </row>
    <row r="503" spans="10:11" ht="14.25">
      <c r="J503" s="61"/>
      <c r="K503" s="61"/>
    </row>
    <row r="504" spans="10:11" ht="14.25">
      <c r="J504" s="61"/>
      <c r="K504" s="61"/>
    </row>
    <row r="505" spans="10:11" ht="14.25">
      <c r="J505" s="61"/>
      <c r="K505" s="61"/>
    </row>
    <row r="506" spans="10:11" ht="14.25">
      <c r="J506" s="61"/>
      <c r="K506" s="61"/>
    </row>
    <row r="507" spans="10:11" ht="14.25">
      <c r="J507" s="61"/>
      <c r="K507" s="61"/>
    </row>
    <row r="508" spans="10:11" ht="14.25">
      <c r="J508" s="61"/>
      <c r="K508" s="61"/>
    </row>
    <row r="509" spans="10:11" ht="14.25">
      <c r="J509" s="61"/>
      <c r="K509" s="61"/>
    </row>
    <row r="510" spans="10:11" ht="14.25">
      <c r="J510" s="61"/>
      <c r="K510" s="61"/>
    </row>
    <row r="511" spans="10:11" ht="14.25">
      <c r="J511" s="61"/>
      <c r="K511" s="61"/>
    </row>
    <row r="512" spans="10:11" ht="14.25">
      <c r="J512" s="61"/>
      <c r="K512" s="61"/>
    </row>
    <row r="513" spans="10:11" ht="14.25">
      <c r="J513" s="61"/>
      <c r="K513" s="61"/>
    </row>
    <row r="514" spans="10:11" ht="14.25">
      <c r="J514" s="61"/>
      <c r="K514" s="61"/>
    </row>
    <row r="515" spans="10:11" ht="14.25">
      <c r="J515" s="61"/>
      <c r="K515" s="61"/>
    </row>
    <row r="516" spans="10:11" ht="14.25">
      <c r="J516" s="61"/>
      <c r="K516" s="61"/>
    </row>
    <row r="517" spans="10:11" ht="14.25">
      <c r="J517" s="61"/>
      <c r="K517" s="61"/>
    </row>
    <row r="518" spans="10:11" ht="14.25">
      <c r="J518" s="61"/>
      <c r="K518" s="61"/>
    </row>
    <row r="519" spans="10:11" ht="14.25">
      <c r="J519" s="61"/>
      <c r="K519" s="61"/>
    </row>
    <row r="520" spans="10:11" ht="14.25">
      <c r="J520" s="61"/>
      <c r="K520" s="61"/>
    </row>
    <row r="521" spans="10:11" ht="14.25">
      <c r="J521" s="61"/>
      <c r="K521" s="61"/>
    </row>
    <row r="522" spans="10:11" ht="14.25">
      <c r="J522" s="61"/>
      <c r="K522" s="61"/>
    </row>
    <row r="523" spans="10:11" ht="14.25">
      <c r="J523" s="61"/>
      <c r="K523" s="61"/>
    </row>
    <row r="524" spans="10:11" ht="14.25">
      <c r="J524" s="61"/>
      <c r="K524" s="61"/>
    </row>
    <row r="525" spans="10:11" ht="14.25">
      <c r="J525" s="61"/>
      <c r="K525" s="61"/>
    </row>
    <row r="526" spans="10:11" ht="14.25">
      <c r="J526" s="61"/>
      <c r="K526" s="61"/>
    </row>
    <row r="527" spans="10:11" ht="14.25">
      <c r="J527" s="61"/>
      <c r="K527" s="61"/>
    </row>
    <row r="528" spans="10:11" ht="14.25">
      <c r="J528" s="61"/>
      <c r="K528" s="61"/>
    </row>
    <row r="529" spans="10:11" ht="14.25">
      <c r="J529" s="61"/>
      <c r="K529" s="61"/>
    </row>
    <row r="530" spans="10:11" ht="14.25">
      <c r="J530" s="61"/>
      <c r="K530" s="61"/>
    </row>
    <row r="531" spans="10:11" ht="14.25">
      <c r="J531" s="61"/>
      <c r="K531" s="61"/>
    </row>
    <row r="532" spans="10:11" ht="14.25">
      <c r="J532" s="61"/>
      <c r="K532" s="61"/>
    </row>
    <row r="533" spans="10:11" ht="14.25">
      <c r="J533" s="61"/>
      <c r="K533" s="61"/>
    </row>
    <row r="534" spans="10:11" ht="14.25">
      <c r="J534" s="61"/>
      <c r="K534" s="61"/>
    </row>
    <row r="535" spans="10:11" ht="14.25">
      <c r="J535" s="61"/>
      <c r="K535" s="61"/>
    </row>
    <row r="536" spans="10:11" ht="14.25">
      <c r="J536" s="61"/>
      <c r="K536" s="61"/>
    </row>
    <row r="537" spans="10:11" ht="14.25">
      <c r="J537" s="61"/>
      <c r="K537" s="61"/>
    </row>
    <row r="538" spans="10:11" ht="14.25">
      <c r="J538" s="61"/>
      <c r="K538" s="61"/>
    </row>
    <row r="539" spans="10:11" ht="14.25">
      <c r="J539" s="61"/>
      <c r="K539" s="61"/>
    </row>
    <row r="540" spans="10:11" ht="14.25">
      <c r="J540" s="61"/>
      <c r="K540" s="61"/>
    </row>
    <row r="541" spans="10:11" ht="14.25">
      <c r="J541" s="61"/>
      <c r="K541" s="61"/>
    </row>
    <row r="542" spans="10:11" ht="14.25">
      <c r="J542" s="61"/>
      <c r="K542" s="61"/>
    </row>
    <row r="543" spans="10:11" ht="14.25">
      <c r="J543" s="61"/>
      <c r="K543" s="61"/>
    </row>
    <row r="544" spans="10:11" ht="14.25">
      <c r="J544" s="61"/>
      <c r="K544" s="61"/>
    </row>
    <row r="545" spans="10:11" ht="14.25">
      <c r="J545" s="61"/>
      <c r="K545" s="61"/>
    </row>
    <row r="546" spans="10:11" ht="14.25">
      <c r="J546" s="61"/>
      <c r="K546" s="61"/>
    </row>
    <row r="547" spans="10:11" ht="14.25">
      <c r="J547" s="61"/>
      <c r="K547" s="61"/>
    </row>
    <row r="548" spans="10:11" ht="14.25">
      <c r="J548" s="61"/>
      <c r="K548" s="61"/>
    </row>
    <row r="549" spans="10:11" ht="14.25">
      <c r="J549" s="61"/>
      <c r="K549" s="61"/>
    </row>
    <row r="550" spans="10:11" ht="14.25">
      <c r="J550" s="61"/>
      <c r="K550" s="61"/>
    </row>
    <row r="551" spans="10:11" ht="14.25">
      <c r="J551" s="61"/>
      <c r="K551" s="61"/>
    </row>
    <row r="552" spans="10:11" ht="14.25">
      <c r="J552" s="61"/>
      <c r="K552" s="61"/>
    </row>
    <row r="553" spans="10:11" ht="14.25">
      <c r="J553" s="61"/>
      <c r="K553" s="61"/>
    </row>
    <row r="554" spans="10:11" ht="14.25">
      <c r="J554" s="61"/>
      <c r="K554" s="61"/>
    </row>
    <row r="555" spans="10:11" ht="14.25">
      <c r="J555" s="61"/>
      <c r="K555" s="61"/>
    </row>
    <row r="556" spans="10:11" ht="14.25">
      <c r="J556" s="61"/>
      <c r="K556" s="61"/>
    </row>
    <row r="557" spans="10:11" ht="14.25">
      <c r="J557" s="61"/>
      <c r="K557" s="61"/>
    </row>
    <row r="558" spans="10:11" ht="14.25">
      <c r="J558" s="61"/>
      <c r="K558" s="61"/>
    </row>
    <row r="559" spans="10:11" ht="14.25">
      <c r="J559" s="61"/>
      <c r="K559" s="61"/>
    </row>
    <row r="560" spans="10:11" ht="14.25">
      <c r="J560" s="61"/>
      <c r="K560" s="61"/>
    </row>
    <row r="561" spans="10:11" ht="14.25">
      <c r="J561" s="61"/>
      <c r="K561" s="61"/>
    </row>
    <row r="562" spans="10:11" ht="14.25">
      <c r="J562" s="61"/>
      <c r="K562" s="61"/>
    </row>
    <row r="563" spans="10:11" ht="14.25">
      <c r="J563" s="61"/>
      <c r="K563" s="61"/>
    </row>
    <row r="564" spans="10:11" ht="14.25">
      <c r="J564" s="61"/>
      <c r="K564" s="61"/>
    </row>
    <row r="565" spans="10:11" ht="14.25">
      <c r="J565" s="61"/>
      <c r="K565" s="61"/>
    </row>
    <row r="566" spans="10:11" ht="14.25">
      <c r="J566" s="61"/>
      <c r="K566" s="61"/>
    </row>
    <row r="567" spans="10:11" ht="14.25">
      <c r="J567" s="61"/>
      <c r="K567" s="61"/>
    </row>
    <row r="568" spans="10:11" ht="14.25">
      <c r="J568" s="61"/>
      <c r="K568" s="61"/>
    </row>
    <row r="569" spans="10:11" ht="14.25">
      <c r="J569" s="61"/>
      <c r="K569" s="61"/>
    </row>
    <row r="570" spans="10:11" ht="14.25">
      <c r="J570" s="61"/>
      <c r="K570" s="61"/>
    </row>
    <row r="571" spans="10:11" ht="14.25">
      <c r="J571" s="61"/>
      <c r="K571" s="61"/>
    </row>
    <row r="572" spans="10:11" ht="14.25">
      <c r="J572" s="61"/>
      <c r="K572" s="61"/>
    </row>
    <row r="573" spans="10:11" ht="14.25">
      <c r="J573" s="61"/>
      <c r="K573" s="61"/>
    </row>
    <row r="574" spans="10:11" ht="14.25">
      <c r="J574" s="61"/>
      <c r="K574" s="61"/>
    </row>
    <row r="575" spans="10:11" ht="14.25">
      <c r="J575" s="61"/>
      <c r="K575" s="61"/>
    </row>
    <row r="576" spans="10:11" ht="14.25">
      <c r="J576" s="61"/>
      <c r="K576" s="61"/>
    </row>
    <row r="577" spans="10:11" ht="14.25">
      <c r="J577" s="61"/>
      <c r="K577" s="61"/>
    </row>
    <row r="578" spans="10:11" ht="14.25">
      <c r="J578" s="61"/>
      <c r="K578" s="61"/>
    </row>
    <row r="579" spans="10:11" ht="14.25">
      <c r="J579" s="61"/>
      <c r="K579" s="61"/>
    </row>
    <row r="580" spans="10:11" ht="14.25">
      <c r="J580" s="61"/>
      <c r="K580" s="61"/>
    </row>
    <row r="581" spans="10:11" ht="14.25">
      <c r="J581" s="61"/>
      <c r="K581" s="61"/>
    </row>
    <row r="582" spans="10:11" ht="14.25">
      <c r="J582" s="61"/>
      <c r="K582" s="61"/>
    </row>
    <row r="583" spans="10:11" ht="14.25">
      <c r="J583" s="61"/>
      <c r="K583" s="61"/>
    </row>
    <row r="584" spans="10:11" ht="14.25">
      <c r="J584" s="61"/>
      <c r="K584" s="61"/>
    </row>
    <row r="585" spans="10:11" ht="14.25">
      <c r="J585" s="61"/>
      <c r="K585" s="61"/>
    </row>
    <row r="586" spans="10:11" ht="14.25">
      <c r="J586" s="61"/>
      <c r="K586" s="61"/>
    </row>
    <row r="587" spans="10:11" ht="14.25">
      <c r="J587" s="61"/>
      <c r="K587" s="61"/>
    </row>
    <row r="588" spans="10:11" ht="14.25">
      <c r="J588" s="61"/>
      <c r="K588" s="61"/>
    </row>
    <row r="589" spans="10:11" ht="14.25">
      <c r="J589" s="61"/>
      <c r="K589" s="61"/>
    </row>
    <row r="590" spans="10:11" ht="14.25">
      <c r="J590" s="61"/>
      <c r="K590" s="61"/>
    </row>
    <row r="591" spans="10:11" ht="14.25">
      <c r="J591" s="61"/>
      <c r="K591" s="61"/>
    </row>
    <row r="592" spans="10:11" ht="14.25">
      <c r="J592" s="61"/>
      <c r="K592" s="61"/>
    </row>
    <row r="593" spans="10:11" ht="14.25">
      <c r="J593" s="61"/>
      <c r="K593" s="61"/>
    </row>
    <row r="594" spans="10:11" ht="14.25">
      <c r="J594" s="61"/>
      <c r="K594" s="61"/>
    </row>
    <row r="595" spans="10:11" ht="14.25">
      <c r="J595" s="61"/>
      <c r="K595" s="61"/>
    </row>
    <row r="596" spans="10:11" ht="14.25">
      <c r="J596" s="61"/>
      <c r="K596" s="61"/>
    </row>
    <row r="597" spans="10:11" ht="14.25">
      <c r="J597" s="61"/>
      <c r="K597" s="61"/>
    </row>
    <row r="598" spans="10:11" ht="14.25">
      <c r="J598" s="61"/>
      <c r="K598" s="61"/>
    </row>
    <row r="599" spans="10:11" ht="14.25">
      <c r="J599" s="61"/>
      <c r="K599" s="61"/>
    </row>
    <row r="600" spans="10:11" ht="14.25">
      <c r="J600" s="61"/>
      <c r="K600" s="61"/>
    </row>
    <row r="601" spans="10:11" ht="14.25">
      <c r="J601" s="61"/>
      <c r="K601" s="61"/>
    </row>
    <row r="602" spans="10:11" ht="14.25">
      <c r="J602" s="61"/>
      <c r="K602" s="61"/>
    </row>
    <row r="603" spans="10:11" ht="14.25">
      <c r="J603" s="61"/>
      <c r="K603" s="61"/>
    </row>
    <row r="604" spans="10:11" ht="14.25">
      <c r="J604" s="61"/>
      <c r="K604" s="61"/>
    </row>
    <row r="605" spans="10:11" ht="14.25">
      <c r="J605" s="61"/>
      <c r="K605" s="61"/>
    </row>
    <row r="606" spans="10:11" ht="14.25">
      <c r="J606" s="61"/>
      <c r="K606" s="61"/>
    </row>
    <row r="607" spans="10:11" ht="14.25">
      <c r="J607" s="61"/>
      <c r="K607" s="61"/>
    </row>
    <row r="608" spans="10:11" ht="14.25">
      <c r="J608" s="61"/>
      <c r="K608" s="61"/>
    </row>
    <row r="609" spans="10:11" ht="14.25">
      <c r="J609" s="61"/>
      <c r="K609" s="61"/>
    </row>
    <row r="610" spans="10:11" ht="14.25">
      <c r="J610" s="61"/>
      <c r="K610" s="61"/>
    </row>
    <row r="611" spans="10:11" ht="14.25">
      <c r="J611" s="61"/>
      <c r="K611" s="61"/>
    </row>
    <row r="612" spans="10:11" ht="14.25">
      <c r="J612" s="61"/>
      <c r="K612" s="61"/>
    </row>
    <row r="613" spans="10:11" ht="14.25">
      <c r="J613" s="61"/>
      <c r="K613" s="61"/>
    </row>
    <row r="614" spans="10:11" ht="14.25">
      <c r="J614" s="61"/>
      <c r="K614" s="61"/>
    </row>
    <row r="615" spans="10:11" ht="14.25">
      <c r="J615" s="61"/>
      <c r="K615" s="61"/>
    </row>
    <row r="616" spans="10:11" ht="14.25">
      <c r="J616" s="61"/>
      <c r="K616" s="61"/>
    </row>
    <row r="617" spans="10:11" ht="14.25">
      <c r="J617" s="61"/>
      <c r="K617" s="61"/>
    </row>
    <row r="618" spans="10:11" ht="14.25">
      <c r="J618" s="61"/>
      <c r="K618" s="61"/>
    </row>
    <row r="619" spans="10:11" ht="14.25">
      <c r="J619" s="61"/>
      <c r="K619" s="61"/>
    </row>
    <row r="620" spans="10:11" ht="14.25">
      <c r="J620" s="61"/>
      <c r="K620" s="61"/>
    </row>
    <row r="621" spans="10:11" ht="14.25">
      <c r="J621" s="61"/>
      <c r="K621" s="61"/>
    </row>
    <row r="622" spans="10:11" ht="14.25">
      <c r="J622" s="61"/>
      <c r="K622" s="61"/>
    </row>
    <row r="623" spans="10:11" ht="14.25">
      <c r="J623" s="61"/>
      <c r="K623" s="61"/>
    </row>
    <row r="624" spans="10:11" ht="14.25">
      <c r="J624" s="61"/>
      <c r="K624" s="61"/>
    </row>
    <row r="625" spans="10:11" ht="14.25">
      <c r="J625" s="61"/>
      <c r="K625" s="61"/>
    </row>
    <row r="626" spans="10:11" ht="14.25">
      <c r="J626" s="61"/>
      <c r="K626" s="61"/>
    </row>
    <row r="627" spans="10:11" ht="14.25">
      <c r="J627" s="61"/>
      <c r="K627" s="61"/>
    </row>
    <row r="628" spans="10:11" ht="14.25">
      <c r="J628" s="61"/>
      <c r="K628" s="61"/>
    </row>
    <row r="629" spans="10:11" ht="14.25">
      <c r="J629" s="61"/>
      <c r="K629" s="61"/>
    </row>
    <row r="630" spans="10:11" ht="14.25">
      <c r="J630" s="61"/>
      <c r="K630" s="61"/>
    </row>
    <row r="631" spans="10:11" ht="14.25">
      <c r="J631" s="61"/>
      <c r="K631" s="61"/>
    </row>
    <row r="632" spans="10:11" ht="14.25">
      <c r="J632" s="61"/>
      <c r="K632" s="61"/>
    </row>
    <row r="633" spans="10:11" ht="14.25">
      <c r="J633" s="61"/>
      <c r="K633" s="61"/>
    </row>
    <row r="634" spans="10:11" ht="14.25">
      <c r="J634" s="61"/>
      <c r="K634" s="61"/>
    </row>
    <row r="635" spans="10:11" ht="14.25">
      <c r="J635" s="61"/>
      <c r="K635" s="61"/>
    </row>
    <row r="636" spans="10:11" ht="14.25">
      <c r="J636" s="61"/>
      <c r="K636" s="61"/>
    </row>
    <row r="637" spans="10:11" ht="14.25">
      <c r="J637" s="61"/>
      <c r="K637" s="61"/>
    </row>
    <row r="638" spans="10:11" ht="14.25">
      <c r="J638" s="61"/>
      <c r="K638" s="61"/>
    </row>
    <row r="639" spans="10:11" ht="14.25">
      <c r="J639" s="61"/>
      <c r="K639" s="61"/>
    </row>
    <row r="640" spans="10:11" ht="14.25">
      <c r="J640" s="61"/>
      <c r="K640" s="61"/>
    </row>
    <row r="641" spans="10:11" ht="14.25">
      <c r="J641" s="61"/>
      <c r="K641" s="61"/>
    </row>
    <row r="642" spans="10:11" ht="14.25">
      <c r="J642" s="61"/>
      <c r="K642" s="61"/>
    </row>
    <row r="643" spans="10:11" ht="14.25">
      <c r="J643" s="61"/>
      <c r="K643" s="61"/>
    </row>
    <row r="644" spans="10:11" ht="14.25">
      <c r="J644" s="61"/>
      <c r="K644" s="61"/>
    </row>
    <row r="645" spans="10:11" ht="14.25">
      <c r="J645" s="61"/>
      <c r="K645" s="61"/>
    </row>
    <row r="646" spans="10:11" ht="14.25">
      <c r="J646" s="61"/>
      <c r="K646" s="61"/>
    </row>
    <row r="647" spans="10:11" ht="14.25">
      <c r="J647" s="61"/>
      <c r="K647" s="61"/>
    </row>
    <row r="648" spans="10:11" ht="14.25">
      <c r="J648" s="61"/>
      <c r="K648" s="61"/>
    </row>
    <row r="649" spans="10:11" ht="14.25">
      <c r="J649" s="61"/>
      <c r="K649" s="61"/>
    </row>
    <row r="650" spans="10:11" ht="14.25">
      <c r="J650" s="61"/>
      <c r="K650" s="61"/>
    </row>
    <row r="651" spans="10:11" ht="14.25">
      <c r="J651" s="61"/>
      <c r="K651" s="61"/>
    </row>
    <row r="652" spans="10:11" ht="14.25">
      <c r="J652" s="61"/>
      <c r="K652" s="61"/>
    </row>
    <row r="653" spans="10:11" ht="14.25">
      <c r="J653" s="61"/>
      <c r="K653" s="61"/>
    </row>
    <row r="654" spans="10:11" ht="14.25">
      <c r="J654" s="61"/>
      <c r="K654" s="61"/>
    </row>
    <row r="655" spans="10:11" ht="14.25">
      <c r="J655" s="61"/>
      <c r="K655" s="61"/>
    </row>
    <row r="656" spans="10:11" ht="14.25">
      <c r="J656" s="61"/>
      <c r="K656" s="61"/>
    </row>
    <row r="657" spans="10:11" ht="14.25">
      <c r="J657" s="61"/>
      <c r="K657" s="61"/>
    </row>
    <row r="658" spans="10:11" ht="14.25">
      <c r="J658" s="61"/>
      <c r="K658" s="61"/>
    </row>
    <row r="659" spans="10:11" ht="14.25">
      <c r="J659" s="61"/>
      <c r="K659" s="61"/>
    </row>
    <row r="660" spans="10:11" ht="14.25">
      <c r="J660" s="61"/>
      <c r="K660" s="61"/>
    </row>
    <row r="661" spans="10:11" ht="14.25">
      <c r="J661" s="61"/>
      <c r="K661" s="61"/>
    </row>
    <row r="662" spans="10:11" ht="14.25">
      <c r="J662" s="61"/>
      <c r="K662" s="61"/>
    </row>
    <row r="663" spans="10:11" ht="14.25">
      <c r="J663" s="61"/>
      <c r="K663" s="61"/>
    </row>
    <row r="664" spans="10:11" ht="14.25">
      <c r="J664" s="61"/>
      <c r="K664" s="61"/>
    </row>
    <row r="665" spans="10:11" ht="14.25">
      <c r="J665" s="61"/>
      <c r="K665" s="61"/>
    </row>
    <row r="666" spans="10:11" ht="14.25">
      <c r="J666" s="61"/>
      <c r="K666" s="61"/>
    </row>
    <row r="667" spans="10:11" ht="14.25">
      <c r="J667" s="61"/>
      <c r="K667" s="61"/>
    </row>
    <row r="668" spans="10:11" ht="14.25">
      <c r="J668" s="61"/>
      <c r="K668" s="61"/>
    </row>
    <row r="669" spans="10:11" ht="14.25">
      <c r="J669" s="61"/>
      <c r="K669" s="61"/>
    </row>
    <row r="670" spans="10:11" ht="14.25">
      <c r="J670" s="61"/>
      <c r="K670" s="61"/>
    </row>
    <row r="671" spans="10:11" ht="14.25">
      <c r="J671" s="61"/>
      <c r="K671" s="61"/>
    </row>
    <row r="672" spans="10:11" ht="14.25">
      <c r="J672" s="61"/>
      <c r="K672" s="61"/>
    </row>
    <row r="673" spans="10:11" ht="14.25">
      <c r="J673" s="61"/>
      <c r="K673" s="61"/>
    </row>
    <row r="674" spans="10:11" ht="14.25">
      <c r="J674" s="61"/>
      <c r="K674" s="61"/>
    </row>
    <row r="675" spans="10:11" ht="14.25">
      <c r="J675" s="61"/>
      <c r="K675" s="61"/>
    </row>
    <row r="676" spans="10:11" ht="14.25">
      <c r="J676" s="61"/>
      <c r="K676" s="61"/>
    </row>
    <row r="677" spans="10:11" ht="14.25">
      <c r="J677" s="61"/>
      <c r="K677" s="61"/>
    </row>
    <row r="678" spans="10:11" ht="14.25">
      <c r="J678" s="61"/>
      <c r="K678" s="61"/>
    </row>
    <row r="679" spans="10:11" ht="14.25">
      <c r="J679" s="61"/>
      <c r="K679" s="61"/>
    </row>
    <row r="680" spans="10:11" ht="14.25">
      <c r="J680" s="61"/>
      <c r="K680" s="61"/>
    </row>
    <row r="681" spans="10:11" ht="14.25">
      <c r="J681" s="61"/>
      <c r="K681" s="61"/>
    </row>
    <row r="682" spans="10:11" ht="14.25">
      <c r="J682" s="61"/>
      <c r="K682" s="61"/>
    </row>
    <row r="683" spans="10:11" ht="14.25">
      <c r="J683" s="61"/>
      <c r="K683" s="61"/>
    </row>
    <row r="684" spans="10:11" ht="14.25">
      <c r="J684" s="61"/>
      <c r="K684" s="61"/>
    </row>
    <row r="685" spans="10:11" ht="14.25">
      <c r="J685" s="61"/>
      <c r="K685" s="61"/>
    </row>
    <row r="686" spans="10:11" ht="14.25">
      <c r="J686" s="61"/>
      <c r="K686" s="61"/>
    </row>
    <row r="687" spans="10:11" ht="14.25">
      <c r="J687" s="61"/>
      <c r="K687" s="61"/>
    </row>
    <row r="688" spans="10:11" ht="14.25">
      <c r="J688" s="61"/>
      <c r="K688" s="61"/>
    </row>
    <row r="689" spans="10:11" ht="14.25">
      <c r="J689" s="61"/>
      <c r="K689" s="61"/>
    </row>
    <row r="690" spans="10:11" ht="14.25">
      <c r="J690" s="61"/>
      <c r="K690" s="61"/>
    </row>
    <row r="691" spans="10:11" ht="14.25">
      <c r="J691" s="61"/>
      <c r="K691" s="61"/>
    </row>
    <row r="692" spans="10:11" ht="14.25">
      <c r="J692" s="61"/>
      <c r="K692" s="61"/>
    </row>
    <row r="693" spans="10:11" ht="14.25">
      <c r="J693" s="61"/>
      <c r="K693" s="61"/>
    </row>
    <row r="694" spans="10:11" ht="14.25">
      <c r="J694" s="61"/>
      <c r="K694" s="61"/>
    </row>
    <row r="695" spans="10:11" ht="14.25">
      <c r="J695" s="61"/>
      <c r="K695" s="61"/>
    </row>
    <row r="696" spans="10:11" ht="14.25">
      <c r="J696" s="61"/>
      <c r="K696" s="61"/>
    </row>
    <row r="697" spans="10:11" ht="14.25">
      <c r="J697" s="61"/>
      <c r="K697" s="61"/>
    </row>
    <row r="698" spans="10:11" ht="14.25">
      <c r="J698" s="61"/>
      <c r="K698" s="61"/>
    </row>
    <row r="699" spans="10:11" ht="14.25">
      <c r="J699" s="61"/>
      <c r="K699" s="61"/>
    </row>
    <row r="700" spans="10:11" ht="14.25">
      <c r="J700" s="61"/>
      <c r="K700" s="61"/>
    </row>
    <row r="701" spans="10:11" ht="14.25">
      <c r="J701" s="61"/>
      <c r="K701" s="61"/>
    </row>
    <row r="702" spans="10:11" ht="14.25">
      <c r="J702" s="61"/>
      <c r="K702" s="61"/>
    </row>
    <row r="703" spans="10:11" ht="14.25">
      <c r="J703" s="61"/>
      <c r="K703" s="61"/>
    </row>
    <row r="704" spans="10:11" ht="14.25">
      <c r="J704" s="61"/>
      <c r="K704" s="61"/>
    </row>
    <row r="705" spans="10:11" ht="14.25">
      <c r="J705" s="61"/>
      <c r="K705" s="61"/>
    </row>
    <row r="706" spans="10:11" ht="14.25">
      <c r="J706" s="61"/>
      <c r="K706" s="61"/>
    </row>
    <row r="707" spans="10:11" ht="14.25">
      <c r="J707" s="61"/>
      <c r="K707" s="61"/>
    </row>
    <row r="708" spans="10:11" ht="14.25">
      <c r="J708" s="61"/>
      <c r="K708" s="61"/>
    </row>
    <row r="709" spans="10:11" ht="14.25">
      <c r="J709" s="61"/>
      <c r="K709" s="61"/>
    </row>
    <row r="710" spans="10:11" ht="14.25">
      <c r="J710" s="61"/>
      <c r="K710" s="61"/>
    </row>
    <row r="711" spans="10:11" ht="14.25">
      <c r="J711" s="61"/>
      <c r="K711" s="61"/>
    </row>
    <row r="712" spans="10:11" ht="14.25">
      <c r="J712" s="61"/>
      <c r="K712" s="61"/>
    </row>
    <row r="713" spans="10:11" ht="14.25">
      <c r="J713" s="61"/>
      <c r="K713" s="61"/>
    </row>
    <row r="714" spans="10:11" ht="14.25">
      <c r="J714" s="61"/>
      <c r="K714" s="61"/>
    </row>
    <row r="715" spans="10:11" ht="14.25">
      <c r="J715" s="61"/>
      <c r="K715" s="61"/>
    </row>
    <row r="716" spans="10:11" ht="14.25">
      <c r="J716" s="61"/>
      <c r="K716" s="61"/>
    </row>
    <row r="717" spans="10:11" ht="14.25">
      <c r="J717" s="61"/>
      <c r="K717" s="61"/>
    </row>
    <row r="718" spans="10:11" ht="14.25">
      <c r="J718" s="61"/>
      <c r="K718" s="61"/>
    </row>
    <row r="719" spans="10:11" ht="14.25">
      <c r="J719" s="61"/>
      <c r="K719" s="61"/>
    </row>
    <row r="720" spans="10:11" ht="14.25">
      <c r="J720" s="61"/>
      <c r="K720" s="61"/>
    </row>
    <row r="721" spans="10:11" ht="14.25">
      <c r="J721" s="61"/>
      <c r="K721" s="61"/>
    </row>
    <row r="722" spans="10:11" ht="14.25">
      <c r="J722" s="61"/>
      <c r="K722" s="61"/>
    </row>
    <row r="723" spans="10:11" ht="14.25">
      <c r="J723" s="61"/>
      <c r="K723" s="61"/>
    </row>
    <row r="724" spans="10:11" ht="14.25">
      <c r="J724" s="61"/>
      <c r="K724" s="61"/>
    </row>
    <row r="725" spans="10:11" ht="14.25">
      <c r="J725" s="61"/>
      <c r="K725" s="61"/>
    </row>
    <row r="726" spans="10:11" ht="14.25">
      <c r="J726" s="61"/>
      <c r="K726" s="61"/>
    </row>
    <row r="727" spans="10:11" ht="14.25">
      <c r="J727" s="61"/>
      <c r="K727" s="61"/>
    </row>
    <row r="728" spans="10:11" ht="14.25">
      <c r="J728" s="61"/>
      <c r="K728" s="61"/>
    </row>
    <row r="729" spans="10:11" ht="14.25">
      <c r="J729" s="61"/>
      <c r="K729" s="61"/>
    </row>
    <row r="730" spans="10:11" ht="14.25">
      <c r="J730" s="61"/>
      <c r="K730" s="61"/>
    </row>
    <row r="731" spans="10:11" ht="14.25">
      <c r="J731" s="61"/>
      <c r="K731" s="61"/>
    </row>
    <row r="732" spans="10:11" ht="14.25">
      <c r="J732" s="61"/>
      <c r="K732" s="61"/>
    </row>
    <row r="733" spans="10:11" ht="14.25">
      <c r="J733" s="61"/>
      <c r="K733" s="61"/>
    </row>
    <row r="734" spans="10:11" ht="14.25">
      <c r="J734" s="61"/>
      <c r="K734" s="61"/>
    </row>
    <row r="735" spans="10:11" ht="14.25">
      <c r="J735" s="61"/>
      <c r="K735" s="61"/>
    </row>
    <row r="736" spans="10:11" ht="14.25">
      <c r="J736" s="61"/>
      <c r="K736" s="61"/>
    </row>
    <row r="737" spans="10:11" ht="14.25">
      <c r="J737" s="61"/>
      <c r="K737" s="61"/>
    </row>
    <row r="738" spans="10:11" ht="14.25">
      <c r="J738" s="61"/>
      <c r="K738" s="61"/>
    </row>
    <row r="739" spans="10:11" ht="14.25">
      <c r="J739" s="61"/>
      <c r="K739" s="61"/>
    </row>
    <row r="740" spans="10:11" ht="14.25">
      <c r="J740" s="61"/>
      <c r="K740" s="61"/>
    </row>
    <row r="741" spans="10:11" ht="14.25">
      <c r="J741" s="61"/>
      <c r="K741" s="61"/>
    </row>
    <row r="742" spans="10:11" ht="14.25">
      <c r="J742" s="61"/>
      <c r="K742" s="61"/>
    </row>
    <row r="743" spans="10:11" ht="14.25">
      <c r="J743" s="61"/>
      <c r="K743" s="61"/>
    </row>
    <row r="744" spans="10:11" ht="14.25">
      <c r="J744" s="61"/>
      <c r="K744" s="61"/>
    </row>
    <row r="745" spans="10:11" ht="14.25">
      <c r="J745" s="61"/>
      <c r="K745" s="61"/>
    </row>
    <row r="746" spans="10:11" ht="14.25">
      <c r="J746" s="61"/>
      <c r="K746" s="61"/>
    </row>
    <row r="747" spans="10:11" ht="14.25">
      <c r="J747" s="61"/>
      <c r="K747" s="61"/>
    </row>
    <row r="748" spans="10:11" ht="14.25">
      <c r="J748" s="61"/>
      <c r="K748" s="61"/>
    </row>
    <row r="749" spans="10:11" ht="14.25">
      <c r="J749" s="61"/>
      <c r="K749" s="61"/>
    </row>
    <row r="750" spans="10:11" ht="14.25">
      <c r="J750" s="61"/>
      <c r="K750" s="61"/>
    </row>
    <row r="751" spans="10:11" ht="14.25">
      <c r="J751" s="61"/>
      <c r="K751" s="61"/>
    </row>
    <row r="752" spans="10:11" ht="14.25">
      <c r="J752" s="61"/>
      <c r="K752" s="61"/>
    </row>
    <row r="753" spans="10:11" ht="14.25">
      <c r="J753" s="61"/>
      <c r="K753" s="61"/>
    </row>
    <row r="754" spans="10:11" ht="14.25">
      <c r="J754" s="61"/>
      <c r="K754" s="61"/>
    </row>
    <row r="755" spans="10:11" ht="14.25">
      <c r="J755" s="61"/>
      <c r="K755" s="61"/>
    </row>
    <row r="756" spans="10:11" ht="14.25">
      <c r="J756" s="61"/>
      <c r="K756" s="61"/>
    </row>
    <row r="757" spans="10:11" ht="14.25">
      <c r="J757" s="61"/>
      <c r="K757" s="61"/>
    </row>
    <row r="758" spans="10:11" ht="14.25">
      <c r="J758" s="61"/>
      <c r="K758" s="61"/>
    </row>
    <row r="759" spans="10:11" ht="14.25">
      <c r="J759" s="61"/>
      <c r="K759" s="61"/>
    </row>
    <row r="760" spans="10:11" ht="14.25">
      <c r="J760" s="61"/>
      <c r="K760" s="61"/>
    </row>
    <row r="761" spans="10:11" ht="14.25">
      <c r="J761" s="61"/>
      <c r="K761" s="61"/>
    </row>
    <row r="762" spans="10:11" ht="14.25">
      <c r="J762" s="61"/>
      <c r="K762" s="61"/>
    </row>
    <row r="763" spans="10:11" ht="14.25">
      <c r="J763" s="61"/>
      <c r="K763" s="61"/>
    </row>
    <row r="764" spans="10:11" ht="14.25">
      <c r="J764" s="61"/>
      <c r="K764" s="61"/>
    </row>
    <row r="765" spans="10:11" ht="14.25">
      <c r="J765" s="61"/>
      <c r="K765" s="61"/>
    </row>
    <row r="766" spans="10:11" ht="14.25">
      <c r="J766" s="61"/>
      <c r="K766" s="61"/>
    </row>
    <row r="767" spans="10:11" ht="14.25">
      <c r="J767" s="61"/>
      <c r="K767" s="61"/>
    </row>
    <row r="768" spans="10:11" ht="14.25">
      <c r="J768" s="61"/>
      <c r="K768" s="61"/>
    </row>
    <row r="769" spans="10:11" ht="14.25">
      <c r="J769" s="61"/>
      <c r="K769" s="61"/>
    </row>
    <row r="770" spans="10:11" ht="14.25">
      <c r="J770" s="61"/>
      <c r="K770" s="61"/>
    </row>
    <row r="771" spans="10:11" ht="14.25">
      <c r="J771" s="61"/>
      <c r="K771" s="61"/>
    </row>
    <row r="772" spans="10:11" ht="14.25">
      <c r="J772" s="61"/>
      <c r="K772" s="61"/>
    </row>
    <row r="773" spans="10:11" ht="14.25">
      <c r="J773" s="61"/>
      <c r="K773" s="61"/>
    </row>
    <row r="774" spans="10:11" ht="14.25">
      <c r="J774" s="61"/>
      <c r="K774" s="61"/>
    </row>
    <row r="775" spans="10:11" ht="14.25">
      <c r="J775" s="61"/>
      <c r="K775" s="61"/>
    </row>
    <row r="776" spans="10:11" ht="14.25">
      <c r="J776" s="61"/>
      <c r="K776" s="61"/>
    </row>
    <row r="777" spans="10:11" ht="14.25">
      <c r="J777" s="61"/>
      <c r="K777" s="61"/>
    </row>
    <row r="778" spans="10:11" ht="14.25">
      <c r="J778" s="61"/>
      <c r="K778" s="61"/>
    </row>
    <row r="779" spans="10:11" ht="14.25">
      <c r="J779" s="61"/>
      <c r="K779" s="61"/>
    </row>
    <row r="780" spans="10:11" ht="14.25">
      <c r="J780" s="61"/>
      <c r="K780" s="61"/>
    </row>
    <row r="781" spans="10:11" ht="14.25">
      <c r="J781" s="61"/>
      <c r="K781" s="61"/>
    </row>
    <row r="782" spans="10:11" ht="14.25">
      <c r="J782" s="61"/>
      <c r="K782" s="61"/>
    </row>
    <row r="783" spans="10:11" ht="14.25">
      <c r="J783" s="61"/>
      <c r="K783" s="61"/>
    </row>
    <row r="784" spans="10:11" ht="14.25">
      <c r="J784" s="61"/>
      <c r="K784" s="61"/>
    </row>
    <row r="785" spans="10:11" ht="14.25">
      <c r="J785" s="61"/>
      <c r="K785" s="61"/>
    </row>
    <row r="786" spans="10:11" ht="14.25">
      <c r="J786" s="61"/>
      <c r="K786" s="61"/>
    </row>
    <row r="787" spans="10:11" ht="14.25">
      <c r="J787" s="61"/>
      <c r="K787" s="61"/>
    </row>
    <row r="788" spans="10:11" ht="14.25">
      <c r="J788" s="61"/>
      <c r="K788" s="61"/>
    </row>
    <row r="789" spans="10:11" ht="14.25">
      <c r="J789" s="61"/>
      <c r="K789" s="61"/>
    </row>
    <row r="790" spans="10:11" ht="14.25">
      <c r="J790" s="61"/>
      <c r="K790" s="61"/>
    </row>
    <row r="791" spans="10:11" ht="14.25">
      <c r="J791" s="61"/>
      <c r="K791" s="61"/>
    </row>
    <row r="792" spans="10:11" ht="14.25">
      <c r="J792" s="61"/>
      <c r="K792" s="61"/>
    </row>
    <row r="793" spans="10:11" ht="14.25">
      <c r="J793" s="61"/>
      <c r="K793" s="61"/>
    </row>
    <row r="794" spans="10:11" ht="14.25">
      <c r="J794" s="61"/>
      <c r="K794" s="61"/>
    </row>
    <row r="795" spans="10:11" ht="14.25">
      <c r="J795" s="61"/>
      <c r="K795" s="61"/>
    </row>
    <row r="796" spans="10:11" ht="14.25">
      <c r="J796" s="61"/>
      <c r="K796" s="61"/>
    </row>
    <row r="797" spans="10:11" ht="14.25">
      <c r="J797" s="61"/>
      <c r="K797" s="61"/>
    </row>
    <row r="798" spans="10:11" ht="14.25">
      <c r="J798" s="61"/>
      <c r="K798" s="61"/>
    </row>
    <row r="799" spans="10:11" ht="14.25">
      <c r="J799" s="61"/>
      <c r="K799" s="61"/>
    </row>
    <row r="800" spans="10:11" ht="14.25">
      <c r="J800" s="61"/>
      <c r="K800" s="61"/>
    </row>
    <row r="801" spans="10:11" ht="14.25">
      <c r="J801" s="61"/>
      <c r="K801" s="61"/>
    </row>
    <row r="802" spans="10:11" ht="14.25">
      <c r="J802" s="61"/>
      <c r="K802" s="61"/>
    </row>
    <row r="803" spans="10:11" ht="14.25">
      <c r="J803" s="61"/>
      <c r="K803" s="61"/>
    </row>
    <row r="804" spans="10:11" ht="14.25">
      <c r="J804" s="61"/>
      <c r="K804" s="61"/>
    </row>
    <row r="805" spans="10:11" ht="14.25">
      <c r="J805" s="61"/>
      <c r="K805" s="61"/>
    </row>
    <row r="806" spans="10:11" ht="14.25">
      <c r="J806" s="61"/>
      <c r="K806" s="61"/>
    </row>
    <row r="807" spans="10:11" ht="14.25">
      <c r="J807" s="61"/>
      <c r="K807" s="61"/>
    </row>
    <row r="808" spans="10:11" ht="14.25">
      <c r="J808" s="61"/>
      <c r="K808" s="61"/>
    </row>
    <row r="809" spans="10:11" ht="14.25">
      <c r="J809" s="61"/>
      <c r="K809" s="61"/>
    </row>
    <row r="810" spans="10:11" ht="14.25">
      <c r="J810" s="61"/>
      <c r="K810" s="61"/>
    </row>
    <row r="811" spans="10:11" ht="14.25">
      <c r="J811" s="61"/>
      <c r="K811" s="61"/>
    </row>
    <row r="812" spans="10:11" ht="14.25">
      <c r="J812" s="61"/>
      <c r="K812" s="61"/>
    </row>
    <row r="813" spans="10:11" ht="14.25">
      <c r="J813" s="61"/>
      <c r="K813" s="61"/>
    </row>
    <row r="814" spans="10:11" ht="14.25">
      <c r="J814" s="61"/>
      <c r="K814" s="61"/>
    </row>
    <row r="815" spans="10:11" ht="14.25">
      <c r="J815" s="61"/>
      <c r="K815" s="61"/>
    </row>
    <row r="816" spans="10:11" ht="14.25">
      <c r="J816" s="61"/>
      <c r="K816" s="61"/>
    </row>
    <row r="817" spans="10:11" ht="14.25">
      <c r="J817" s="61"/>
      <c r="K817" s="61"/>
    </row>
    <row r="818" spans="10:11" ht="14.25">
      <c r="J818" s="61"/>
      <c r="K818" s="61"/>
    </row>
    <row r="819" spans="10:11" ht="14.25">
      <c r="J819" s="61"/>
      <c r="K819" s="61"/>
    </row>
    <row r="820" spans="10:11" ht="14.25">
      <c r="J820" s="61"/>
      <c r="K820" s="61"/>
    </row>
    <row r="821" spans="10:11" ht="14.25">
      <c r="J821" s="61"/>
      <c r="K821" s="61"/>
    </row>
    <row r="822" spans="10:11" ht="14.25">
      <c r="J822" s="61"/>
      <c r="K822" s="61"/>
    </row>
    <row r="823" spans="10:11" ht="14.25">
      <c r="J823" s="61"/>
      <c r="K823" s="61"/>
    </row>
    <row r="824" spans="10:11" ht="14.25">
      <c r="J824" s="61"/>
      <c r="K824" s="61"/>
    </row>
    <row r="825" spans="10:11" ht="14.25">
      <c r="J825" s="61"/>
      <c r="K825" s="61"/>
    </row>
    <row r="826" spans="10:11" ht="14.25">
      <c r="J826" s="61"/>
      <c r="K826" s="61"/>
    </row>
    <row r="827" spans="10:11" ht="14.25">
      <c r="J827" s="61"/>
      <c r="K827" s="61"/>
    </row>
    <row r="828" spans="10:11" ht="14.25">
      <c r="J828" s="61"/>
      <c r="K828" s="61"/>
    </row>
    <row r="829" spans="10:11" ht="14.25">
      <c r="J829" s="61"/>
      <c r="K829" s="61"/>
    </row>
    <row r="830" spans="10:11" ht="14.25">
      <c r="J830" s="61"/>
      <c r="K830" s="61"/>
    </row>
    <row r="831" spans="10:11" ht="14.25">
      <c r="J831" s="61"/>
      <c r="K831" s="61"/>
    </row>
    <row r="832" spans="10:11" ht="14.25">
      <c r="J832" s="61"/>
      <c r="K832" s="61"/>
    </row>
    <row r="833" spans="10:11" ht="14.25">
      <c r="J833" s="61"/>
      <c r="K833" s="61"/>
    </row>
    <row r="834" spans="10:11" ht="14.25">
      <c r="J834" s="61"/>
      <c r="K834" s="61"/>
    </row>
    <row r="835" spans="10:11" ht="14.25">
      <c r="J835" s="61"/>
      <c r="K835" s="61"/>
    </row>
    <row r="836" spans="10:11" ht="14.25">
      <c r="J836" s="61"/>
      <c r="K836" s="61"/>
    </row>
    <row r="837" spans="10:11" ht="14.25">
      <c r="J837" s="61"/>
      <c r="K837" s="61"/>
    </row>
    <row r="838" spans="10:11" ht="14.25">
      <c r="J838" s="61"/>
      <c r="K838" s="61"/>
    </row>
    <row r="839" spans="10:11" ht="14.25">
      <c r="J839" s="61"/>
      <c r="K839" s="61"/>
    </row>
    <row r="840" spans="10:11" ht="14.25">
      <c r="J840" s="61"/>
      <c r="K840" s="61"/>
    </row>
    <row r="841" spans="10:11" ht="14.25">
      <c r="J841" s="61"/>
      <c r="K841" s="61"/>
    </row>
    <row r="842" spans="10:11" ht="14.25">
      <c r="J842" s="61"/>
      <c r="K842" s="61"/>
    </row>
    <row r="843" spans="10:11" ht="14.25">
      <c r="J843" s="61"/>
      <c r="K843" s="61"/>
    </row>
    <row r="844" spans="10:11" ht="14.25">
      <c r="J844" s="61"/>
      <c r="K844" s="61"/>
    </row>
    <row r="845" spans="10:11" ht="14.25">
      <c r="J845" s="61"/>
      <c r="K845" s="61"/>
    </row>
    <row r="846" spans="10:11" ht="14.25">
      <c r="J846" s="61"/>
      <c r="K846" s="61"/>
    </row>
    <row r="847" spans="10:11" ht="14.25">
      <c r="J847" s="61"/>
      <c r="K847" s="61"/>
    </row>
    <row r="848" spans="10:11" ht="14.25">
      <c r="J848" s="61"/>
      <c r="K848" s="61"/>
    </row>
    <row r="849" spans="10:11" ht="14.25">
      <c r="J849" s="61"/>
      <c r="K849" s="61"/>
    </row>
    <row r="850" spans="10:11" ht="14.25">
      <c r="J850" s="61"/>
      <c r="K850" s="61"/>
    </row>
    <row r="851" spans="10:11" ht="14.25">
      <c r="J851" s="61"/>
      <c r="K851" s="61"/>
    </row>
    <row r="852" spans="10:11" ht="14.25">
      <c r="J852" s="61"/>
      <c r="K852" s="61"/>
    </row>
    <row r="853" spans="10:11" ht="14.25">
      <c r="J853" s="61"/>
      <c r="K853" s="61"/>
    </row>
    <row r="854" spans="10:11" ht="14.25">
      <c r="J854" s="61"/>
      <c r="K854" s="61"/>
    </row>
    <row r="855" spans="10:11" ht="14.25">
      <c r="J855" s="61"/>
      <c r="K855" s="61"/>
    </row>
    <row r="856" spans="10:11" ht="14.25">
      <c r="J856" s="61"/>
      <c r="K856" s="61"/>
    </row>
    <row r="857" spans="10:11" ht="14.25">
      <c r="J857" s="61"/>
      <c r="K857" s="61"/>
    </row>
    <row r="858" spans="10:11" ht="14.25">
      <c r="J858" s="61"/>
      <c r="K858" s="61"/>
    </row>
    <row r="859" spans="10:11" ht="14.25">
      <c r="J859" s="61"/>
      <c r="K859" s="61"/>
    </row>
    <row r="860" spans="10:11" ht="14.25">
      <c r="J860" s="61"/>
      <c r="K860" s="61"/>
    </row>
    <row r="861" spans="10:11" ht="14.25">
      <c r="J861" s="61"/>
      <c r="K861" s="61"/>
    </row>
    <row r="862" spans="10:11" ht="14.25">
      <c r="J862" s="61"/>
      <c r="K862" s="61"/>
    </row>
    <row r="863" spans="10:11" ht="14.25">
      <c r="J863" s="61"/>
      <c r="K863" s="61"/>
    </row>
    <row r="864" spans="10:11" ht="14.25">
      <c r="J864" s="61"/>
      <c r="K864" s="61"/>
    </row>
    <row r="865" spans="10:11" ht="14.25">
      <c r="J865" s="61"/>
      <c r="K865" s="61"/>
    </row>
    <row r="866" spans="10:11" ht="14.25">
      <c r="J866" s="61"/>
      <c r="K866" s="61"/>
    </row>
    <row r="867" spans="10:11" ht="14.25">
      <c r="J867" s="61"/>
      <c r="K867" s="61"/>
    </row>
    <row r="868" spans="10:11" ht="14.25">
      <c r="J868" s="61"/>
      <c r="K868" s="61"/>
    </row>
    <row r="869" spans="10:11" ht="14.25">
      <c r="J869" s="61"/>
      <c r="K869" s="61"/>
    </row>
    <row r="870" spans="10:11" ht="14.25">
      <c r="J870" s="61"/>
      <c r="K870" s="61"/>
    </row>
    <row r="871" spans="10:11" ht="14.25">
      <c r="J871" s="61"/>
      <c r="K871" s="61"/>
    </row>
    <row r="872" spans="10:11" ht="14.25">
      <c r="J872" s="61"/>
      <c r="K872" s="61"/>
    </row>
    <row r="873" spans="10:11" ht="14.25">
      <c r="J873" s="61"/>
      <c r="K873" s="61"/>
    </row>
    <row r="874" spans="10:11" ht="14.25">
      <c r="J874" s="61"/>
      <c r="K874" s="61"/>
    </row>
    <row r="875" spans="10:11" ht="14.25">
      <c r="J875" s="61"/>
      <c r="K875" s="61"/>
    </row>
    <row r="876" spans="10:11" ht="14.25">
      <c r="J876" s="61"/>
      <c r="K876" s="61"/>
    </row>
    <row r="877" spans="10:11" ht="14.25">
      <c r="J877" s="61"/>
      <c r="K877" s="61"/>
    </row>
    <row r="878" spans="10:11" ht="14.25">
      <c r="J878" s="61"/>
      <c r="K878" s="61"/>
    </row>
    <row r="879" spans="10:11" ht="14.25">
      <c r="J879" s="61"/>
      <c r="K879" s="61"/>
    </row>
    <row r="880" spans="10:11" ht="14.25">
      <c r="J880" s="61"/>
      <c r="K880" s="61"/>
    </row>
    <row r="881" spans="10:11" ht="14.25">
      <c r="J881" s="61"/>
      <c r="K881" s="61"/>
    </row>
    <row r="882" spans="10:11" ht="14.25">
      <c r="J882" s="61"/>
      <c r="K882" s="61"/>
    </row>
    <row r="883" spans="10:11" ht="14.25">
      <c r="J883" s="61"/>
      <c r="K883" s="61"/>
    </row>
    <row r="884" spans="10:11" ht="14.25">
      <c r="J884" s="61"/>
      <c r="K884" s="61"/>
    </row>
    <row r="885" spans="10:11" ht="14.25">
      <c r="J885" s="61"/>
      <c r="K885" s="61"/>
    </row>
    <row r="886" spans="10:11" ht="14.25">
      <c r="J886" s="61"/>
      <c r="K886" s="61"/>
    </row>
    <row r="887" spans="10:11" ht="14.25">
      <c r="J887" s="61"/>
      <c r="K887" s="61"/>
    </row>
    <row r="888" spans="10:11" ht="14.25">
      <c r="J888" s="61"/>
      <c r="K888" s="61"/>
    </row>
    <row r="889" spans="10:11" ht="14.25">
      <c r="J889" s="61"/>
      <c r="K889" s="61"/>
    </row>
    <row r="890" spans="10:11" ht="14.25">
      <c r="J890" s="61"/>
      <c r="K890" s="61"/>
    </row>
    <row r="891" spans="10:11" ht="14.25">
      <c r="J891" s="61"/>
      <c r="K891" s="61"/>
    </row>
    <row r="892" spans="10:11" ht="14.25">
      <c r="J892" s="61"/>
      <c r="K892" s="61"/>
    </row>
    <row r="893" spans="10:11" ht="14.25">
      <c r="J893" s="61"/>
      <c r="K893" s="61"/>
    </row>
    <row r="894" spans="10:11" ht="14.25">
      <c r="J894" s="61"/>
      <c r="K894" s="61"/>
    </row>
    <row r="895" spans="10:11" ht="14.25">
      <c r="J895" s="61"/>
      <c r="K895" s="61"/>
    </row>
    <row r="896" spans="10:11" ht="14.25">
      <c r="J896" s="61"/>
      <c r="K896" s="61"/>
    </row>
    <row r="897" spans="10:11" ht="14.25">
      <c r="J897" s="61"/>
      <c r="K897" s="61"/>
    </row>
    <row r="898" spans="10:11" ht="14.25">
      <c r="J898" s="61"/>
      <c r="K898" s="61"/>
    </row>
    <row r="899" spans="10:11" ht="14.25">
      <c r="J899" s="61"/>
      <c r="K899" s="61"/>
    </row>
    <row r="900" spans="10:11" ht="14.25">
      <c r="J900" s="61"/>
      <c r="K900" s="61"/>
    </row>
    <row r="901" spans="10:11" ht="14.25">
      <c r="J901" s="61"/>
      <c r="K901" s="61"/>
    </row>
    <row r="902" spans="10:11" ht="14.25">
      <c r="J902" s="61"/>
      <c r="K902" s="61"/>
    </row>
    <row r="903" spans="10:11" ht="14.25">
      <c r="J903" s="61"/>
      <c r="K903" s="61"/>
    </row>
    <row r="904" spans="10:11" ht="14.25">
      <c r="J904" s="61"/>
      <c r="K904" s="61"/>
    </row>
    <row r="905" spans="10:11" ht="14.25">
      <c r="J905" s="61"/>
      <c r="K905" s="61"/>
    </row>
    <row r="906" spans="10:11" ht="14.25">
      <c r="J906" s="61"/>
      <c r="K906" s="61"/>
    </row>
    <row r="907" spans="10:11" ht="14.25">
      <c r="J907" s="61"/>
      <c r="K907" s="61"/>
    </row>
    <row r="908" spans="10:11" ht="14.25">
      <c r="J908" s="61"/>
      <c r="K908" s="61"/>
    </row>
    <row r="909" spans="10:11" ht="14.25">
      <c r="J909" s="61"/>
      <c r="K909" s="61"/>
    </row>
    <row r="910" spans="10:11" ht="14.25">
      <c r="J910" s="61"/>
      <c r="K910" s="61"/>
    </row>
    <row r="911" spans="10:11" ht="14.25">
      <c r="J911" s="61"/>
      <c r="K911" s="61"/>
    </row>
    <row r="912" spans="10:11" ht="14.25">
      <c r="J912" s="61"/>
      <c r="K912" s="61"/>
    </row>
    <row r="913" spans="10:11" ht="14.25">
      <c r="J913" s="61"/>
      <c r="K913" s="61"/>
    </row>
    <row r="914" spans="10:11" ht="14.25">
      <c r="J914" s="61"/>
      <c r="K914" s="61"/>
    </row>
    <row r="915" spans="10:11" ht="14.25">
      <c r="J915" s="61"/>
      <c r="K915" s="61"/>
    </row>
    <row r="916" spans="10:11" ht="14.25">
      <c r="J916" s="61"/>
      <c r="K916" s="61"/>
    </row>
    <row r="917" spans="10:11" ht="14.25">
      <c r="J917" s="61"/>
      <c r="K917" s="61"/>
    </row>
    <row r="918" spans="10:11" ht="14.25">
      <c r="J918" s="61"/>
      <c r="K918" s="61"/>
    </row>
    <row r="919" spans="10:11" ht="14.25">
      <c r="J919" s="61"/>
      <c r="K919" s="61"/>
    </row>
    <row r="920" spans="10:11" ht="14.25">
      <c r="J920" s="61"/>
      <c r="K920" s="61"/>
    </row>
    <row r="921" spans="10:11" ht="14.25">
      <c r="J921" s="61"/>
      <c r="K921" s="61"/>
    </row>
    <row r="922" spans="10:11" ht="14.25">
      <c r="J922" s="61"/>
      <c r="K922" s="61"/>
    </row>
    <row r="923" spans="10:11" ht="14.25">
      <c r="J923" s="61"/>
      <c r="K923" s="61"/>
    </row>
    <row r="924" spans="10:11" ht="14.25">
      <c r="J924" s="61"/>
      <c r="K924" s="61"/>
    </row>
    <row r="925" spans="10:11" ht="14.25">
      <c r="J925" s="61"/>
      <c r="K925" s="61"/>
    </row>
    <row r="926" spans="10:11" ht="14.25">
      <c r="J926" s="61"/>
      <c r="K926" s="61"/>
    </row>
    <row r="927" spans="10:11" ht="14.25">
      <c r="J927" s="61"/>
      <c r="K927" s="61"/>
    </row>
    <row r="928" spans="10:11" ht="14.25">
      <c r="J928" s="61"/>
      <c r="K928" s="61"/>
    </row>
    <row r="929" spans="10:11" ht="14.25">
      <c r="J929" s="61"/>
      <c r="K929" s="61"/>
    </row>
    <row r="930" spans="10:11" ht="14.25">
      <c r="J930" s="61"/>
      <c r="K930" s="61"/>
    </row>
    <row r="931" spans="10:11" ht="14.25">
      <c r="J931" s="61"/>
      <c r="K931" s="61"/>
    </row>
    <row r="932" spans="10:11" ht="14.25">
      <c r="J932" s="61"/>
      <c r="K932" s="61"/>
    </row>
    <row r="933" spans="10:11" ht="14.25">
      <c r="J933" s="61"/>
      <c r="K933" s="61"/>
    </row>
    <row r="934" spans="10:11" ht="14.25">
      <c r="J934" s="61"/>
      <c r="K934" s="61"/>
    </row>
    <row r="935" spans="10:11" ht="14.25">
      <c r="J935" s="61"/>
      <c r="K935" s="61"/>
    </row>
    <row r="936" spans="10:11" ht="14.25">
      <c r="J936" s="61"/>
      <c r="K936" s="61"/>
    </row>
    <row r="937" spans="10:11" ht="14.25">
      <c r="J937" s="61"/>
      <c r="K937" s="61"/>
    </row>
    <row r="938" spans="10:11" ht="14.25">
      <c r="J938" s="61"/>
      <c r="K938" s="61"/>
    </row>
    <row r="939" spans="10:11" ht="14.25">
      <c r="J939" s="61"/>
      <c r="K939" s="61"/>
    </row>
    <row r="940" spans="10:11" ht="14.25">
      <c r="J940" s="61"/>
      <c r="K940" s="61"/>
    </row>
    <row r="941" spans="10:11" ht="14.25">
      <c r="J941" s="61"/>
      <c r="K941" s="61"/>
    </row>
    <row r="942" spans="10:11" ht="14.25">
      <c r="J942" s="61"/>
      <c r="K942" s="61"/>
    </row>
    <row r="943" spans="10:11" ht="14.25">
      <c r="J943" s="61"/>
      <c r="K943" s="61"/>
    </row>
    <row r="944" spans="10:11" ht="14.25">
      <c r="J944" s="61"/>
      <c r="K944" s="61"/>
    </row>
    <row r="945" spans="10:11" ht="14.25">
      <c r="J945" s="61"/>
      <c r="K945" s="61"/>
    </row>
    <row r="946" spans="10:11" ht="14.25">
      <c r="J946" s="61"/>
      <c r="K946" s="61"/>
    </row>
    <row r="947" spans="10:11" ht="14.25">
      <c r="J947" s="61"/>
      <c r="K947" s="61"/>
    </row>
    <row r="948" spans="10:11" ht="14.25">
      <c r="J948" s="61"/>
      <c r="K948" s="61"/>
    </row>
    <row r="949" spans="10:11" ht="14.25">
      <c r="J949" s="61"/>
      <c r="K949" s="61"/>
    </row>
    <row r="950" spans="10:11" ht="14.25">
      <c r="J950" s="61"/>
      <c r="K950" s="61"/>
    </row>
    <row r="951" spans="10:11" ht="14.25">
      <c r="J951" s="61"/>
      <c r="K951" s="61"/>
    </row>
    <row r="952" spans="10:11" ht="14.25">
      <c r="J952" s="61"/>
      <c r="K952" s="61"/>
    </row>
    <row r="953" spans="10:11" ht="14.25">
      <c r="J953" s="61"/>
      <c r="K953" s="61"/>
    </row>
    <row r="954" spans="10:11" ht="14.25">
      <c r="J954" s="61"/>
      <c r="K954" s="61"/>
    </row>
    <row r="955" spans="10:11" ht="14.25">
      <c r="J955" s="61"/>
      <c r="K955" s="61"/>
    </row>
    <row r="956" spans="10:11" ht="14.25">
      <c r="J956" s="61"/>
      <c r="K956" s="61"/>
    </row>
    <row r="957" spans="10:11" ht="14.25">
      <c r="J957" s="61"/>
      <c r="K957" s="61"/>
    </row>
    <row r="958" spans="10:11" ht="14.25">
      <c r="J958" s="61"/>
      <c r="K958" s="61"/>
    </row>
    <row r="959" spans="10:11" ht="14.25">
      <c r="J959" s="61"/>
      <c r="K959" s="61"/>
    </row>
    <row r="960" spans="10:11" ht="14.25">
      <c r="J960" s="61"/>
      <c r="K960" s="61"/>
    </row>
    <row r="961" spans="10:11" ht="14.25">
      <c r="J961" s="61"/>
      <c r="K961" s="61"/>
    </row>
    <row r="962" spans="10:11" ht="14.25">
      <c r="J962" s="61"/>
      <c r="K962" s="61"/>
    </row>
    <row r="963" spans="10:11" ht="14.25">
      <c r="J963" s="61"/>
      <c r="K963" s="61"/>
    </row>
    <row r="964" spans="10:11" ht="14.25">
      <c r="J964" s="61"/>
      <c r="K964" s="61"/>
    </row>
    <row r="965" spans="10:11" ht="14.25">
      <c r="J965" s="61"/>
      <c r="K965" s="61"/>
    </row>
    <row r="966" spans="10:11" ht="14.25">
      <c r="J966" s="61"/>
      <c r="K966" s="61"/>
    </row>
    <row r="967" spans="10:11" ht="14.25">
      <c r="J967" s="61"/>
      <c r="K967" s="61"/>
    </row>
    <row r="968" spans="10:11" ht="14.25">
      <c r="J968" s="61"/>
      <c r="K968" s="61"/>
    </row>
    <row r="969" spans="10:11" ht="14.25">
      <c r="J969" s="61"/>
      <c r="K969" s="61"/>
    </row>
    <row r="970" spans="10:11" ht="14.25">
      <c r="J970" s="61"/>
      <c r="K970" s="61"/>
    </row>
    <row r="971" spans="10:11" ht="14.25">
      <c r="J971" s="61"/>
      <c r="K971" s="61"/>
    </row>
    <row r="972" spans="10:11" ht="14.25">
      <c r="J972" s="61"/>
      <c r="K972" s="61"/>
    </row>
    <row r="973" spans="10:11" ht="14.25">
      <c r="J973" s="61"/>
      <c r="K973" s="61"/>
    </row>
    <row r="974" spans="10:11" ht="14.25">
      <c r="J974" s="61"/>
      <c r="K974" s="61"/>
    </row>
    <row r="975" spans="10:11" ht="14.25">
      <c r="J975" s="61"/>
      <c r="K975" s="61"/>
    </row>
    <row r="976" spans="10:11" ht="14.25">
      <c r="J976" s="61"/>
      <c r="K976" s="61"/>
    </row>
    <row r="977" spans="10:11" ht="14.25">
      <c r="J977" s="61"/>
      <c r="K977" s="61"/>
    </row>
    <row r="978" spans="10:11" ht="14.25">
      <c r="J978" s="61"/>
      <c r="K978" s="61"/>
    </row>
    <row r="979" spans="10:11" ht="14.25">
      <c r="J979" s="61"/>
      <c r="K979" s="61"/>
    </row>
    <row r="980" spans="10:11" ht="14.25">
      <c r="J980" s="61"/>
      <c r="K980" s="61"/>
    </row>
    <row r="981" spans="10:11" ht="14.25">
      <c r="J981" s="61"/>
      <c r="K981" s="61"/>
    </row>
    <row r="982" spans="10:11" ht="14.25">
      <c r="J982" s="61"/>
      <c r="K982" s="61"/>
    </row>
    <row r="983" spans="10:11" ht="14.25">
      <c r="J983" s="61"/>
      <c r="K983" s="61"/>
    </row>
    <row r="984" spans="10:11" ht="14.25">
      <c r="J984" s="61"/>
      <c r="K984" s="61"/>
    </row>
    <row r="985" spans="10:11" ht="14.25">
      <c r="J985" s="61"/>
      <c r="K985" s="61"/>
    </row>
    <row r="986" spans="10:11" ht="14.25">
      <c r="J986" s="61"/>
      <c r="K986" s="61"/>
    </row>
    <row r="987" spans="10:11" ht="14.25">
      <c r="J987" s="61"/>
      <c r="K987" s="61"/>
    </row>
    <row r="988" spans="10:11" ht="14.25">
      <c r="J988" s="61"/>
      <c r="K988" s="61"/>
    </row>
    <row r="989" spans="10:11" ht="14.25">
      <c r="J989" s="61"/>
      <c r="K989" s="61"/>
    </row>
    <row r="990" spans="10:11" ht="14.25">
      <c r="J990" s="61"/>
      <c r="K990" s="61"/>
    </row>
    <row r="991" spans="10:11" ht="14.25">
      <c r="J991" s="61"/>
      <c r="K991" s="61"/>
    </row>
    <row r="992" spans="10:11" ht="14.25">
      <c r="J992" s="61"/>
      <c r="K992" s="61"/>
    </row>
    <row r="993" spans="10:11" ht="14.25">
      <c r="J993" s="61"/>
      <c r="K993" s="61"/>
    </row>
    <row r="994" spans="10:11" ht="14.25">
      <c r="J994" s="61"/>
      <c r="K994" s="61"/>
    </row>
    <row r="995" spans="10:11" ht="14.25">
      <c r="J995" s="61"/>
      <c r="K995" s="61"/>
    </row>
    <row r="996" spans="10:11" ht="14.25">
      <c r="J996" s="61"/>
      <c r="K996" s="61"/>
    </row>
    <row r="997" spans="10:11" ht="14.25">
      <c r="J997" s="61"/>
      <c r="K997" s="61"/>
    </row>
    <row r="998" spans="10:11" ht="14.25">
      <c r="J998" s="61"/>
      <c r="K998" s="61"/>
    </row>
    <row r="999" spans="10:11" ht="14.25">
      <c r="J999" s="61"/>
      <c r="K999" s="61"/>
    </row>
    <row r="1000" spans="10:11" ht="14.25">
      <c r="J1000" s="61"/>
      <c r="K1000" s="61"/>
    </row>
    <row r="1001" spans="10:11" ht="14.25">
      <c r="J1001" s="61"/>
      <c r="K1001" s="61"/>
    </row>
    <row r="1002" spans="10:11" ht="14.25">
      <c r="J1002" s="61"/>
      <c r="K1002" s="61"/>
    </row>
    <row r="1003" spans="10:11" ht="14.25">
      <c r="J1003" s="61"/>
      <c r="K1003" s="61"/>
    </row>
    <row r="1004" spans="10:11" ht="14.25">
      <c r="J1004" s="61"/>
      <c r="K1004" s="61"/>
    </row>
    <row r="1005" spans="10:11" ht="14.25">
      <c r="J1005" s="61"/>
      <c r="K1005" s="61"/>
    </row>
    <row r="1006" spans="10:11" ht="14.25">
      <c r="J1006" s="61"/>
      <c r="K1006" s="61"/>
    </row>
    <row r="1007" spans="10:11" ht="14.25">
      <c r="J1007" s="61"/>
      <c r="K1007" s="61"/>
    </row>
    <row r="1008" spans="10:11" ht="14.25">
      <c r="J1008" s="61"/>
      <c r="K1008" s="61"/>
    </row>
    <row r="1009" spans="10:11" ht="14.25">
      <c r="J1009" s="61"/>
      <c r="K1009" s="61"/>
    </row>
    <row r="1010" spans="10:11" ht="14.25">
      <c r="J1010" s="61"/>
      <c r="K1010" s="61"/>
    </row>
    <row r="1011" spans="10:11" ht="14.25">
      <c r="J1011" s="61"/>
      <c r="K1011" s="61"/>
    </row>
    <row r="1012" spans="10:11" ht="14.25">
      <c r="J1012" s="61"/>
      <c r="K1012" s="61"/>
    </row>
    <row r="1013" spans="10:11" ht="14.25">
      <c r="J1013" s="61"/>
      <c r="K1013" s="61"/>
    </row>
    <row r="1014" spans="10:11" ht="14.25">
      <c r="J1014" s="61"/>
      <c r="K1014" s="61"/>
    </row>
    <row r="1015" spans="10:11" ht="14.25">
      <c r="J1015" s="61"/>
      <c r="K1015" s="61"/>
    </row>
    <row r="1016" spans="10:11" ht="14.25">
      <c r="J1016" s="61"/>
      <c r="K1016" s="61"/>
    </row>
    <row r="1017" spans="10:11" ht="14.25">
      <c r="J1017" s="61"/>
      <c r="K1017" s="61"/>
    </row>
    <row r="1018" spans="10:11" ht="14.25">
      <c r="J1018" s="61"/>
      <c r="K1018" s="61"/>
    </row>
    <row r="1019" spans="10:11" ht="14.25">
      <c r="J1019" s="61"/>
      <c r="K1019" s="61"/>
    </row>
    <row r="1020" spans="10:11" ht="14.25">
      <c r="J1020" s="61"/>
      <c r="K1020" s="61"/>
    </row>
    <row r="1021" spans="10:11" ht="14.25">
      <c r="J1021" s="61"/>
      <c r="K1021" s="61"/>
    </row>
    <row r="1022" spans="10:11" ht="14.25">
      <c r="J1022" s="61"/>
      <c r="K1022" s="61"/>
    </row>
    <row r="1023" spans="10:11" ht="14.25">
      <c r="J1023" s="61"/>
      <c r="K1023" s="61"/>
    </row>
    <row r="1024" spans="10:11" ht="14.25">
      <c r="J1024" s="61"/>
      <c r="K1024" s="61"/>
    </row>
    <row r="1025" spans="10:11" ht="14.25">
      <c r="J1025" s="61"/>
      <c r="K1025" s="61"/>
    </row>
    <row r="1026" spans="10:11" ht="14.25">
      <c r="J1026" s="61"/>
      <c r="K1026" s="61"/>
    </row>
    <row r="1027" spans="10:11" ht="14.25">
      <c r="J1027" s="61"/>
      <c r="K1027" s="61"/>
    </row>
    <row r="1028" spans="10:11" ht="14.25">
      <c r="J1028" s="61"/>
      <c r="K1028" s="61"/>
    </row>
    <row r="1029" spans="10:11" ht="14.25">
      <c r="J1029" s="61"/>
      <c r="K1029" s="61"/>
    </row>
    <row r="1030" spans="10:11" ht="14.25">
      <c r="J1030" s="61"/>
      <c r="K1030" s="61"/>
    </row>
    <row r="1031" spans="10:11" ht="14.25">
      <c r="J1031" s="61"/>
      <c r="K1031" s="61"/>
    </row>
    <row r="1032" spans="10:11" ht="14.25">
      <c r="J1032" s="61"/>
      <c r="K1032" s="61"/>
    </row>
    <row r="1033" spans="10:11" ht="14.25">
      <c r="J1033" s="61"/>
      <c r="K1033" s="61"/>
    </row>
    <row r="1034" spans="10:11" ht="14.25">
      <c r="J1034" s="61"/>
      <c r="K1034" s="61"/>
    </row>
    <row r="1035" spans="10:11" ht="14.25">
      <c r="J1035" s="61"/>
      <c r="K1035" s="61"/>
    </row>
    <row r="1036" spans="10:11" ht="14.25">
      <c r="J1036" s="61"/>
      <c r="K1036" s="61"/>
    </row>
    <row r="1037" spans="10:11" ht="14.25">
      <c r="J1037" s="61"/>
      <c r="K1037" s="61"/>
    </row>
    <row r="1038" spans="10:11" ht="14.25">
      <c r="J1038" s="61"/>
      <c r="K1038" s="61"/>
    </row>
    <row r="1039" spans="10:11" ht="14.25">
      <c r="J1039" s="61"/>
      <c r="K1039" s="61"/>
    </row>
    <row r="1040" spans="10:11" ht="14.25">
      <c r="J1040" s="61"/>
      <c r="K1040" s="61"/>
    </row>
    <row r="1041" spans="10:11" ht="14.25">
      <c r="J1041" s="61"/>
      <c r="K1041" s="61"/>
    </row>
    <row r="1042" spans="10:11" ht="14.25">
      <c r="J1042" s="61"/>
      <c r="K1042" s="61"/>
    </row>
    <row r="1043" spans="10:11" ht="14.25">
      <c r="J1043" s="61"/>
      <c r="K1043" s="61"/>
    </row>
    <row r="1044" spans="10:11" ht="14.25">
      <c r="J1044" s="61"/>
      <c r="K1044" s="61"/>
    </row>
    <row r="1045" spans="10:11" ht="14.25">
      <c r="J1045" s="61"/>
      <c r="K1045" s="61"/>
    </row>
    <row r="1046" spans="10:11" ht="14.25">
      <c r="J1046" s="61"/>
      <c r="K1046" s="61"/>
    </row>
    <row r="1047" spans="10:11" ht="14.25">
      <c r="J1047" s="61"/>
      <c r="K1047" s="61"/>
    </row>
    <row r="1048" spans="10:11" ht="14.25">
      <c r="J1048" s="61"/>
      <c r="K1048" s="61"/>
    </row>
    <row r="1049" spans="10:11" ht="14.25">
      <c r="J1049" s="61"/>
      <c r="K1049" s="61"/>
    </row>
    <row r="1050" spans="10:11" ht="14.25">
      <c r="J1050" s="61"/>
      <c r="K1050" s="61"/>
    </row>
    <row r="1051" spans="10:11" ht="14.25">
      <c r="J1051" s="61"/>
      <c r="K1051" s="61"/>
    </row>
    <row r="1052" spans="10:11" ht="14.25">
      <c r="J1052" s="61"/>
      <c r="K1052" s="61"/>
    </row>
    <row r="1053" spans="10:11" ht="14.25">
      <c r="J1053" s="61"/>
      <c r="K1053" s="61"/>
    </row>
    <row r="1054" spans="10:11" ht="14.25">
      <c r="J1054" s="61"/>
      <c r="K1054" s="61"/>
    </row>
    <row r="1055" spans="10:11" ht="14.25">
      <c r="J1055" s="61"/>
      <c r="K1055" s="61"/>
    </row>
    <row r="1056" spans="10:11" ht="14.25">
      <c r="J1056" s="61"/>
      <c r="K1056" s="61"/>
    </row>
    <row r="1057" spans="10:11" ht="14.25">
      <c r="J1057" s="61"/>
      <c r="K1057" s="61"/>
    </row>
    <row r="1058" spans="10:11" ht="14.25">
      <c r="J1058" s="61"/>
      <c r="K1058" s="61"/>
    </row>
    <row r="1059" spans="10:11" ht="14.25">
      <c r="J1059" s="61"/>
      <c r="K1059" s="61"/>
    </row>
    <row r="1060" spans="10:11" ht="14.25">
      <c r="J1060" s="61"/>
      <c r="K1060" s="61"/>
    </row>
    <row r="1061" spans="10:11" ht="14.25">
      <c r="J1061" s="61"/>
      <c r="K1061" s="61"/>
    </row>
    <row r="1062" spans="10:11" ht="14.25">
      <c r="J1062" s="61"/>
      <c r="K1062" s="61"/>
    </row>
    <row r="1063" spans="10:11" ht="14.25">
      <c r="J1063" s="61"/>
      <c r="K1063" s="61"/>
    </row>
    <row r="1064" spans="10:11" ht="14.25">
      <c r="J1064" s="61"/>
      <c r="K1064" s="61"/>
    </row>
    <row r="1065" spans="10:11" ht="14.25">
      <c r="J1065" s="61"/>
      <c r="K1065" s="61"/>
    </row>
    <row r="1066" spans="10:11" ht="14.25">
      <c r="J1066" s="61"/>
      <c r="K1066" s="61"/>
    </row>
    <row r="1067" spans="10:11" ht="14.25">
      <c r="J1067" s="61"/>
      <c r="K1067" s="61"/>
    </row>
    <row r="1068" spans="10:11" ht="14.25">
      <c r="J1068" s="61"/>
      <c r="K1068" s="61"/>
    </row>
    <row r="1069" spans="10:11" ht="14.25">
      <c r="J1069" s="61"/>
      <c r="K1069" s="61"/>
    </row>
    <row r="1070" spans="10:11" ht="14.25">
      <c r="J1070" s="61"/>
      <c r="K1070" s="61"/>
    </row>
    <row r="1071" spans="10:11" ht="14.25">
      <c r="J1071" s="61"/>
      <c r="K1071" s="61"/>
    </row>
    <row r="1072" spans="10:11" ht="14.25">
      <c r="J1072" s="61"/>
      <c r="K1072" s="61"/>
    </row>
    <row r="1073" spans="10:11" ht="14.25">
      <c r="J1073" s="61"/>
      <c r="K1073" s="61"/>
    </row>
    <row r="1074" spans="10:11" ht="14.25">
      <c r="J1074" s="61"/>
      <c r="K1074" s="61"/>
    </row>
    <row r="1075" spans="10:11" ht="14.25">
      <c r="J1075" s="61"/>
      <c r="K1075" s="61"/>
    </row>
    <row r="1076" spans="10:11" ht="14.25">
      <c r="J1076" s="61"/>
      <c r="K1076" s="61"/>
    </row>
    <row r="1077" spans="10:11" ht="14.25">
      <c r="J1077" s="61"/>
      <c r="K1077" s="61"/>
    </row>
    <row r="1078" spans="10:11" ht="14.25">
      <c r="J1078" s="61"/>
      <c r="K1078" s="61"/>
    </row>
    <row r="1079" spans="10:11" ht="14.25">
      <c r="J1079" s="61"/>
      <c r="K1079" s="61"/>
    </row>
    <row r="1080" spans="10:11" ht="14.25">
      <c r="J1080" s="61"/>
      <c r="K1080" s="61"/>
    </row>
    <row r="1081" spans="10:11" ht="14.25">
      <c r="J1081" s="61"/>
      <c r="K1081" s="61"/>
    </row>
    <row r="1082" spans="10:11" ht="14.25">
      <c r="J1082" s="61"/>
      <c r="K1082" s="61"/>
    </row>
    <row r="1083" spans="10:11" ht="14.25">
      <c r="J1083" s="61"/>
      <c r="K1083" s="61"/>
    </row>
  </sheetData>
  <mergeCells count="63">
    <mergeCell ref="A124:I124"/>
    <mergeCell ref="K124:S124"/>
    <mergeCell ref="U124:AA124"/>
    <mergeCell ref="K160:S160"/>
    <mergeCell ref="U160:AA160"/>
    <mergeCell ref="A140:I140"/>
    <mergeCell ref="K140:S140"/>
    <mergeCell ref="U140:AA140"/>
    <mergeCell ref="A156:I156"/>
    <mergeCell ref="K156:S156"/>
    <mergeCell ref="U156:AA156"/>
    <mergeCell ref="A160:I160"/>
    <mergeCell ref="K88:S88"/>
    <mergeCell ref="U88:AA88"/>
    <mergeCell ref="A88:I88"/>
    <mergeCell ref="A108:I108"/>
    <mergeCell ref="K108:S108"/>
    <mergeCell ref="U108:AA108"/>
    <mergeCell ref="A65:I65"/>
    <mergeCell ref="K65:S65"/>
    <mergeCell ref="U65:AA65"/>
    <mergeCell ref="A71:AC71"/>
    <mergeCell ref="A87:AC87"/>
    <mergeCell ref="K61:S61"/>
    <mergeCell ref="U61:AA61"/>
    <mergeCell ref="A47:I47"/>
    <mergeCell ref="K47:S47"/>
    <mergeCell ref="U47:AA47"/>
    <mergeCell ref="A55:I55"/>
    <mergeCell ref="K55:S55"/>
    <mergeCell ref="U55:AA55"/>
    <mergeCell ref="A61:I61"/>
    <mergeCell ref="K1:S1"/>
    <mergeCell ref="U1:AA1"/>
    <mergeCell ref="A10:AC10"/>
    <mergeCell ref="A41:AC41"/>
    <mergeCell ref="A42:I42"/>
    <mergeCell ref="K42:S42"/>
    <mergeCell ref="U42:AA42"/>
    <mergeCell ref="A191:I191"/>
    <mergeCell ref="K191:S191"/>
    <mergeCell ref="U191:AA191"/>
    <mergeCell ref="A176:I176"/>
    <mergeCell ref="K176:S176"/>
    <mergeCell ref="U176:AA176"/>
    <mergeCell ref="A180:I180"/>
    <mergeCell ref="K180:S180"/>
    <mergeCell ref="U180:AA180"/>
    <mergeCell ref="A184:I184"/>
    <mergeCell ref="K184:S184"/>
    <mergeCell ref="U184:AA184"/>
    <mergeCell ref="A188:I188"/>
    <mergeCell ref="K188:S188"/>
    <mergeCell ref="U188:AA188"/>
    <mergeCell ref="K172:S172"/>
    <mergeCell ref="U172:AA172"/>
    <mergeCell ref="A164:I164"/>
    <mergeCell ref="K164:S164"/>
    <mergeCell ref="U164:AA164"/>
    <mergeCell ref="A168:I168"/>
    <mergeCell ref="K168:S168"/>
    <mergeCell ref="U168:AA168"/>
    <mergeCell ref="A172:I172"/>
  </mergeCells>
  <conditionalFormatting sqref="R1:S9 Z2:AA2 R11:S33 R36:S37 AB43 R43:S46 AB48 R48:S54 AB56 R56:S60 AB62 R62:S64 AB66 R66:S70 R216:S1083">
    <cfRule type="containsText" dxfId="5" priority="1" operator="containsText" text="ok">
      <formula>NOT(ISERROR(SEARCH(("ok"),(R1))))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  <outlinePr summaryBelow="0" summaryRight="0"/>
  </sheetPr>
  <dimension ref="A1:Q36"/>
  <sheetViews>
    <sheetView workbookViewId="0">
      <pane ySplit="5" topLeftCell="A6" activePane="bottomLeft" state="frozen"/>
      <selection pane="bottomLeft" activeCell="B7" sqref="B7"/>
    </sheetView>
  </sheetViews>
  <sheetFormatPr defaultColWidth="12.5703125" defaultRowHeight="15.75" customHeight="1"/>
  <cols>
    <col min="1" max="1" width="13.7109375" customWidth="1"/>
    <col min="3" max="3" width="14" customWidth="1"/>
    <col min="5" max="5" width="17.85546875" customWidth="1"/>
    <col min="6" max="6" width="16.42578125" customWidth="1"/>
    <col min="7" max="7" width="18.85546875" customWidth="1"/>
  </cols>
  <sheetData>
    <row r="1" spans="1:17">
      <c r="A1" s="20" t="s">
        <v>532</v>
      </c>
      <c r="B1" s="134" t="s">
        <v>33</v>
      </c>
      <c r="C1" s="134" t="s">
        <v>38</v>
      </c>
      <c r="D1" s="134" t="s">
        <v>47</v>
      </c>
      <c r="E1" s="134" t="s">
        <v>55</v>
      </c>
      <c r="F1" s="134" t="s">
        <v>63</v>
      </c>
      <c r="G1" s="134" t="s">
        <v>71</v>
      </c>
      <c r="H1" s="134" t="s">
        <v>108</v>
      </c>
      <c r="I1" s="134" t="s">
        <v>148</v>
      </c>
      <c r="J1" s="134" t="s">
        <v>151</v>
      </c>
      <c r="K1" s="134" t="s">
        <v>162</v>
      </c>
      <c r="L1" s="134" t="s">
        <v>298</v>
      </c>
      <c r="M1" s="134" t="s">
        <v>188</v>
      </c>
      <c r="N1" s="134" t="s">
        <v>198</v>
      </c>
      <c r="O1" s="134" t="s">
        <v>207</v>
      </c>
      <c r="P1" s="134" t="s">
        <v>533</v>
      </c>
      <c r="Q1" s="134"/>
    </row>
    <row r="2" spans="1:17">
      <c r="A2" s="20" t="s">
        <v>8</v>
      </c>
      <c r="B2" s="20" t="s">
        <v>181</v>
      </c>
      <c r="C2" s="20" t="s">
        <v>189</v>
      </c>
      <c r="D2" s="20" t="s">
        <v>189</v>
      </c>
      <c r="E2" s="20" t="s">
        <v>189</v>
      </c>
      <c r="F2" s="20" t="s">
        <v>189</v>
      </c>
      <c r="G2" s="20" t="s">
        <v>189</v>
      </c>
      <c r="H2" s="20" t="s">
        <v>189</v>
      </c>
      <c r="I2" s="20" t="s">
        <v>189</v>
      </c>
      <c r="J2" s="20" t="s">
        <v>534</v>
      </c>
      <c r="K2" s="20" t="s">
        <v>189</v>
      </c>
      <c r="L2" s="20" t="s">
        <v>534</v>
      </c>
      <c r="M2" s="20" t="s">
        <v>534</v>
      </c>
      <c r="N2" s="4" t="s">
        <v>189</v>
      </c>
      <c r="O2" s="135" t="s">
        <v>535</v>
      </c>
      <c r="P2" s="135" t="s">
        <v>535</v>
      </c>
    </row>
    <row r="3" spans="1:17">
      <c r="A3" s="20" t="s">
        <v>9</v>
      </c>
      <c r="B3" s="20" t="s">
        <v>536</v>
      </c>
      <c r="C3" s="20" t="s">
        <v>537</v>
      </c>
      <c r="D3" s="20" t="s">
        <v>537</v>
      </c>
      <c r="E3" s="20" t="s">
        <v>538</v>
      </c>
      <c r="F3" s="20" t="s">
        <v>539</v>
      </c>
      <c r="G3" s="20" t="s">
        <v>539</v>
      </c>
      <c r="H3" s="20" t="s">
        <v>540</v>
      </c>
      <c r="I3" s="20" t="s">
        <v>541</v>
      </c>
      <c r="J3" s="20" t="s">
        <v>542</v>
      </c>
      <c r="K3" s="20" t="s">
        <v>543</v>
      </c>
      <c r="L3" s="20" t="s">
        <v>544</v>
      </c>
      <c r="M3" s="20" t="s">
        <v>544</v>
      </c>
      <c r="N3" s="4" t="s">
        <v>190</v>
      </c>
      <c r="O3" s="135" t="s">
        <v>199</v>
      </c>
      <c r="P3" s="4" t="s">
        <v>545</v>
      </c>
    </row>
    <row r="4" spans="1:17" ht="15.75" customHeight="1">
      <c r="A4" s="20" t="s">
        <v>10</v>
      </c>
      <c r="B4" s="20" t="s">
        <v>546</v>
      </c>
      <c r="C4" s="20" t="s">
        <v>37</v>
      </c>
      <c r="D4" s="136" t="s">
        <v>547</v>
      </c>
      <c r="E4" s="136" t="s">
        <v>548</v>
      </c>
      <c r="F4" s="20" t="s">
        <v>549</v>
      </c>
      <c r="G4" s="20" t="s">
        <v>550</v>
      </c>
      <c r="H4" s="20" t="s">
        <v>551</v>
      </c>
      <c r="I4" s="20" t="s">
        <v>552</v>
      </c>
      <c r="J4" s="20" t="s">
        <v>553</v>
      </c>
      <c r="K4" s="20" t="s">
        <v>554</v>
      </c>
      <c r="L4" s="20" t="s">
        <v>555</v>
      </c>
      <c r="M4" s="20" t="s">
        <v>556</v>
      </c>
      <c r="N4" s="4" t="s">
        <v>557</v>
      </c>
      <c r="O4" s="135" t="s">
        <v>558</v>
      </c>
      <c r="P4" s="4" t="s">
        <v>209</v>
      </c>
    </row>
    <row r="5" spans="1:17">
      <c r="A5" s="20" t="s">
        <v>559</v>
      </c>
      <c r="B5" s="20"/>
      <c r="C5" s="20" t="s">
        <v>29</v>
      </c>
      <c r="D5" s="20" t="s">
        <v>29</v>
      </c>
      <c r="E5" s="20" t="s">
        <v>29</v>
      </c>
      <c r="F5" s="20"/>
      <c r="G5" s="20"/>
      <c r="H5" s="20"/>
      <c r="I5" s="20" t="s">
        <v>560</v>
      </c>
      <c r="J5" s="20" t="s">
        <v>560</v>
      </c>
      <c r="K5" s="20"/>
      <c r="L5" s="20" t="s">
        <v>176</v>
      </c>
      <c r="M5" s="20" t="s">
        <v>176</v>
      </c>
      <c r="N5" s="20" t="s">
        <v>176</v>
      </c>
      <c r="O5" s="20" t="s">
        <v>176</v>
      </c>
      <c r="P5" s="20" t="s">
        <v>176</v>
      </c>
      <c r="Q5" s="20"/>
    </row>
    <row r="6" spans="1:17" ht="15.75" customHeight="1">
      <c r="A6" s="162" t="s">
        <v>561</v>
      </c>
      <c r="B6" s="137" t="s">
        <v>562</v>
      </c>
      <c r="C6" s="137" t="s">
        <v>563</v>
      </c>
      <c r="D6" s="137" t="s">
        <v>564</v>
      </c>
      <c r="E6" s="137" t="s">
        <v>565</v>
      </c>
      <c r="F6" s="137" t="s">
        <v>566</v>
      </c>
      <c r="G6" s="137" t="s">
        <v>567</v>
      </c>
      <c r="H6" s="137"/>
      <c r="I6" s="137"/>
      <c r="J6" s="137"/>
      <c r="K6" s="137"/>
      <c r="L6" s="137"/>
      <c r="M6" s="137"/>
    </row>
    <row r="7" spans="1:17" ht="15.75" customHeight="1">
      <c r="A7" s="163"/>
      <c r="B7" s="138" t="s">
        <v>568</v>
      </c>
      <c r="C7" s="138" t="s">
        <v>569</v>
      </c>
      <c r="D7" s="138" t="s">
        <v>570</v>
      </c>
      <c r="E7" s="138" t="s">
        <v>571</v>
      </c>
      <c r="F7" s="138" t="s">
        <v>572</v>
      </c>
      <c r="G7" s="138" t="s">
        <v>573</v>
      </c>
      <c r="H7" s="138"/>
      <c r="I7" s="138"/>
      <c r="J7" s="138"/>
      <c r="K7" s="138"/>
      <c r="L7" s="138"/>
      <c r="M7" s="138"/>
    </row>
    <row r="8" spans="1:17" ht="15.75" customHeight="1">
      <c r="A8" s="163"/>
      <c r="B8" s="138" t="s">
        <v>574</v>
      </c>
      <c r="C8" s="138" t="s">
        <v>575</v>
      </c>
      <c r="D8" s="138" t="s">
        <v>576</v>
      </c>
      <c r="E8" s="138" t="s">
        <v>577</v>
      </c>
      <c r="F8" s="138" t="s">
        <v>578</v>
      </c>
      <c r="G8" s="138" t="s">
        <v>579</v>
      </c>
      <c r="H8" s="138"/>
      <c r="I8" s="138"/>
      <c r="J8" s="138"/>
      <c r="K8" s="138"/>
      <c r="L8" s="138"/>
      <c r="M8" s="138"/>
    </row>
    <row r="9" spans="1:17" ht="15.75" customHeight="1">
      <c r="A9" s="163"/>
      <c r="B9" s="138" t="s">
        <v>580</v>
      </c>
      <c r="C9" s="138" t="s">
        <v>581</v>
      </c>
      <c r="D9" s="138" t="s">
        <v>565</v>
      </c>
      <c r="E9" s="138" t="s">
        <v>582</v>
      </c>
      <c r="F9" s="138" t="s">
        <v>583</v>
      </c>
      <c r="G9" s="138" t="s">
        <v>584</v>
      </c>
      <c r="H9" s="138"/>
      <c r="I9" s="138"/>
      <c r="J9" s="138"/>
      <c r="K9" s="138"/>
      <c r="L9" s="138"/>
      <c r="M9" s="138"/>
    </row>
    <row r="10" spans="1:17" ht="15.75" customHeight="1">
      <c r="A10" s="163"/>
      <c r="B10" s="138" t="s">
        <v>585</v>
      </c>
      <c r="C10" s="138" t="s">
        <v>586</v>
      </c>
      <c r="D10" s="138"/>
      <c r="E10" s="138" t="s">
        <v>587</v>
      </c>
      <c r="F10" s="138" t="s">
        <v>588</v>
      </c>
      <c r="G10" s="138" t="s">
        <v>589</v>
      </c>
      <c r="H10" s="138"/>
      <c r="I10" s="138"/>
      <c r="J10" s="138"/>
      <c r="K10" s="138"/>
      <c r="L10" s="138"/>
      <c r="M10" s="138"/>
    </row>
    <row r="11" spans="1:17" ht="15.75" customHeight="1">
      <c r="A11" s="163"/>
      <c r="B11" s="138" t="s">
        <v>586</v>
      </c>
      <c r="C11" s="138" t="s">
        <v>590</v>
      </c>
      <c r="D11" s="138"/>
      <c r="E11" s="138"/>
      <c r="F11" s="138" t="s">
        <v>591</v>
      </c>
      <c r="G11" s="138"/>
      <c r="H11" s="138"/>
      <c r="I11" s="138"/>
      <c r="J11" s="138"/>
      <c r="K11" s="138"/>
      <c r="L11" s="138"/>
      <c r="M11" s="138"/>
    </row>
    <row r="12" spans="1:17" ht="15.75" customHeight="1">
      <c r="A12" s="163"/>
      <c r="B12" s="138" t="s">
        <v>592</v>
      </c>
      <c r="C12" s="138" t="s">
        <v>593</v>
      </c>
      <c r="D12" s="138"/>
      <c r="E12" s="138"/>
      <c r="F12" s="138" t="s">
        <v>594</v>
      </c>
      <c r="G12" s="138"/>
      <c r="H12" s="138"/>
      <c r="I12" s="138"/>
      <c r="J12" s="138"/>
      <c r="K12" s="138"/>
      <c r="L12" s="138"/>
      <c r="M12" s="138"/>
    </row>
    <row r="13" spans="1:17" ht="15.75" customHeight="1">
      <c r="A13" s="163"/>
      <c r="B13" s="138" t="s">
        <v>595</v>
      </c>
      <c r="C13" s="138" t="s">
        <v>596</v>
      </c>
      <c r="D13" s="138"/>
      <c r="E13" s="138"/>
      <c r="F13" s="138"/>
      <c r="G13" s="138"/>
      <c r="H13" s="138"/>
      <c r="I13" s="138"/>
      <c r="J13" s="138"/>
      <c r="K13" s="138"/>
      <c r="L13" s="138"/>
      <c r="M13" s="138"/>
    </row>
    <row r="14" spans="1:17" ht="15.75" customHeight="1">
      <c r="A14" s="163"/>
      <c r="B14" s="138" t="s">
        <v>597</v>
      </c>
      <c r="D14" s="138"/>
      <c r="E14" s="138"/>
      <c r="F14" s="138" t="s">
        <v>589</v>
      </c>
      <c r="G14" s="138"/>
      <c r="H14" s="138"/>
      <c r="I14" s="138"/>
      <c r="J14" s="138"/>
      <c r="K14" s="138"/>
      <c r="L14" s="138"/>
      <c r="M14" s="138"/>
    </row>
    <row r="15" spans="1:17" ht="15.75" customHeight="1">
      <c r="A15" s="163"/>
      <c r="B15" s="138" t="s">
        <v>598</v>
      </c>
      <c r="D15" s="138"/>
      <c r="E15" s="138"/>
      <c r="F15" s="138"/>
      <c r="G15" s="138"/>
      <c r="H15" s="138"/>
      <c r="I15" s="138"/>
      <c r="J15" s="138"/>
      <c r="K15" s="138"/>
      <c r="L15" s="138"/>
      <c r="M15" s="138"/>
    </row>
    <row r="16" spans="1:17" ht="15.75" customHeight="1">
      <c r="A16" s="163"/>
      <c r="B16" s="138" t="s">
        <v>599</v>
      </c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</row>
    <row r="17" spans="1:16" ht="15.75" customHeight="1">
      <c r="A17" s="164"/>
      <c r="B17" s="138" t="s">
        <v>600</v>
      </c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</row>
    <row r="18" spans="1:16" ht="15.75" customHeight="1">
      <c r="A18" s="162" t="s">
        <v>601</v>
      </c>
      <c r="B18" s="137"/>
      <c r="C18" s="137"/>
      <c r="D18" s="137"/>
      <c r="E18" s="137"/>
      <c r="F18" s="137" t="s">
        <v>602</v>
      </c>
      <c r="G18" s="137"/>
      <c r="H18" s="137"/>
      <c r="I18" s="137"/>
      <c r="J18" s="137"/>
      <c r="K18" s="137"/>
      <c r="L18" s="137"/>
      <c r="M18" s="137"/>
    </row>
    <row r="19" spans="1:16" ht="15.75" customHeight="1">
      <c r="A19" s="163"/>
      <c r="B19" s="138"/>
      <c r="C19" s="138"/>
      <c r="D19" s="138"/>
      <c r="E19" s="138"/>
      <c r="F19" s="138" t="s">
        <v>603</v>
      </c>
      <c r="G19" s="138"/>
      <c r="H19" s="138"/>
      <c r="I19" s="138"/>
      <c r="J19" s="138"/>
      <c r="K19" s="138"/>
      <c r="L19" s="138"/>
      <c r="M19" s="138"/>
    </row>
    <row r="20" spans="1:16" ht="15.75" customHeight="1">
      <c r="A20" s="163"/>
      <c r="B20" s="138"/>
      <c r="C20" s="138"/>
      <c r="D20" s="138"/>
      <c r="E20" s="138"/>
      <c r="F20" s="138" t="s">
        <v>604</v>
      </c>
      <c r="G20" s="138"/>
      <c r="H20" s="138"/>
      <c r="I20" s="138"/>
      <c r="J20" s="138"/>
      <c r="K20" s="138"/>
      <c r="L20" s="138"/>
      <c r="M20" s="138"/>
    </row>
    <row r="21" spans="1:16" ht="15.75" customHeight="1">
      <c r="A21" s="163"/>
      <c r="B21" s="138"/>
      <c r="C21" s="138"/>
      <c r="D21" s="138"/>
      <c r="E21" s="138"/>
      <c r="F21" s="138" t="s">
        <v>605</v>
      </c>
      <c r="G21" s="138"/>
      <c r="H21" s="138"/>
      <c r="I21" s="138"/>
      <c r="J21" s="138"/>
      <c r="K21" s="138"/>
      <c r="L21" s="138"/>
      <c r="M21" s="138"/>
    </row>
    <row r="22" spans="1:16" ht="15.75" customHeight="1">
      <c r="A22" s="163"/>
      <c r="B22" s="138"/>
      <c r="C22" s="138"/>
      <c r="D22" s="138"/>
      <c r="E22" s="138"/>
      <c r="F22" s="138" t="s">
        <v>606</v>
      </c>
      <c r="G22" s="138"/>
      <c r="H22" s="138"/>
      <c r="I22" s="138"/>
      <c r="J22" s="138"/>
      <c r="K22" s="138"/>
      <c r="L22" s="138"/>
      <c r="M22" s="138"/>
    </row>
    <row r="23" spans="1:16" ht="15.75" customHeight="1">
      <c r="A23" s="163"/>
      <c r="B23" s="138"/>
      <c r="C23" s="138"/>
      <c r="D23" s="138"/>
      <c r="E23" s="138"/>
      <c r="F23" s="138" t="s">
        <v>607</v>
      </c>
      <c r="G23" s="138"/>
      <c r="H23" s="138"/>
      <c r="I23" s="138"/>
      <c r="J23" s="138"/>
      <c r="K23" s="138"/>
      <c r="L23" s="138"/>
      <c r="M23" s="138"/>
    </row>
    <row r="24" spans="1:16" ht="15.75" customHeight="1">
      <c r="A24" s="163"/>
      <c r="B24" s="138"/>
      <c r="C24" s="138"/>
      <c r="D24" s="138"/>
      <c r="E24" s="138"/>
      <c r="F24" s="138" t="s">
        <v>608</v>
      </c>
      <c r="G24" s="138"/>
      <c r="H24" s="138"/>
      <c r="I24" s="138"/>
      <c r="J24" s="138"/>
      <c r="K24" s="138"/>
      <c r="L24" s="138"/>
      <c r="M24" s="138"/>
    </row>
    <row r="25" spans="1:16" ht="15.75" customHeight="1">
      <c r="A25" s="163"/>
      <c r="B25" s="138"/>
      <c r="C25" s="138"/>
      <c r="D25" s="138"/>
      <c r="E25" s="138"/>
      <c r="F25" s="138" t="s">
        <v>594</v>
      </c>
      <c r="G25" s="138"/>
      <c r="H25" s="138"/>
      <c r="I25" s="138"/>
      <c r="J25" s="138"/>
      <c r="K25" s="138"/>
      <c r="L25" s="138"/>
      <c r="M25" s="138"/>
    </row>
    <row r="26" spans="1:16" ht="15.75" customHeight="1">
      <c r="A26" s="163"/>
      <c r="B26" s="138"/>
      <c r="C26" s="138"/>
      <c r="D26" s="138"/>
      <c r="E26" s="138"/>
      <c r="F26" s="138" t="s">
        <v>609</v>
      </c>
      <c r="G26" s="138"/>
      <c r="H26" s="138"/>
      <c r="I26" s="138"/>
      <c r="J26" s="138"/>
      <c r="K26" s="138"/>
      <c r="L26" s="138"/>
      <c r="M26" s="138"/>
    </row>
    <row r="27" spans="1:16" ht="15.75" customHeight="1">
      <c r="A27" s="163"/>
      <c r="B27" s="138"/>
      <c r="C27" s="138"/>
      <c r="D27" s="138"/>
      <c r="E27" s="138"/>
      <c r="F27" s="138" t="s">
        <v>589</v>
      </c>
      <c r="G27" s="138"/>
      <c r="H27" s="138"/>
      <c r="I27" s="138"/>
      <c r="J27" s="138"/>
      <c r="K27" s="138"/>
      <c r="L27" s="138"/>
      <c r="M27" s="138"/>
    </row>
    <row r="28" spans="1:16" ht="15.75" customHeight="1">
      <c r="A28" s="163"/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</row>
    <row r="29" spans="1:16" ht="15">
      <c r="A29" s="164"/>
      <c r="B29" s="139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9"/>
    </row>
    <row r="30" spans="1:16" ht="15">
      <c r="A30" s="140" t="s">
        <v>610</v>
      </c>
      <c r="B30" s="141">
        <f t="shared" ref="B30:G30" si="0">COUNTA(B6:B29)</f>
        <v>12</v>
      </c>
      <c r="C30" s="141">
        <f t="shared" si="0"/>
        <v>8</v>
      </c>
      <c r="D30" s="141">
        <f t="shared" si="0"/>
        <v>4</v>
      </c>
      <c r="E30" s="141">
        <f t="shared" si="0"/>
        <v>5</v>
      </c>
      <c r="F30" s="141">
        <f t="shared" si="0"/>
        <v>18</v>
      </c>
      <c r="G30" s="141">
        <f t="shared" si="0"/>
        <v>5</v>
      </c>
    </row>
    <row r="31" spans="1:16" ht="12.75">
      <c r="A31" s="4" t="s">
        <v>611</v>
      </c>
    </row>
    <row r="32" spans="1:16" ht="12.75">
      <c r="A32" s="4" t="s">
        <v>29</v>
      </c>
      <c r="B32" s="4">
        <f>COUNTIFS('All sensors Installed'!$B:$B,$A32,'All sensors Installed'!$F:$F,B$1)</f>
        <v>1</v>
      </c>
      <c r="C32" s="4">
        <f>COUNTIFS('All sensors Installed'!$B:$B,$A32,'All sensors Installed'!$F:$F,C$1)</f>
        <v>1</v>
      </c>
      <c r="D32" s="4">
        <f>COUNTIFS('All sensors Installed'!$B:$B,$A32,'All sensors Installed'!$F:$F,D$1)</f>
        <v>1</v>
      </c>
      <c r="E32" s="4">
        <f>COUNTIFS('All sensors Installed'!$B:$B,$A32,'All sensors Installed'!$F:$F,E$1)</f>
        <v>1</v>
      </c>
      <c r="F32" s="4">
        <f>COUNTIFS('All sensors Installed'!$B:$B,$A32,'All sensors Installed'!$F:$F,F$1)</f>
        <v>1</v>
      </c>
      <c r="G32" s="4">
        <f>COUNTIFS('All sensors Installed'!$B:$B,$A32,'All sensors Installed'!$F:$F,G$1)</f>
        <v>1</v>
      </c>
      <c r="H32" s="4">
        <f>COUNTIFS('All sensors Installed'!$B:$B,$A32,'All sensors Installed'!$F:$F,H$1)</f>
        <v>0</v>
      </c>
      <c r="I32" s="4">
        <f>COUNTIFS('All sensors Installed'!$B:$B,$A32,'All sensors Installed'!$F:$F,I$1)</f>
        <v>0</v>
      </c>
      <c r="J32" s="4">
        <f>COUNTIFS('All sensors Installed'!$B:$B,$A32,'All sensors Installed'!$F:$F,J$1)</f>
        <v>0</v>
      </c>
      <c r="K32" s="4">
        <f>COUNTIFS('All sensors Installed'!$B:$B,$A32,'All sensors Installed'!$F:$F,K$1)</f>
        <v>0</v>
      </c>
      <c r="L32" s="4">
        <f>COUNTIFS('All sensors Installed'!$B:$B,$A32,'All sensors Installed'!$F:$F,L$1)</f>
        <v>0</v>
      </c>
      <c r="M32" s="4">
        <f>COUNTIFS('All sensors Installed'!$B:$B,$A32,'All sensors Installed'!$F:$F,M$1)</f>
        <v>0</v>
      </c>
      <c r="N32" s="4">
        <f>COUNTIFS('All sensors Installed'!$B:$B,$A32,'All sensors Installed'!$F:$F,N$1)</f>
        <v>0</v>
      </c>
      <c r="O32" s="4">
        <f>COUNTIFS('All sensors Installed'!$B:$B,$A32,'All sensors Installed'!$F:$F,O$1)</f>
        <v>0</v>
      </c>
      <c r="P32" s="4">
        <f>COUNTIFS('All sensors Installed'!$B:$B,$A32,'All sensors Installed'!$F:$F,P$1)</f>
        <v>0</v>
      </c>
    </row>
    <row r="33" spans="1:16" ht="12.75">
      <c r="A33" s="4" t="s">
        <v>79</v>
      </c>
      <c r="B33" s="4">
        <f>COUNTIFS('All sensors Installed'!$B:$B,$A33,'All sensors Installed'!$F:$F,B$1)</f>
        <v>2</v>
      </c>
      <c r="C33" s="4">
        <f>COUNTIFS('All sensors Installed'!$B:$B,$A33,'All sensors Installed'!$F:$F,C$1)</f>
        <v>0</v>
      </c>
      <c r="D33" s="4">
        <f>COUNTIFS('All sensors Installed'!$B:$B,$A33,'All sensors Installed'!$F:$F,D$1)</f>
        <v>0</v>
      </c>
      <c r="E33" s="4">
        <f>COUNTIFS('All sensors Installed'!$B:$B,$A33,'All sensors Installed'!$F:$F,E$1)</f>
        <v>0</v>
      </c>
      <c r="F33" s="4">
        <f>COUNTIFS('All sensors Installed'!$B:$B,$A33,'All sensors Installed'!$F:$F,F$1)</f>
        <v>10</v>
      </c>
      <c r="G33" s="4">
        <f>COUNTIFS('All sensors Installed'!$B:$B,$A33,'All sensors Installed'!$F:$F,G$1)</f>
        <v>0</v>
      </c>
      <c r="H33" s="4">
        <f>COUNTIFS('All sensors Installed'!$B:$B,$A33,'All sensors Installed'!$F:$F,H$1)</f>
        <v>12</v>
      </c>
      <c r="I33" s="4">
        <f>COUNTIFS('All sensors Installed'!$B:$B,$A33,'All sensors Installed'!$F:$F,I$1)</f>
        <v>1</v>
      </c>
      <c r="J33" s="4">
        <f>COUNTIFS('All sensors Installed'!$B:$B,$A33,'All sensors Installed'!$F:$F,J$1)</f>
        <v>2</v>
      </c>
      <c r="K33" s="4">
        <f>COUNTIFS('All sensors Installed'!$B:$B,$A33,'All sensors Installed'!$F:$F,K$1)</f>
        <v>3</v>
      </c>
      <c r="L33" s="4">
        <f>COUNTIFS('All sensors Installed'!$B:$B,$A33,'All sensors Installed'!$F:$F,L$1)</f>
        <v>0</v>
      </c>
      <c r="M33" s="4">
        <f>COUNTIFS('All sensors Installed'!$B:$B,$A33,'All sensors Installed'!$F:$F,M$1)</f>
        <v>0</v>
      </c>
      <c r="N33" s="4">
        <f>COUNTIFS('All sensors Installed'!$B:$B,$A33,'All sensors Installed'!$F:$F,N$1)</f>
        <v>0</v>
      </c>
      <c r="O33" s="4">
        <f>COUNTIFS('All sensors Installed'!$B:$B,$A33,'All sensors Installed'!$F:$F,O$1)</f>
        <v>0</v>
      </c>
      <c r="P33" s="4">
        <f>COUNTIFS('All sensors Installed'!$B:$B,$A33,'All sensors Installed'!$F:$F,P$1)</f>
        <v>0</v>
      </c>
    </row>
    <row r="34" spans="1:16" ht="12.75">
      <c r="A34" s="4" t="s">
        <v>612</v>
      </c>
      <c r="B34" s="4">
        <f>COUNTIFS('All sensors Installed'!$B:$B,$A34,'All sensors Installed'!$F:$F,B$1)</f>
        <v>0</v>
      </c>
      <c r="C34" s="4">
        <f>COUNTIFS('All sensors Installed'!$B:$B,$A34,'All sensors Installed'!$F:$F,C$1)</f>
        <v>0</v>
      </c>
      <c r="D34" s="4">
        <f>COUNTIFS('All sensors Installed'!$B:$B,$A34,'All sensors Installed'!$F:$F,D$1)</f>
        <v>0</v>
      </c>
      <c r="E34" s="4">
        <f>COUNTIFS('All sensors Installed'!$B:$B,$A34,'All sensors Installed'!$F:$F,E$1)</f>
        <v>0</v>
      </c>
      <c r="F34" s="4">
        <f>COUNTIFS('All sensors Installed'!$B:$B,$A34,'All sensors Installed'!$F:$F,F$1)</f>
        <v>0</v>
      </c>
      <c r="G34" s="4">
        <f>COUNTIFS('All sensors Installed'!$B:$B,$A34,'All sensors Installed'!$F:$F,G$1)</f>
        <v>0</v>
      </c>
      <c r="H34" s="4">
        <f>COUNTIFS('All sensors Installed'!$B:$B,$A34,'All sensors Installed'!$F:$F,H$1)</f>
        <v>0</v>
      </c>
      <c r="I34" s="4">
        <f>COUNTIFS('All sensors Installed'!$B:$B,$A34,'All sensors Installed'!$F:$F,I$1)</f>
        <v>0</v>
      </c>
      <c r="J34" s="4">
        <f>COUNTIFS('All sensors Installed'!$B:$B,$A34,'All sensors Installed'!$F:$F,J$1)</f>
        <v>0</v>
      </c>
      <c r="K34" s="4">
        <f>COUNTIFS('All sensors Installed'!$B:$B,$A34,'All sensors Installed'!$F:$F,K$1)</f>
        <v>0</v>
      </c>
      <c r="L34" s="4">
        <f>COUNTIFS('All sensors Installed'!$B:$B,$A34,'All sensors Installed'!$F:$F,L$1)</f>
        <v>1</v>
      </c>
      <c r="M34" s="4">
        <f>COUNTIFS('All sensors Installed'!$B:$B,$A34,'All sensors Installed'!$F:$F,M$1)</f>
        <v>7</v>
      </c>
      <c r="N34" s="4">
        <f>COUNTIFS('All sensors Installed'!$B:$B,$A34,'All sensors Installed'!$F:$F,N$1)</f>
        <v>7</v>
      </c>
      <c r="O34" s="4">
        <f>COUNTIFS('All sensors Installed'!$B:$B,$A34,'All sensors Installed'!$F:$F,O$1)</f>
        <v>2</v>
      </c>
      <c r="P34" s="4">
        <f>COUNTIFS('All sensors Installed'!$B:$B,$A34,'All sensors Installed'!$F:$F,P$1)</f>
        <v>0</v>
      </c>
    </row>
    <row r="35" spans="1:16" ht="12.75">
      <c r="A35" s="4" t="s">
        <v>613</v>
      </c>
      <c r="B35" s="4">
        <f>COUNTIFS('All sensors Installed'!$B:$B,$A35,'All sensors Installed'!$F:$F,B$1)</f>
        <v>0</v>
      </c>
      <c r="C35" s="4">
        <f>COUNTIFS('All sensors Installed'!$B:$B,$A35,'All sensors Installed'!$F:$F,C$1)</f>
        <v>0</v>
      </c>
      <c r="D35" s="4">
        <f>COUNTIFS('All sensors Installed'!$B:$B,$A35,'All sensors Installed'!$F:$F,D$1)</f>
        <v>0</v>
      </c>
      <c r="E35" s="4">
        <f>COUNTIFS('All sensors Installed'!$B:$B,$A35,'All sensors Installed'!$F:$F,E$1)</f>
        <v>0</v>
      </c>
      <c r="F35" s="4">
        <f>COUNTIFS('All sensors Installed'!$B:$B,$A35,'All sensors Installed'!$F:$F,F$1)</f>
        <v>0</v>
      </c>
      <c r="G35" s="4">
        <f>COUNTIFS('All sensors Installed'!$B:$B,$A35,'All sensors Installed'!$F:$F,G$1)</f>
        <v>0</v>
      </c>
      <c r="H35" s="4">
        <f>COUNTIFS('All sensors Installed'!$B:$B,$A35,'All sensors Installed'!$F:$F,H$1)</f>
        <v>0</v>
      </c>
      <c r="I35" s="4">
        <f>COUNTIFS('All sensors Installed'!$B:$B,$A35,'All sensors Installed'!$F:$F,I$1)</f>
        <v>0</v>
      </c>
      <c r="J35" s="4">
        <f>COUNTIFS('All sensors Installed'!$B:$B,$A35,'All sensors Installed'!$F:$F,J$1)</f>
        <v>0</v>
      </c>
      <c r="K35" s="4">
        <f>COUNTIFS('All sensors Installed'!$B:$B,$A35,'All sensors Installed'!$F:$F,K$1)</f>
        <v>0</v>
      </c>
      <c r="L35" s="4">
        <f>COUNTIFS('All sensors Installed'!$B:$B,$A35,'All sensors Installed'!$F:$F,L$1)</f>
        <v>0</v>
      </c>
      <c r="M35" s="4">
        <f>COUNTIFS('All sensors Installed'!$B:$B,$A35,'All sensors Installed'!$F:$F,M$1)</f>
        <v>0</v>
      </c>
      <c r="N35" s="4">
        <f>COUNTIFS('All sensors Installed'!$B:$B,$A35,'All sensors Installed'!$F:$F,N$1)</f>
        <v>0</v>
      </c>
      <c r="O35" s="4">
        <f>COUNTIFS('All sensors Installed'!$B:$B,$A35,'All sensors Installed'!$F:$F,O$1)</f>
        <v>0</v>
      </c>
      <c r="P35" s="4">
        <f>COUNTIFS('All sensors Installed'!$B:$B,$A35,'All sensors Installed'!$F:$F,P$1)</f>
        <v>0</v>
      </c>
    </row>
    <row r="36" spans="1:16" ht="12.75">
      <c r="A36" s="4" t="s">
        <v>614</v>
      </c>
      <c r="B36" s="4">
        <f>COUNTIFS('All sensors Installed'!$B:$B,$A36,'All sensors Installed'!$F:$F,B$1)</f>
        <v>0</v>
      </c>
      <c r="C36" s="4">
        <f>COUNTIFS('All sensors Installed'!$B:$B,$A36,'All sensors Installed'!$F:$F,C$1)</f>
        <v>0</v>
      </c>
      <c r="D36" s="4">
        <f>COUNTIFS('All sensors Installed'!$B:$B,$A36,'All sensors Installed'!$F:$F,D$1)</f>
        <v>0</v>
      </c>
      <c r="E36" s="4">
        <f>COUNTIFS('All sensors Installed'!$B:$B,$A36,'All sensors Installed'!$F:$F,E$1)</f>
        <v>0</v>
      </c>
      <c r="F36" s="4">
        <f>COUNTIFS('All sensors Installed'!$B:$B,$A36,'All sensors Installed'!$F:$F,F$1)</f>
        <v>0</v>
      </c>
      <c r="G36" s="4">
        <f>COUNTIFS('All sensors Installed'!$B:$B,$A36,'All sensors Installed'!$F:$F,G$1)</f>
        <v>0</v>
      </c>
      <c r="H36" s="4">
        <f>COUNTIFS('All sensors Installed'!$B:$B,$A36,'All sensors Installed'!$F:$F,H$1)</f>
        <v>0</v>
      </c>
      <c r="I36" s="4">
        <f>COUNTIFS('All sensors Installed'!$B:$B,$A36,'All sensors Installed'!$F:$F,I$1)</f>
        <v>0</v>
      </c>
      <c r="J36" s="4">
        <f>COUNTIFS('All sensors Installed'!$B:$B,$A36,'All sensors Installed'!$F:$F,J$1)</f>
        <v>0</v>
      </c>
      <c r="K36" s="4">
        <f>COUNTIFS('All sensors Installed'!$B:$B,$A36,'All sensors Installed'!$F:$F,K$1)</f>
        <v>0</v>
      </c>
      <c r="L36" s="4">
        <f>COUNTIFS('All sensors Installed'!$B:$B,$A36,'All sensors Installed'!$F:$F,L$1)</f>
        <v>0</v>
      </c>
      <c r="M36" s="4">
        <f>COUNTIFS('All sensors Installed'!$B:$B,$A36,'All sensors Installed'!$F:$F,M$1)</f>
        <v>0</v>
      </c>
      <c r="N36" s="4">
        <f>COUNTIFS('All sensors Installed'!$B:$B,$A36,'All sensors Installed'!$F:$F,N$1)</f>
        <v>0</v>
      </c>
      <c r="O36" s="4">
        <f>COUNTIFS('All sensors Installed'!$B:$B,$A36,'All sensors Installed'!$F:$F,O$1)</f>
        <v>0</v>
      </c>
      <c r="P36" s="4">
        <f>COUNTIFS('All sensors Installed'!$B:$B,$A36,'All sensors Installed'!$F:$F,P$1)</f>
        <v>0</v>
      </c>
    </row>
  </sheetData>
  <mergeCells count="2">
    <mergeCell ref="A6:A17"/>
    <mergeCell ref="A18:A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51"/>
  <sheetViews>
    <sheetView workbookViewId="0">
      <pane ySplit="6" topLeftCell="A7" activePane="bottomLeft" state="frozen"/>
      <selection pane="bottomLeft" activeCell="B8" sqref="B8"/>
    </sheetView>
  </sheetViews>
  <sheetFormatPr defaultColWidth="12.5703125" defaultRowHeight="15.75" customHeight="1"/>
  <cols>
    <col min="1" max="1" width="17.85546875" customWidth="1"/>
    <col min="3" max="3" width="14" customWidth="1"/>
    <col min="5" max="5" width="17.85546875" customWidth="1"/>
    <col min="6" max="6" width="16.42578125" customWidth="1"/>
    <col min="7" max="7" width="18.85546875" customWidth="1"/>
  </cols>
  <sheetData>
    <row r="1" spans="1:17">
      <c r="A1" s="20" t="s">
        <v>532</v>
      </c>
      <c r="B1" s="134" t="s">
        <v>33</v>
      </c>
      <c r="C1" s="134" t="s">
        <v>38</v>
      </c>
      <c r="D1" s="134" t="s">
        <v>47</v>
      </c>
      <c r="E1" s="134" t="s">
        <v>55</v>
      </c>
      <c r="F1" s="134" t="s">
        <v>63</v>
      </c>
      <c r="G1" s="134" t="s">
        <v>71</v>
      </c>
      <c r="H1" s="134" t="s">
        <v>108</v>
      </c>
      <c r="I1" s="134" t="s">
        <v>148</v>
      </c>
      <c r="J1" s="134" t="s">
        <v>151</v>
      </c>
      <c r="K1" s="134" t="s">
        <v>162</v>
      </c>
      <c r="L1" s="134" t="s">
        <v>298</v>
      </c>
      <c r="M1" s="134" t="s">
        <v>188</v>
      </c>
      <c r="N1" s="134" t="s">
        <v>198</v>
      </c>
      <c r="O1" s="134" t="s">
        <v>207</v>
      </c>
      <c r="P1" s="134" t="s">
        <v>533</v>
      </c>
      <c r="Q1" s="134"/>
    </row>
    <row r="2" spans="1:17">
      <c r="A2" s="20" t="s">
        <v>8</v>
      </c>
      <c r="B2" s="20" t="s">
        <v>181</v>
      </c>
      <c r="C2" s="20" t="s">
        <v>189</v>
      </c>
      <c r="D2" s="20" t="s">
        <v>189</v>
      </c>
      <c r="E2" s="20" t="s">
        <v>189</v>
      </c>
      <c r="F2" s="20" t="s">
        <v>189</v>
      </c>
      <c r="G2" s="20" t="s">
        <v>189</v>
      </c>
      <c r="H2" s="20" t="s">
        <v>189</v>
      </c>
      <c r="I2" s="20" t="s">
        <v>189</v>
      </c>
      <c r="J2" s="20" t="s">
        <v>534</v>
      </c>
      <c r="K2" s="20" t="s">
        <v>189</v>
      </c>
      <c r="L2" s="20" t="s">
        <v>534</v>
      </c>
      <c r="M2" s="20" t="s">
        <v>534</v>
      </c>
      <c r="N2" s="4" t="s">
        <v>189</v>
      </c>
      <c r="O2" s="135" t="s">
        <v>535</v>
      </c>
      <c r="P2" s="135" t="s">
        <v>535</v>
      </c>
    </row>
    <row r="3" spans="1:17">
      <c r="A3" s="20" t="s">
        <v>9</v>
      </c>
      <c r="B3" s="20" t="s">
        <v>536</v>
      </c>
      <c r="C3" s="20" t="s">
        <v>537</v>
      </c>
      <c r="D3" s="20" t="s">
        <v>537</v>
      </c>
      <c r="E3" s="20" t="s">
        <v>538</v>
      </c>
      <c r="F3" s="20" t="s">
        <v>539</v>
      </c>
      <c r="G3" s="20" t="s">
        <v>539</v>
      </c>
      <c r="H3" s="20" t="s">
        <v>540</v>
      </c>
      <c r="I3" s="20" t="s">
        <v>541</v>
      </c>
      <c r="J3" s="20" t="s">
        <v>542</v>
      </c>
      <c r="K3" s="20" t="s">
        <v>543</v>
      </c>
      <c r="L3" s="20" t="s">
        <v>544</v>
      </c>
      <c r="M3" s="20" t="s">
        <v>544</v>
      </c>
      <c r="N3" s="4" t="s">
        <v>190</v>
      </c>
      <c r="O3" s="135" t="s">
        <v>199</v>
      </c>
      <c r="P3" s="4" t="s">
        <v>545</v>
      </c>
    </row>
    <row r="4" spans="1:17" ht="15.75" customHeight="1">
      <c r="A4" s="20" t="s">
        <v>10</v>
      </c>
      <c r="B4" s="20" t="s">
        <v>546</v>
      </c>
      <c r="C4" s="20" t="s">
        <v>37</v>
      </c>
      <c r="D4" s="136" t="s">
        <v>547</v>
      </c>
      <c r="E4" s="136" t="s">
        <v>548</v>
      </c>
      <c r="F4" s="20" t="s">
        <v>549</v>
      </c>
      <c r="G4" s="20" t="s">
        <v>550</v>
      </c>
      <c r="H4" s="20" t="s">
        <v>551</v>
      </c>
      <c r="I4" s="20" t="s">
        <v>552</v>
      </c>
      <c r="J4" s="20" t="s">
        <v>553</v>
      </c>
      <c r="K4" s="20" t="s">
        <v>554</v>
      </c>
      <c r="L4" s="20" t="s">
        <v>555</v>
      </c>
      <c r="M4" s="20" t="s">
        <v>556</v>
      </c>
      <c r="N4" s="4" t="s">
        <v>557</v>
      </c>
      <c r="O4" s="135" t="s">
        <v>558</v>
      </c>
      <c r="P4" s="4" t="s">
        <v>209</v>
      </c>
    </row>
    <row r="5" spans="1:17">
      <c r="A5" s="20" t="s">
        <v>559</v>
      </c>
      <c r="B5" s="20"/>
      <c r="C5" s="20" t="s">
        <v>29</v>
      </c>
      <c r="D5" s="20" t="s">
        <v>29</v>
      </c>
      <c r="E5" s="20" t="s">
        <v>29</v>
      </c>
      <c r="F5" s="20"/>
      <c r="G5" s="20"/>
      <c r="H5" s="20" t="s">
        <v>560</v>
      </c>
      <c r="I5" s="20" t="s">
        <v>560</v>
      </c>
      <c r="J5" s="20" t="s">
        <v>560</v>
      </c>
      <c r="K5" s="20"/>
      <c r="L5" s="20" t="s">
        <v>176</v>
      </c>
      <c r="M5" s="20" t="s">
        <v>176</v>
      </c>
      <c r="N5" s="20" t="s">
        <v>176</v>
      </c>
      <c r="O5" s="20" t="s">
        <v>176</v>
      </c>
      <c r="P5" s="20" t="s">
        <v>176</v>
      </c>
      <c r="Q5" s="20"/>
    </row>
    <row r="6" spans="1:17" ht="15.75" customHeight="1">
      <c r="A6" s="142" t="s">
        <v>615</v>
      </c>
      <c r="B6" s="138"/>
      <c r="C6" s="137" t="s">
        <v>616</v>
      </c>
      <c r="D6" s="137" t="s">
        <v>617</v>
      </c>
      <c r="E6" s="137" t="s">
        <v>618</v>
      </c>
      <c r="F6" s="143" t="s">
        <v>619</v>
      </c>
      <c r="G6" s="137" t="s">
        <v>620</v>
      </c>
      <c r="H6" s="137"/>
      <c r="I6" s="137"/>
      <c r="J6" s="137"/>
      <c r="K6" s="137"/>
      <c r="L6" s="137"/>
      <c r="M6" s="137"/>
    </row>
    <row r="7" spans="1:17" ht="15.75" customHeight="1">
      <c r="A7" s="162" t="s">
        <v>561</v>
      </c>
      <c r="B7" s="138" t="s">
        <v>562</v>
      </c>
      <c r="C7" s="137" t="s">
        <v>563</v>
      </c>
      <c r="D7" s="137" t="s">
        <v>564</v>
      </c>
      <c r="E7" s="137" t="s">
        <v>565</v>
      </c>
      <c r="F7" s="137" t="s">
        <v>566</v>
      </c>
      <c r="G7" s="137" t="s">
        <v>567</v>
      </c>
      <c r="H7" s="137"/>
      <c r="I7" s="137"/>
      <c r="J7" s="137"/>
      <c r="K7" s="137"/>
      <c r="L7" s="137"/>
      <c r="M7" s="137"/>
    </row>
    <row r="8" spans="1:17" ht="15.75" customHeight="1">
      <c r="A8" s="163"/>
      <c r="B8" s="138"/>
      <c r="C8" s="138" t="s">
        <v>569</v>
      </c>
      <c r="D8" s="138" t="s">
        <v>570</v>
      </c>
      <c r="E8" s="138" t="s">
        <v>571</v>
      </c>
      <c r="F8" s="138" t="s">
        <v>572</v>
      </c>
      <c r="G8" s="138" t="s">
        <v>573</v>
      </c>
      <c r="H8" s="138"/>
      <c r="I8" s="138"/>
      <c r="J8" s="138"/>
      <c r="K8" s="138"/>
      <c r="L8" s="138"/>
      <c r="M8" s="138"/>
    </row>
    <row r="9" spans="1:17" ht="15.75" customHeight="1">
      <c r="A9" s="163"/>
      <c r="B9" s="138"/>
      <c r="C9" s="138" t="s">
        <v>575</v>
      </c>
      <c r="D9" s="138"/>
      <c r="E9" s="138" t="s">
        <v>577</v>
      </c>
      <c r="F9" s="138" t="s">
        <v>578</v>
      </c>
      <c r="G9" s="138"/>
      <c r="H9" s="138"/>
      <c r="I9" s="138"/>
      <c r="J9" s="138"/>
      <c r="K9" s="138"/>
      <c r="L9" s="138"/>
      <c r="M9" s="138"/>
    </row>
    <row r="10" spans="1:17" ht="15.75" customHeight="1">
      <c r="A10" s="163"/>
      <c r="B10" s="138"/>
      <c r="C10" s="138"/>
      <c r="D10" s="138"/>
      <c r="E10" s="138" t="s">
        <v>582</v>
      </c>
      <c r="F10" s="138" t="s">
        <v>583</v>
      </c>
      <c r="G10" s="138"/>
      <c r="H10" s="138"/>
      <c r="I10" s="138"/>
      <c r="J10" s="138"/>
      <c r="K10" s="138"/>
      <c r="L10" s="138"/>
      <c r="M10" s="138"/>
    </row>
    <row r="11" spans="1:17" ht="15.75" customHeight="1">
      <c r="A11" s="163"/>
      <c r="B11" s="138"/>
      <c r="C11" s="138"/>
      <c r="D11" s="138"/>
      <c r="E11" s="138" t="s">
        <v>587</v>
      </c>
      <c r="F11" s="138" t="s">
        <v>588</v>
      </c>
      <c r="G11" s="138"/>
      <c r="H11" s="138"/>
      <c r="I11" s="138"/>
      <c r="J11" s="138"/>
      <c r="K11" s="138"/>
      <c r="L11" s="138"/>
      <c r="M11" s="138"/>
    </row>
    <row r="12" spans="1:17" ht="15.75" customHeight="1">
      <c r="A12" s="163"/>
      <c r="B12" s="138"/>
      <c r="C12" s="138"/>
      <c r="D12" s="138"/>
      <c r="E12" s="138"/>
      <c r="F12" s="138" t="s">
        <v>591</v>
      </c>
      <c r="G12" s="138"/>
      <c r="H12" s="138"/>
      <c r="I12" s="138"/>
      <c r="J12" s="138"/>
      <c r="K12" s="138"/>
      <c r="L12" s="138"/>
      <c r="M12" s="138"/>
    </row>
    <row r="13" spans="1:17" ht="15.75" customHeight="1">
      <c r="A13" s="163"/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</row>
    <row r="14" spans="1:17" ht="15.75" customHeight="1">
      <c r="A14" s="163"/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</row>
    <row r="15" spans="1:17" ht="15.75" customHeight="1">
      <c r="A15" s="163"/>
      <c r="B15" s="138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</row>
    <row r="16" spans="1:17" ht="15.75" customHeight="1">
      <c r="A16" s="163"/>
      <c r="B16" s="138"/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</row>
    <row r="17" spans="1:13" ht="15.75" customHeight="1">
      <c r="A17" s="163"/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</row>
    <row r="18" spans="1:13" ht="15.75" customHeight="1">
      <c r="A18" s="164"/>
      <c r="B18" s="138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</row>
    <row r="19" spans="1:13" ht="15.75" customHeight="1">
      <c r="A19" s="162" t="s">
        <v>601</v>
      </c>
      <c r="B19" s="137"/>
      <c r="C19" s="137"/>
      <c r="D19" s="137"/>
      <c r="E19" s="137"/>
      <c r="F19" s="137" t="s">
        <v>602</v>
      </c>
      <c r="G19" s="137"/>
      <c r="H19" s="137"/>
      <c r="I19" s="137"/>
      <c r="J19" s="137"/>
      <c r="K19" s="137"/>
      <c r="L19" s="137"/>
      <c r="M19" s="137"/>
    </row>
    <row r="20" spans="1:13" ht="15.75" customHeight="1">
      <c r="A20" s="163"/>
      <c r="B20" s="138"/>
      <c r="C20" s="138"/>
      <c r="D20" s="138"/>
      <c r="E20" s="138"/>
      <c r="F20" s="138" t="s">
        <v>603</v>
      </c>
      <c r="G20" s="138"/>
      <c r="H20" s="138"/>
      <c r="I20" s="138"/>
      <c r="J20" s="138"/>
      <c r="K20" s="138"/>
      <c r="L20" s="138"/>
      <c r="M20" s="138"/>
    </row>
    <row r="21" spans="1:13" ht="15.75" customHeight="1">
      <c r="A21" s="163"/>
      <c r="B21" s="138"/>
      <c r="C21" s="138"/>
      <c r="D21" s="138"/>
      <c r="E21" s="138"/>
      <c r="F21" s="138" t="s">
        <v>604</v>
      </c>
      <c r="G21" s="138"/>
      <c r="H21" s="138"/>
      <c r="I21" s="138"/>
      <c r="J21" s="138"/>
      <c r="K21" s="138"/>
      <c r="L21" s="138"/>
      <c r="M21" s="138"/>
    </row>
    <row r="22" spans="1:13" ht="15.75" customHeight="1">
      <c r="A22" s="163"/>
      <c r="B22" s="138"/>
      <c r="C22" s="138"/>
      <c r="D22" s="138"/>
      <c r="E22" s="138"/>
      <c r="F22" s="138" t="s">
        <v>605</v>
      </c>
      <c r="G22" s="138"/>
      <c r="H22" s="138"/>
      <c r="I22" s="138"/>
      <c r="J22" s="138"/>
      <c r="K22" s="138"/>
      <c r="L22" s="138"/>
      <c r="M22" s="138"/>
    </row>
    <row r="23" spans="1:13" ht="15.75" customHeight="1">
      <c r="A23" s="163"/>
      <c r="B23" s="138"/>
      <c r="C23" s="138"/>
      <c r="D23" s="138"/>
      <c r="E23" s="138"/>
      <c r="F23" s="138" t="s">
        <v>606</v>
      </c>
      <c r="G23" s="138"/>
      <c r="H23" s="138"/>
      <c r="I23" s="138"/>
      <c r="J23" s="138"/>
      <c r="K23" s="138"/>
      <c r="L23" s="138"/>
      <c r="M23" s="138"/>
    </row>
    <row r="24" spans="1:13" ht="15.75" customHeight="1">
      <c r="A24" s="163"/>
      <c r="B24" s="138"/>
      <c r="C24" s="138"/>
      <c r="D24" s="138"/>
      <c r="E24" s="138"/>
      <c r="F24" s="138" t="s">
        <v>607</v>
      </c>
      <c r="G24" s="138"/>
      <c r="H24" s="138"/>
      <c r="I24" s="138"/>
      <c r="J24" s="138"/>
      <c r="K24" s="138"/>
      <c r="L24" s="138"/>
      <c r="M24" s="138"/>
    </row>
    <row r="25" spans="1:13" ht="15.75" customHeight="1">
      <c r="A25" s="163"/>
      <c r="B25" s="138"/>
      <c r="C25" s="138"/>
      <c r="D25" s="138"/>
      <c r="E25" s="138"/>
      <c r="F25" s="138" t="s">
        <v>608</v>
      </c>
      <c r="G25" s="138"/>
      <c r="H25" s="138"/>
      <c r="I25" s="138"/>
      <c r="J25" s="138"/>
      <c r="K25" s="138"/>
      <c r="L25" s="138"/>
      <c r="M25" s="138"/>
    </row>
    <row r="26" spans="1:13" ht="15.75" customHeight="1">
      <c r="A26" s="163"/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</row>
    <row r="27" spans="1:13" ht="15.75" customHeight="1">
      <c r="A27" s="163"/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</row>
    <row r="28" spans="1:13" ht="15.75" customHeight="1">
      <c r="A28" s="163"/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</row>
    <row r="29" spans="1:13" ht="15.75" customHeight="1">
      <c r="A29" s="163"/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</row>
    <row r="30" spans="1:13" ht="15">
      <c r="A30" s="164"/>
      <c r="B30" s="139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39"/>
    </row>
    <row r="31" spans="1:13" ht="15">
      <c r="A31" s="140" t="s">
        <v>610</v>
      </c>
      <c r="B31" s="141">
        <f t="shared" ref="B31:G31" si="0">COUNTA(B7:B30)</f>
        <v>1</v>
      </c>
      <c r="C31" s="141">
        <f t="shared" si="0"/>
        <v>3</v>
      </c>
      <c r="D31" s="141">
        <f t="shared" si="0"/>
        <v>2</v>
      </c>
      <c r="E31" s="141">
        <f t="shared" si="0"/>
        <v>5</v>
      </c>
      <c r="F31" s="141">
        <f t="shared" si="0"/>
        <v>13</v>
      </c>
      <c r="G31" s="141">
        <f t="shared" si="0"/>
        <v>2</v>
      </c>
    </row>
    <row r="32" spans="1:13" ht="12.75">
      <c r="A32" s="4" t="s">
        <v>611</v>
      </c>
    </row>
    <row r="33" spans="1:16" ht="12.75">
      <c r="A33" s="4" t="s">
        <v>29</v>
      </c>
      <c r="B33" s="4">
        <f>COUNTIFS('All sensors Installed'!$B:$B,$A33,'All sensors Installed'!$F:$F,B$1)</f>
        <v>1</v>
      </c>
      <c r="C33" s="4">
        <f>COUNTIFS('All sensors Installed'!$B:$B,$A33,'All sensors Installed'!$F:$F,C$1)</f>
        <v>1</v>
      </c>
      <c r="D33" s="4">
        <f>COUNTIFS('All sensors Installed'!$B:$B,$A33,'All sensors Installed'!$F:$F,D$1)</f>
        <v>1</v>
      </c>
      <c r="E33" s="4">
        <f>COUNTIFS('All sensors Installed'!$B:$B,$A33,'All sensors Installed'!$F:$F,E$1)</f>
        <v>1</v>
      </c>
      <c r="F33" s="4">
        <f>COUNTIFS('All sensors Installed'!$B:$B,$A33,'All sensors Installed'!$F:$F,F$1)</f>
        <v>1</v>
      </c>
      <c r="G33" s="4">
        <f>COUNTIFS('All sensors Installed'!$B:$B,$A33,'All sensors Installed'!$F:$F,G$1)</f>
        <v>1</v>
      </c>
      <c r="H33" s="4">
        <f>COUNTIFS('All sensors Installed'!$B:$B,$A33,'All sensors Installed'!$F:$F,H$1)</f>
        <v>0</v>
      </c>
      <c r="I33" s="4">
        <f>COUNTIFS('All sensors Installed'!$B:$B,$A33,'All sensors Installed'!$F:$F,I$1)</f>
        <v>0</v>
      </c>
      <c r="J33" s="4">
        <f>COUNTIFS('All sensors Installed'!$B:$B,$A33,'All sensors Installed'!$F:$F,J$1)</f>
        <v>0</v>
      </c>
      <c r="K33" s="4">
        <f>COUNTIFS('All sensors Installed'!$B:$B,$A33,'All sensors Installed'!$F:$F,K$1)</f>
        <v>0</v>
      </c>
      <c r="L33" s="4">
        <f>COUNTIFS('All sensors Installed'!$B:$B,$A33,'All sensors Installed'!$F:$F,L$1)</f>
        <v>0</v>
      </c>
      <c r="M33" s="4">
        <f>COUNTIFS('All sensors Installed'!$B:$B,$A33,'All sensors Installed'!$F:$F,M$1)</f>
        <v>0</v>
      </c>
      <c r="N33" s="4">
        <f>COUNTIFS('All sensors Installed'!$B:$B,$A33,'All sensors Installed'!$F:$F,N$1)</f>
        <v>0</v>
      </c>
      <c r="O33" s="4">
        <f>COUNTIFS('All sensors Installed'!$B:$B,$A33,'All sensors Installed'!$F:$F,O$1)</f>
        <v>0</v>
      </c>
      <c r="P33" s="4">
        <f>COUNTIFS('All sensors Installed'!$B:$B,$A33,'All sensors Installed'!$F:$F,P$1)</f>
        <v>0</v>
      </c>
    </row>
    <row r="34" spans="1:16" ht="12.75">
      <c r="A34" s="4" t="s">
        <v>79</v>
      </c>
      <c r="B34" s="4">
        <f>COUNTIFS('All sensors Installed'!$B:$B,$A34,'All sensors Installed'!$F:$F,B$1)</f>
        <v>2</v>
      </c>
      <c r="C34" s="4">
        <f>COUNTIFS('All sensors Installed'!$B:$B,$A34,'All sensors Installed'!$F:$F,C$1)</f>
        <v>0</v>
      </c>
      <c r="D34" s="4">
        <f>COUNTIFS('All sensors Installed'!$B:$B,$A34,'All sensors Installed'!$F:$F,D$1)</f>
        <v>0</v>
      </c>
      <c r="E34" s="4">
        <f>COUNTIFS('All sensors Installed'!$B:$B,$A34,'All sensors Installed'!$F:$F,E$1)</f>
        <v>0</v>
      </c>
      <c r="F34" s="4">
        <f>COUNTIFS('All sensors Installed'!$B:$B,$A34,'All sensors Installed'!$F:$F,F$1)</f>
        <v>10</v>
      </c>
      <c r="G34" s="4">
        <f>COUNTIFS('All sensors Installed'!$B:$B,$A34,'All sensors Installed'!$F:$F,G$1)</f>
        <v>0</v>
      </c>
      <c r="H34" s="4">
        <f>COUNTIFS('All sensors Installed'!$B:$B,$A34,'All sensors Installed'!$F:$F,H$1)</f>
        <v>12</v>
      </c>
      <c r="I34" s="4">
        <f>COUNTIFS('All sensors Installed'!$B:$B,$A34,'All sensors Installed'!$F:$F,I$1)</f>
        <v>1</v>
      </c>
      <c r="J34" s="4">
        <f>COUNTIFS('All sensors Installed'!$B:$B,$A34,'All sensors Installed'!$F:$F,J$1)</f>
        <v>2</v>
      </c>
      <c r="K34" s="4">
        <f>COUNTIFS('All sensors Installed'!$B:$B,$A34,'All sensors Installed'!$F:$F,K$1)</f>
        <v>3</v>
      </c>
      <c r="L34" s="4">
        <f>COUNTIFS('All sensors Installed'!$B:$B,$A34,'All sensors Installed'!$F:$F,L$1)</f>
        <v>0</v>
      </c>
      <c r="M34" s="4">
        <f>COUNTIFS('All sensors Installed'!$B:$B,$A34,'All sensors Installed'!$F:$F,M$1)</f>
        <v>0</v>
      </c>
      <c r="N34" s="4">
        <f>COUNTIFS('All sensors Installed'!$B:$B,$A34,'All sensors Installed'!$F:$F,N$1)</f>
        <v>0</v>
      </c>
      <c r="O34" s="4">
        <f>COUNTIFS('All sensors Installed'!$B:$B,$A34,'All sensors Installed'!$F:$F,O$1)</f>
        <v>0</v>
      </c>
      <c r="P34" s="4">
        <f>COUNTIFS('All sensors Installed'!$B:$B,$A34,'All sensors Installed'!$F:$F,P$1)</f>
        <v>0</v>
      </c>
    </row>
    <row r="35" spans="1:16" ht="12.75">
      <c r="A35" s="4" t="s">
        <v>612</v>
      </c>
      <c r="B35" s="4">
        <f>COUNTIFS('All sensors Installed'!$B:$B,$A35,'All sensors Installed'!$F:$F,B$1)</f>
        <v>0</v>
      </c>
      <c r="C35" s="4">
        <f>COUNTIFS('All sensors Installed'!$B:$B,$A35,'All sensors Installed'!$F:$F,C$1)</f>
        <v>0</v>
      </c>
      <c r="D35" s="4">
        <f>COUNTIFS('All sensors Installed'!$B:$B,$A35,'All sensors Installed'!$F:$F,D$1)</f>
        <v>0</v>
      </c>
      <c r="E35" s="4">
        <f>COUNTIFS('All sensors Installed'!$B:$B,$A35,'All sensors Installed'!$F:$F,E$1)</f>
        <v>0</v>
      </c>
      <c r="F35" s="4">
        <f>COUNTIFS('All sensors Installed'!$B:$B,$A35,'All sensors Installed'!$F:$F,F$1)</f>
        <v>0</v>
      </c>
      <c r="G35" s="4">
        <f>COUNTIFS('All sensors Installed'!$B:$B,$A35,'All sensors Installed'!$F:$F,G$1)</f>
        <v>0</v>
      </c>
      <c r="H35" s="4">
        <f>COUNTIFS('All sensors Installed'!$B:$B,$A35,'All sensors Installed'!$F:$F,H$1)</f>
        <v>0</v>
      </c>
      <c r="I35" s="4">
        <f>COUNTIFS('All sensors Installed'!$B:$B,$A35,'All sensors Installed'!$F:$F,I$1)</f>
        <v>0</v>
      </c>
      <c r="J35" s="4">
        <f>COUNTIFS('All sensors Installed'!$B:$B,$A35,'All sensors Installed'!$F:$F,J$1)</f>
        <v>0</v>
      </c>
      <c r="K35" s="4">
        <f>COUNTIFS('All sensors Installed'!$B:$B,$A35,'All sensors Installed'!$F:$F,K$1)</f>
        <v>0</v>
      </c>
      <c r="L35" s="4">
        <f>COUNTIFS('All sensors Installed'!$B:$B,$A35,'All sensors Installed'!$F:$F,L$1)</f>
        <v>1</v>
      </c>
      <c r="M35" s="4">
        <f>COUNTIFS('All sensors Installed'!$B:$B,$A35,'All sensors Installed'!$F:$F,M$1)</f>
        <v>7</v>
      </c>
      <c r="N35" s="4">
        <f>COUNTIFS('All sensors Installed'!$B:$B,$A35,'All sensors Installed'!$F:$F,N$1)</f>
        <v>7</v>
      </c>
      <c r="O35" s="4">
        <f>COUNTIFS('All sensors Installed'!$B:$B,$A35,'All sensors Installed'!$F:$F,O$1)</f>
        <v>2</v>
      </c>
      <c r="P35" s="4">
        <f>COUNTIFS('All sensors Installed'!$B:$B,$A35,'All sensors Installed'!$F:$F,P$1)</f>
        <v>0</v>
      </c>
    </row>
    <row r="36" spans="1:16" ht="12.75">
      <c r="A36" s="4" t="s">
        <v>613</v>
      </c>
      <c r="B36" s="4">
        <f>COUNTIFS('All sensors Installed'!$B:$B,$A36,'All sensors Installed'!$F:$F,B$1)</f>
        <v>0</v>
      </c>
      <c r="C36" s="4">
        <f>COUNTIFS('All sensors Installed'!$B:$B,$A36,'All sensors Installed'!$F:$F,C$1)</f>
        <v>0</v>
      </c>
      <c r="D36" s="4">
        <f>COUNTIFS('All sensors Installed'!$B:$B,$A36,'All sensors Installed'!$F:$F,D$1)</f>
        <v>0</v>
      </c>
      <c r="E36" s="4">
        <f>COUNTIFS('All sensors Installed'!$B:$B,$A36,'All sensors Installed'!$F:$F,E$1)</f>
        <v>0</v>
      </c>
      <c r="F36" s="4">
        <f>COUNTIFS('All sensors Installed'!$B:$B,$A36,'All sensors Installed'!$F:$F,F$1)</f>
        <v>0</v>
      </c>
      <c r="G36" s="4">
        <f>COUNTIFS('All sensors Installed'!$B:$B,$A36,'All sensors Installed'!$F:$F,G$1)</f>
        <v>0</v>
      </c>
      <c r="H36" s="4">
        <f>COUNTIFS('All sensors Installed'!$B:$B,$A36,'All sensors Installed'!$F:$F,H$1)</f>
        <v>0</v>
      </c>
      <c r="I36" s="4">
        <f>COUNTIFS('All sensors Installed'!$B:$B,$A36,'All sensors Installed'!$F:$F,I$1)</f>
        <v>0</v>
      </c>
      <c r="J36" s="4">
        <f>COUNTIFS('All sensors Installed'!$B:$B,$A36,'All sensors Installed'!$F:$F,J$1)</f>
        <v>0</v>
      </c>
      <c r="K36" s="4">
        <f>COUNTIFS('All sensors Installed'!$B:$B,$A36,'All sensors Installed'!$F:$F,K$1)</f>
        <v>0</v>
      </c>
      <c r="L36" s="4">
        <f>COUNTIFS('All sensors Installed'!$B:$B,$A36,'All sensors Installed'!$F:$F,L$1)</f>
        <v>0</v>
      </c>
      <c r="M36" s="4">
        <f>COUNTIFS('All sensors Installed'!$B:$B,$A36,'All sensors Installed'!$F:$F,M$1)</f>
        <v>0</v>
      </c>
      <c r="N36" s="4">
        <f>COUNTIFS('All sensors Installed'!$B:$B,$A36,'All sensors Installed'!$F:$F,N$1)</f>
        <v>0</v>
      </c>
      <c r="O36" s="4">
        <f>COUNTIFS('All sensors Installed'!$B:$B,$A36,'All sensors Installed'!$F:$F,O$1)</f>
        <v>0</v>
      </c>
      <c r="P36" s="4">
        <f>COUNTIFS('All sensors Installed'!$B:$B,$A36,'All sensors Installed'!$F:$F,P$1)</f>
        <v>0</v>
      </c>
    </row>
    <row r="37" spans="1:16" ht="12.75">
      <c r="A37" s="4" t="s">
        <v>614</v>
      </c>
      <c r="B37" s="4">
        <f>COUNTIFS('All sensors Installed'!$B:$B,$A37,'All sensors Installed'!$F:$F,B$1)</f>
        <v>0</v>
      </c>
      <c r="C37" s="4">
        <f>COUNTIFS('All sensors Installed'!$B:$B,$A37,'All sensors Installed'!$F:$F,C$1)</f>
        <v>0</v>
      </c>
      <c r="D37" s="4">
        <f>COUNTIFS('All sensors Installed'!$B:$B,$A37,'All sensors Installed'!$F:$F,D$1)</f>
        <v>0</v>
      </c>
      <c r="E37" s="4">
        <f>COUNTIFS('All sensors Installed'!$B:$B,$A37,'All sensors Installed'!$F:$F,E$1)</f>
        <v>0</v>
      </c>
      <c r="F37" s="4">
        <f>COUNTIFS('All sensors Installed'!$B:$B,$A37,'All sensors Installed'!$F:$F,F$1)</f>
        <v>0</v>
      </c>
      <c r="G37" s="4">
        <f>COUNTIFS('All sensors Installed'!$B:$B,$A37,'All sensors Installed'!$F:$F,G$1)</f>
        <v>0</v>
      </c>
      <c r="H37" s="4">
        <f>COUNTIFS('All sensors Installed'!$B:$B,$A37,'All sensors Installed'!$F:$F,H$1)</f>
        <v>0</v>
      </c>
      <c r="I37" s="4">
        <f>COUNTIFS('All sensors Installed'!$B:$B,$A37,'All sensors Installed'!$F:$F,I$1)</f>
        <v>0</v>
      </c>
      <c r="J37" s="4">
        <f>COUNTIFS('All sensors Installed'!$B:$B,$A37,'All sensors Installed'!$F:$F,J$1)</f>
        <v>0</v>
      </c>
      <c r="K37" s="4">
        <f>COUNTIFS('All sensors Installed'!$B:$B,$A37,'All sensors Installed'!$F:$F,K$1)</f>
        <v>0</v>
      </c>
      <c r="L37" s="4">
        <f>COUNTIFS('All sensors Installed'!$B:$B,$A37,'All sensors Installed'!$F:$F,L$1)</f>
        <v>0</v>
      </c>
      <c r="M37" s="4">
        <f>COUNTIFS('All sensors Installed'!$B:$B,$A37,'All sensors Installed'!$F:$F,M$1)</f>
        <v>0</v>
      </c>
      <c r="N37" s="4">
        <f>COUNTIFS('All sensors Installed'!$B:$B,$A37,'All sensors Installed'!$F:$F,N$1)</f>
        <v>0</v>
      </c>
      <c r="O37" s="4">
        <f>COUNTIFS('All sensors Installed'!$B:$B,$A37,'All sensors Installed'!$F:$F,O$1)</f>
        <v>0</v>
      </c>
      <c r="P37" s="4">
        <f>COUNTIFS('All sensors Installed'!$B:$B,$A37,'All sensors Installed'!$F:$F,P$1)</f>
        <v>0</v>
      </c>
    </row>
    <row r="41" spans="1:16" ht="15">
      <c r="A41" s="144"/>
    </row>
    <row r="42" spans="1:16" ht="15">
      <c r="A42" s="144"/>
    </row>
    <row r="43" spans="1:16" ht="15">
      <c r="A43" s="144"/>
    </row>
    <row r="44" spans="1:16" ht="15">
      <c r="A44" s="145"/>
    </row>
    <row r="45" spans="1:16" ht="15">
      <c r="A45" s="144"/>
    </row>
    <row r="46" spans="1:16" ht="15">
      <c r="A46" s="144"/>
    </row>
    <row r="47" spans="1:16" ht="15">
      <c r="A47" s="144"/>
    </row>
    <row r="48" spans="1:16" ht="15">
      <c r="A48" s="144"/>
    </row>
    <row r="49" spans="1:1" ht="15">
      <c r="A49" s="145"/>
    </row>
    <row r="50" spans="1:1" ht="15">
      <c r="A50" s="144"/>
    </row>
    <row r="51" spans="1:1" ht="15">
      <c r="A51" s="144"/>
    </row>
  </sheetData>
  <mergeCells count="2">
    <mergeCell ref="A7:A18"/>
    <mergeCell ref="A19:A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CE5CD"/>
    <outlinePr summaryBelow="0" summaryRight="0"/>
  </sheetPr>
  <dimension ref="A1:P1018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8.85546875" customWidth="1"/>
    <col min="2" max="2" width="20.42578125" customWidth="1"/>
    <col min="3" max="3" width="41.85546875" customWidth="1"/>
    <col min="4" max="4" width="15.85546875" customWidth="1"/>
    <col min="5" max="5" width="14.42578125" customWidth="1"/>
    <col min="6" max="6" width="12.140625" customWidth="1"/>
    <col min="7" max="7" width="37.42578125" customWidth="1"/>
    <col min="8" max="8" width="13.140625" customWidth="1"/>
    <col min="9" max="9" width="17.5703125" customWidth="1"/>
    <col min="10" max="11" width="20.140625" customWidth="1"/>
    <col min="12" max="12" width="33" customWidth="1"/>
    <col min="13" max="13" width="20.28515625" customWidth="1"/>
    <col min="14" max="14" width="26.7109375" customWidth="1"/>
    <col min="15" max="15" width="45" customWidth="1"/>
    <col min="16" max="16" width="81.7109375" customWidth="1"/>
  </cols>
  <sheetData>
    <row r="1" spans="1:16" ht="12.75">
      <c r="A1" s="146" t="s">
        <v>621</v>
      </c>
      <c r="B1" s="146" t="s">
        <v>622</v>
      </c>
      <c r="C1" s="146" t="s">
        <v>623</v>
      </c>
      <c r="D1" s="146" t="s">
        <v>624</v>
      </c>
      <c r="E1" s="146" t="s">
        <v>625</v>
      </c>
      <c r="F1" s="146" t="s">
        <v>24</v>
      </c>
      <c r="G1" s="146" t="s">
        <v>626</v>
      </c>
      <c r="H1" s="146" t="s">
        <v>7</v>
      </c>
      <c r="I1" s="146" t="s">
        <v>627</v>
      </c>
      <c r="J1" s="146" t="s">
        <v>628</v>
      </c>
      <c r="K1" s="146" t="s">
        <v>629</v>
      </c>
      <c r="L1" s="146" t="s">
        <v>630</v>
      </c>
      <c r="M1" s="146" t="s">
        <v>631</v>
      </c>
      <c r="N1" s="146" t="s">
        <v>632</v>
      </c>
      <c r="O1" s="146" t="s">
        <v>633</v>
      </c>
      <c r="P1" s="146" t="s">
        <v>634</v>
      </c>
    </row>
    <row r="2" spans="1:16" ht="12.75">
      <c r="A2" s="4" t="s">
        <v>29</v>
      </c>
      <c r="B2" s="4" t="s">
        <v>635</v>
      </c>
      <c r="C2" s="4" t="s">
        <v>636</v>
      </c>
      <c r="D2" s="147">
        <v>8.5643234685038507</v>
      </c>
      <c r="E2" s="147">
        <v>40.727005688759</v>
      </c>
      <c r="F2" s="4" t="s">
        <v>36</v>
      </c>
      <c r="G2" s="4" t="s">
        <v>616</v>
      </c>
      <c r="H2" s="4" t="s">
        <v>38</v>
      </c>
      <c r="I2" s="4" t="s">
        <v>39</v>
      </c>
      <c r="J2" s="4" t="s">
        <v>637</v>
      </c>
      <c r="K2" s="148" t="s">
        <v>638</v>
      </c>
      <c r="L2" s="4" t="str">
        <f>VLOOKUP($K2,'Property names'!$A$1:$D$99,2,FALSE)</f>
        <v>The measure of the hotness or coldness of the air.</v>
      </c>
      <c r="M2" s="4" t="str">
        <f>VLOOKUP($K2,'Property names'!$A$1:$D$99,3,FALSE)</f>
        <v>Degrees Celsius</v>
      </c>
      <c r="N2" s="4" t="str">
        <f>VLOOKUP($K2,'Property names'!$A$1:$D$99,4,FALSE)</f>
        <v>ºC</v>
      </c>
      <c r="O2" s="4" t="str">
        <f t="shared" ref="O2:O24" si="0">SUBSTITUTE(CONCATENATE(B2,"_",F2,"_",J2)," ","_")</f>
        <v>Demo_Field_D001_air_temperature</v>
      </c>
      <c r="P2" s="4" t="str">
        <f t="shared" ref="P2:P24" si="1">CONCATENATE("The datastream containing mesures of field ",B2," by sensor ",F2," which measures ",K2,".")</f>
        <v>The datastream containing mesures of field Demo Field by sensor D001 which measures Air Temperature.</v>
      </c>
    </row>
    <row r="3" spans="1:16" ht="12.75">
      <c r="A3" s="4" t="s">
        <v>29</v>
      </c>
      <c r="B3" s="4" t="s">
        <v>635</v>
      </c>
      <c r="C3" s="4" t="s">
        <v>636</v>
      </c>
      <c r="D3" s="147">
        <v>8.5643234685038507</v>
      </c>
      <c r="E3" s="147">
        <v>40.727005688759</v>
      </c>
      <c r="F3" s="4" t="s">
        <v>36</v>
      </c>
      <c r="G3" s="4" t="s">
        <v>616</v>
      </c>
      <c r="H3" s="4" t="s">
        <v>38</v>
      </c>
      <c r="I3" s="4" t="s">
        <v>39</v>
      </c>
      <c r="J3" s="4" t="s">
        <v>639</v>
      </c>
      <c r="K3" s="4" t="s">
        <v>640</v>
      </c>
      <c r="L3" s="4" t="str">
        <f>VLOOKUP($K3,'Property names'!$A$1:$D$99,2,FALSE)</f>
        <v>The amount of moisture or water vapor present in the air, often expressed as a percentage of the maximum amount the air could hold at a given temperature.</v>
      </c>
      <c r="M3" s="4" t="str">
        <f>VLOOKUP($K3,'Property names'!$A$1:$D$99,3,FALSE)</f>
        <v>Percentage</v>
      </c>
      <c r="N3" s="4" t="str">
        <f>VLOOKUP($K3,'Property names'!$A$1:$D$99,4,FALSE)</f>
        <v>%</v>
      </c>
      <c r="O3" s="4" t="str">
        <f t="shared" si="0"/>
        <v>Demo_Field_D001_air_humidity</v>
      </c>
      <c r="P3" s="4" t="str">
        <f t="shared" si="1"/>
        <v>The datastream containing mesures of field Demo Field by sensor D001 which measures Air Humidity.</v>
      </c>
    </row>
    <row r="4" spans="1:16" ht="15" customHeight="1">
      <c r="A4" s="4" t="s">
        <v>29</v>
      </c>
      <c r="B4" s="4" t="s">
        <v>635</v>
      </c>
      <c r="C4" s="4" t="s">
        <v>636</v>
      </c>
      <c r="D4" s="147">
        <v>8.5643234685038507</v>
      </c>
      <c r="E4" s="147">
        <v>40.727005688759</v>
      </c>
      <c r="F4" s="4" t="s">
        <v>36</v>
      </c>
      <c r="G4" s="4" t="s">
        <v>616</v>
      </c>
      <c r="H4" s="4" t="s">
        <v>38</v>
      </c>
      <c r="I4" s="4" t="s">
        <v>39</v>
      </c>
      <c r="J4" s="4" t="s">
        <v>641</v>
      </c>
      <c r="K4" s="4" t="s">
        <v>642</v>
      </c>
      <c r="L4" s="4" t="str">
        <f>VLOOKUP($K4,'Property names'!$A$1:$D$99,2,FALSE)</f>
        <v>The quantity of carbon dioxide gas present in the air, used to assess air quality and monitor environmental conditions.</v>
      </c>
      <c r="M4" s="4" t="str">
        <f>VLOOKUP($K4,'Property names'!$A$1:$D$99,3,FALSE)</f>
        <v>Parts per million</v>
      </c>
      <c r="N4" s="4" t="str">
        <f>VLOOKUP($K4,'Property names'!$A$1:$D$99,4,FALSE)</f>
        <v>ppm</v>
      </c>
      <c r="O4" s="4" t="str">
        <f t="shared" si="0"/>
        <v>Demo_Field_D001_co2_concentration</v>
      </c>
      <c r="P4" s="4" t="str">
        <f t="shared" si="1"/>
        <v>The datastream containing mesures of field Demo Field by sensor D001 which measures CO2 Concentration.</v>
      </c>
    </row>
    <row r="5" spans="1:16" ht="12.75">
      <c r="A5" s="4" t="s">
        <v>29</v>
      </c>
      <c r="B5" s="4" t="s">
        <v>635</v>
      </c>
      <c r="C5" s="4" t="s">
        <v>636</v>
      </c>
      <c r="D5" s="147">
        <v>8.5643234685038507</v>
      </c>
      <c r="E5" s="147">
        <v>40.727005688759</v>
      </c>
      <c r="F5" s="4" t="s">
        <v>45</v>
      </c>
      <c r="G5" s="4" t="s">
        <v>617</v>
      </c>
      <c r="H5" s="4" t="s">
        <v>47</v>
      </c>
      <c r="I5" s="4" t="s">
        <v>48</v>
      </c>
      <c r="J5" s="4" t="s">
        <v>643</v>
      </c>
      <c r="K5" s="4" t="s">
        <v>644</v>
      </c>
      <c r="L5" s="4" t="str">
        <f>VLOOKUP($K5,'Property names'!$A$1:$D$99,2,FALSE)</f>
        <v>The amount of moisture present in the soil, often expressed as a percentage of the maximum amount the soil could hold at a given temperature.</v>
      </c>
      <c r="M5" s="4" t="str">
        <f>VLOOKUP($K5,'Property names'!$A$1:$D$99,3,FALSE)</f>
        <v>Percentage</v>
      </c>
      <c r="N5" s="4" t="str">
        <f>VLOOKUP($K5,'Property names'!$A$1:$D$99,4,FALSE)</f>
        <v>%</v>
      </c>
      <c r="O5" s="4" t="str">
        <f t="shared" si="0"/>
        <v>Demo_Field_D002_soil_moisture</v>
      </c>
      <c r="P5" s="4" t="str">
        <f t="shared" si="1"/>
        <v>The datastream containing mesures of field Demo Field by sensor D002 which measures Soil Moisture.</v>
      </c>
    </row>
    <row r="6" spans="1:16" ht="12.75">
      <c r="A6" s="4" t="s">
        <v>29</v>
      </c>
      <c r="B6" s="4" t="s">
        <v>635</v>
      </c>
      <c r="C6" s="4" t="s">
        <v>636</v>
      </c>
      <c r="D6" s="147">
        <v>8.5643234685038507</v>
      </c>
      <c r="E6" s="147">
        <v>40.727005688759</v>
      </c>
      <c r="F6" s="4" t="s">
        <v>45</v>
      </c>
      <c r="G6" s="4" t="s">
        <v>617</v>
      </c>
      <c r="H6" s="4" t="s">
        <v>47</v>
      </c>
      <c r="I6" s="4" t="s">
        <v>48</v>
      </c>
      <c r="J6" s="4" t="s">
        <v>645</v>
      </c>
      <c r="K6" s="4" t="s">
        <v>646</v>
      </c>
      <c r="L6" s="4" t="str">
        <f>VLOOKUP($K6,'Property names'!$A$1:$D$99,2,FALSE)</f>
        <v>The measure of temperature of the soil.</v>
      </c>
      <c r="M6" s="4" t="str">
        <f>VLOOKUP($K6,'Property names'!$A$1:$D$99,3,FALSE)</f>
        <v>Degrees Celsius</v>
      </c>
      <c r="N6" s="4" t="str">
        <f>VLOOKUP($K6,'Property names'!$A$1:$D$99,4,FALSE)</f>
        <v>ºC</v>
      </c>
      <c r="O6" s="4" t="str">
        <f t="shared" si="0"/>
        <v>Demo_Field_D002_soil_temperature</v>
      </c>
      <c r="P6" s="4" t="str">
        <f t="shared" si="1"/>
        <v>The datastream containing mesures of field Demo Field by sensor D002 which measures Soil Temperature.</v>
      </c>
    </row>
    <row r="7" spans="1:16" ht="12.75">
      <c r="A7" s="143" t="s">
        <v>29</v>
      </c>
      <c r="B7" s="143" t="s">
        <v>635</v>
      </c>
      <c r="C7" s="143" t="s">
        <v>636</v>
      </c>
      <c r="D7" s="149">
        <v>8.5643234685038507</v>
      </c>
      <c r="E7" s="149">
        <v>40.727005688759</v>
      </c>
      <c r="F7" s="143" t="s">
        <v>53</v>
      </c>
      <c r="G7" s="143" t="s">
        <v>618</v>
      </c>
      <c r="H7" s="143" t="s">
        <v>55</v>
      </c>
      <c r="I7" s="143" t="s">
        <v>56</v>
      </c>
      <c r="J7" s="4" t="s">
        <v>565</v>
      </c>
      <c r="K7" s="4" t="s">
        <v>647</v>
      </c>
      <c r="L7" s="4" t="str">
        <f>VLOOKUP($K7,'Property names'!$A$1:$D$99,2,FALSE)</f>
        <v>The percentage of battery level associated to the specific sensor.</v>
      </c>
      <c r="M7" s="4" t="str">
        <f>VLOOKUP($K7,'Property names'!$A$1:$D$99,3,FALSE)</f>
        <v>Percentage</v>
      </c>
      <c r="N7" s="4" t="str">
        <f>VLOOKUP($K7,'Property names'!$A$1:$D$99,4,FALSE)</f>
        <v>%</v>
      </c>
      <c r="O7" s="4" t="str">
        <f t="shared" si="0"/>
        <v>Demo_Field_D003_battery_level</v>
      </c>
      <c r="P7" s="4" t="str">
        <f t="shared" si="1"/>
        <v>The datastream containing mesures of field Demo Field by sensor D003 which measures Battery Level.</v>
      </c>
    </row>
    <row r="8" spans="1:16" ht="12.75">
      <c r="A8" s="143" t="s">
        <v>29</v>
      </c>
      <c r="B8" s="143" t="s">
        <v>635</v>
      </c>
      <c r="C8" s="143" t="s">
        <v>636</v>
      </c>
      <c r="D8" s="149">
        <v>8.5643234685038507</v>
      </c>
      <c r="E8" s="149">
        <v>40.727005688759</v>
      </c>
      <c r="F8" s="143" t="s">
        <v>53</v>
      </c>
      <c r="G8" s="143" t="s">
        <v>618</v>
      </c>
      <c r="H8" s="143" t="s">
        <v>55</v>
      </c>
      <c r="I8" s="143" t="s">
        <v>56</v>
      </c>
      <c r="J8" s="4" t="s">
        <v>571</v>
      </c>
      <c r="K8" s="4" t="s">
        <v>648</v>
      </c>
      <c r="L8" s="4" t="str">
        <f>VLOOKUP($K8,'Property names'!$A$1:$D$99,2,FALSE)</f>
        <v>The number of pulses read by flowmeter. Depending on flowmeter configuration it could correspond to a different number of cubic meter of water</v>
      </c>
      <c r="M8" s="4" t="str">
        <f>VLOOKUP($K8,'Property names'!$A$1:$D$99,3,FALSE)</f>
        <v>Number of pulses</v>
      </c>
      <c r="N8" s="4" t="str">
        <f>VLOOKUP($K8,'Property names'!$A$1:$D$99,4,FALSE)</f>
        <v>N/A</v>
      </c>
      <c r="O8" s="4" t="str">
        <f t="shared" si="0"/>
        <v>Demo_Field_D003_valve1_pulse</v>
      </c>
      <c r="P8" s="4" t="str">
        <f t="shared" si="1"/>
        <v>The datastream containing mesures of field Demo Field by sensor D003 which measures Flowmeter pulses.</v>
      </c>
    </row>
    <row r="9" spans="1:16" ht="12.75">
      <c r="A9" s="143" t="s">
        <v>29</v>
      </c>
      <c r="B9" s="143" t="s">
        <v>635</v>
      </c>
      <c r="C9" s="143" t="s">
        <v>636</v>
      </c>
      <c r="D9" s="149">
        <v>8.5643234685038507</v>
      </c>
      <c r="E9" s="149">
        <v>40.727005688759</v>
      </c>
      <c r="F9" s="143" t="s">
        <v>53</v>
      </c>
      <c r="G9" s="143" t="s">
        <v>618</v>
      </c>
      <c r="H9" s="143" t="s">
        <v>55</v>
      </c>
      <c r="I9" s="143" t="s">
        <v>56</v>
      </c>
      <c r="J9" s="4" t="s">
        <v>577</v>
      </c>
      <c r="K9" s="4" t="s">
        <v>649</v>
      </c>
      <c r="L9" s="4" t="str">
        <f>VLOOKUP($K9,'Property names'!$A$1:$D$99,2,FALSE)</f>
        <v>The current condition of the valve controlled (opened or closed)</v>
      </c>
      <c r="M9" s="4" t="str">
        <f>VLOOKUP($K9,'Property names'!$A$1:$D$99,3,FALSE)</f>
        <v>ON / OFF</v>
      </c>
      <c r="N9" s="4" t="str">
        <f>VLOOKUP($K9,'Property names'!$A$1:$D$99,4,FALSE)</f>
        <v>N/A</v>
      </c>
      <c r="O9" s="4" t="str">
        <f t="shared" si="0"/>
        <v>Demo_Field_D003_valve1_status</v>
      </c>
      <c r="P9" s="4" t="str">
        <f t="shared" si="1"/>
        <v>The datastream containing mesures of field Demo Field by sensor D003 which measures Valve status.</v>
      </c>
    </row>
    <row r="10" spans="1:16" ht="12.75">
      <c r="A10" s="143" t="s">
        <v>29</v>
      </c>
      <c r="B10" s="143" t="s">
        <v>635</v>
      </c>
      <c r="C10" s="143" t="s">
        <v>636</v>
      </c>
      <c r="D10" s="149">
        <v>8.5643234685038507</v>
      </c>
      <c r="E10" s="149">
        <v>40.727005688759</v>
      </c>
      <c r="F10" s="143" t="s">
        <v>53</v>
      </c>
      <c r="G10" s="143" t="s">
        <v>618</v>
      </c>
      <c r="H10" s="143" t="s">
        <v>55</v>
      </c>
      <c r="I10" s="143" t="s">
        <v>56</v>
      </c>
      <c r="J10" s="4" t="s">
        <v>582</v>
      </c>
      <c r="K10" s="4" t="s">
        <v>648</v>
      </c>
      <c r="L10" s="4" t="str">
        <f>VLOOKUP($K10,'Property names'!$A$1:$D$99,2,FALSE)</f>
        <v>The number of pulses read by flowmeter. Depending on flowmeter configuration it could correspond to a different number of cubic meter of water</v>
      </c>
      <c r="M10" s="4" t="str">
        <f>VLOOKUP($K10,'Property names'!$A$1:$D$99,3,FALSE)</f>
        <v>Number of pulses</v>
      </c>
      <c r="N10" s="4" t="str">
        <f>VLOOKUP($K10,'Property names'!$A$1:$D$99,4,FALSE)</f>
        <v>N/A</v>
      </c>
      <c r="O10" s="4" t="str">
        <f t="shared" si="0"/>
        <v>Demo_Field_D003_valve2_pulse</v>
      </c>
      <c r="P10" s="4" t="str">
        <f t="shared" si="1"/>
        <v>The datastream containing mesures of field Demo Field by sensor D003 which measures Flowmeter pulses.</v>
      </c>
    </row>
    <row r="11" spans="1:16" ht="12.75">
      <c r="A11" s="143" t="s">
        <v>29</v>
      </c>
      <c r="B11" s="143" t="s">
        <v>635</v>
      </c>
      <c r="C11" s="143" t="s">
        <v>636</v>
      </c>
      <c r="D11" s="149">
        <v>8.5643234685038507</v>
      </c>
      <c r="E11" s="149">
        <v>40.727005688759</v>
      </c>
      <c r="F11" s="143" t="s">
        <v>53</v>
      </c>
      <c r="G11" s="143" t="s">
        <v>618</v>
      </c>
      <c r="H11" s="143" t="s">
        <v>55</v>
      </c>
      <c r="I11" s="143" t="s">
        <v>56</v>
      </c>
      <c r="J11" s="4" t="s">
        <v>587</v>
      </c>
      <c r="K11" s="4" t="s">
        <v>649</v>
      </c>
      <c r="L11" s="4" t="str">
        <f>VLOOKUP($K11,'Property names'!$A$1:$D$99,2,FALSE)</f>
        <v>The current condition of the valve controlled (opened or closed)</v>
      </c>
      <c r="M11" s="4" t="str">
        <f>VLOOKUP($K11,'Property names'!$A$1:$D$99,3,FALSE)</f>
        <v>ON / OFF</v>
      </c>
      <c r="N11" s="4" t="str">
        <f>VLOOKUP($K11,'Property names'!$A$1:$D$99,4,FALSE)</f>
        <v>N/A</v>
      </c>
      <c r="O11" s="4" t="str">
        <f t="shared" si="0"/>
        <v>Demo_Field_D003_valve2_status</v>
      </c>
      <c r="P11" s="4" t="str">
        <f t="shared" si="1"/>
        <v>The datastream containing mesures of field Demo Field by sensor D003 which measures Valve status.</v>
      </c>
    </row>
    <row r="12" spans="1:16" ht="12.75">
      <c r="A12" s="143" t="s">
        <v>29</v>
      </c>
      <c r="B12" s="143" t="s">
        <v>635</v>
      </c>
      <c r="C12" s="143" t="s">
        <v>636</v>
      </c>
      <c r="D12" s="149">
        <v>8.5643234685038507</v>
      </c>
      <c r="E12" s="149">
        <v>40.727005688759</v>
      </c>
      <c r="F12" s="143" t="s">
        <v>61</v>
      </c>
      <c r="G12" s="143" t="s">
        <v>619</v>
      </c>
      <c r="H12" s="143" t="s">
        <v>63</v>
      </c>
      <c r="I12" s="143" t="s">
        <v>72</v>
      </c>
      <c r="J12" s="4" t="s">
        <v>650</v>
      </c>
      <c r="K12" s="4" t="s">
        <v>644</v>
      </c>
      <c r="L12" s="4" t="str">
        <f>VLOOKUP($K12,'Property names'!$A$1:$D$99,2,FALSE)</f>
        <v>The amount of moisture present in the soil, often expressed as a percentage of the maximum amount the soil could hold at a given temperature.</v>
      </c>
      <c r="M12" s="4" t="str">
        <f>VLOOKUP($K12,'Property names'!$A$1:$D$99,3,FALSE)</f>
        <v>Percentage</v>
      </c>
      <c r="N12" s="4" t="str">
        <f>VLOOKUP($K12,'Property names'!$A$1:$D$99,4,FALSE)</f>
        <v>%</v>
      </c>
      <c r="O12" s="4" t="str">
        <f t="shared" si="0"/>
        <v>Demo_Field_D004_soil_moisture_1</v>
      </c>
      <c r="P12" s="4" t="str">
        <f t="shared" si="1"/>
        <v>The datastream containing mesures of field Demo Field by sensor D004 which measures Soil Moisture.</v>
      </c>
    </row>
    <row r="13" spans="1:16" ht="12.75">
      <c r="A13" s="143" t="s">
        <v>29</v>
      </c>
      <c r="B13" s="143" t="s">
        <v>635</v>
      </c>
      <c r="C13" s="143" t="s">
        <v>636</v>
      </c>
      <c r="D13" s="149">
        <v>8.5643234685038507</v>
      </c>
      <c r="E13" s="149">
        <v>40.727005688759</v>
      </c>
      <c r="F13" s="143" t="s">
        <v>61</v>
      </c>
      <c r="G13" s="143" t="s">
        <v>619</v>
      </c>
      <c r="H13" s="143" t="s">
        <v>63</v>
      </c>
      <c r="I13" s="143" t="s">
        <v>72</v>
      </c>
      <c r="J13" s="4" t="s">
        <v>651</v>
      </c>
      <c r="K13" s="4" t="s">
        <v>644</v>
      </c>
      <c r="L13" s="4" t="str">
        <f>VLOOKUP($K13,'Property names'!$A$1:$D$99,2,FALSE)</f>
        <v>The amount of moisture present in the soil, often expressed as a percentage of the maximum amount the soil could hold at a given temperature.</v>
      </c>
      <c r="M13" s="4" t="str">
        <f>VLOOKUP($K13,'Property names'!$A$1:$D$99,3,FALSE)</f>
        <v>Percentage</v>
      </c>
      <c r="N13" s="4" t="str">
        <f>VLOOKUP($K13,'Property names'!$A$1:$D$99,4,FALSE)</f>
        <v>%</v>
      </c>
      <c r="O13" s="4" t="str">
        <f t="shared" si="0"/>
        <v>Demo_Field_D004_soil_moisture_2</v>
      </c>
      <c r="P13" s="4" t="str">
        <f t="shared" si="1"/>
        <v>The datastream containing mesures of field Demo Field by sensor D004 which measures Soil Moisture.</v>
      </c>
    </row>
    <row r="14" spans="1:16" ht="12.75">
      <c r="A14" s="143" t="s">
        <v>29</v>
      </c>
      <c r="B14" s="143" t="s">
        <v>635</v>
      </c>
      <c r="C14" s="143" t="s">
        <v>636</v>
      </c>
      <c r="D14" s="149">
        <v>8.5643234685038507</v>
      </c>
      <c r="E14" s="149">
        <v>40.727005688759</v>
      </c>
      <c r="F14" s="143" t="s">
        <v>61</v>
      </c>
      <c r="G14" s="143" t="s">
        <v>619</v>
      </c>
      <c r="H14" s="143" t="s">
        <v>63</v>
      </c>
      <c r="I14" s="143" t="s">
        <v>72</v>
      </c>
      <c r="J14" s="4" t="s">
        <v>652</v>
      </c>
      <c r="K14" s="4" t="s">
        <v>644</v>
      </c>
      <c r="L14" s="4" t="str">
        <f>VLOOKUP($K14,'Property names'!$A$1:$D$99,2,FALSE)</f>
        <v>The amount of moisture present in the soil, often expressed as a percentage of the maximum amount the soil could hold at a given temperature.</v>
      </c>
      <c r="M14" s="4" t="str">
        <f>VLOOKUP($K14,'Property names'!$A$1:$D$99,3,FALSE)</f>
        <v>Percentage</v>
      </c>
      <c r="N14" s="4" t="str">
        <f>VLOOKUP($K14,'Property names'!$A$1:$D$99,4,FALSE)</f>
        <v>%</v>
      </c>
      <c r="O14" s="4" t="str">
        <f t="shared" si="0"/>
        <v>Demo_Field_D004_soil_moisture_3</v>
      </c>
      <c r="P14" s="4" t="str">
        <f t="shared" si="1"/>
        <v>The datastream containing mesures of field Demo Field by sensor D004 which measures Soil Moisture.</v>
      </c>
    </row>
    <row r="15" spans="1:16" ht="12.75">
      <c r="A15" s="143" t="s">
        <v>29</v>
      </c>
      <c r="B15" s="143" t="s">
        <v>635</v>
      </c>
      <c r="C15" s="143" t="s">
        <v>636</v>
      </c>
      <c r="D15" s="149">
        <v>8.5643234685038507</v>
      </c>
      <c r="E15" s="149">
        <v>40.727005688759</v>
      </c>
      <c r="F15" s="143" t="s">
        <v>61</v>
      </c>
      <c r="G15" s="143" t="s">
        <v>619</v>
      </c>
      <c r="H15" s="143" t="s">
        <v>63</v>
      </c>
      <c r="I15" s="143" t="s">
        <v>72</v>
      </c>
      <c r="J15" s="4" t="s">
        <v>653</v>
      </c>
      <c r="K15" s="4" t="s">
        <v>644</v>
      </c>
      <c r="L15" s="4" t="str">
        <f>VLOOKUP($K15,'Property names'!$A$1:$D$99,2,FALSE)</f>
        <v>The amount of moisture present in the soil, often expressed as a percentage of the maximum amount the soil could hold at a given temperature.</v>
      </c>
      <c r="M15" s="4" t="str">
        <f>VLOOKUP($K15,'Property names'!$A$1:$D$99,3,FALSE)</f>
        <v>Percentage</v>
      </c>
      <c r="N15" s="4" t="str">
        <f>VLOOKUP($K15,'Property names'!$A$1:$D$99,4,FALSE)</f>
        <v>%</v>
      </c>
      <c r="O15" s="4" t="str">
        <f t="shared" si="0"/>
        <v>Demo_Field_D004_soil_moisture_4</v>
      </c>
      <c r="P15" s="4" t="str">
        <f t="shared" si="1"/>
        <v>The datastream containing mesures of field Demo Field by sensor D004 which measures Soil Moisture.</v>
      </c>
    </row>
    <row r="16" spans="1:16" ht="12.75">
      <c r="A16" s="143" t="s">
        <v>29</v>
      </c>
      <c r="B16" s="143" t="s">
        <v>635</v>
      </c>
      <c r="C16" s="143" t="s">
        <v>636</v>
      </c>
      <c r="D16" s="149">
        <v>8.5643234685038507</v>
      </c>
      <c r="E16" s="149">
        <v>40.727005688759</v>
      </c>
      <c r="F16" s="143" t="s">
        <v>61</v>
      </c>
      <c r="G16" s="143" t="s">
        <v>619</v>
      </c>
      <c r="H16" s="143" t="s">
        <v>63</v>
      </c>
      <c r="I16" s="143" t="s">
        <v>72</v>
      </c>
      <c r="J16" s="4" t="s">
        <v>654</v>
      </c>
      <c r="K16" s="4" t="s">
        <v>644</v>
      </c>
      <c r="L16" s="4" t="str">
        <f>VLOOKUP($K16,'Property names'!$A$1:$D$99,2,FALSE)</f>
        <v>The amount of moisture present in the soil, often expressed as a percentage of the maximum amount the soil could hold at a given temperature.</v>
      </c>
      <c r="M16" s="4" t="str">
        <f>VLOOKUP($K16,'Property names'!$A$1:$D$99,3,FALSE)</f>
        <v>Percentage</v>
      </c>
      <c r="N16" s="4" t="str">
        <f>VLOOKUP($K16,'Property names'!$A$1:$D$99,4,FALSE)</f>
        <v>%</v>
      </c>
      <c r="O16" s="4" t="str">
        <f t="shared" si="0"/>
        <v>Demo_Field_D004_soil_moisture_5</v>
      </c>
      <c r="P16" s="4" t="str">
        <f t="shared" si="1"/>
        <v>The datastream containing mesures of field Demo Field by sensor D004 which measures Soil Moisture.</v>
      </c>
    </row>
    <row r="17" spans="1:16" ht="12.75">
      <c r="A17" s="143" t="s">
        <v>29</v>
      </c>
      <c r="B17" s="143" t="s">
        <v>635</v>
      </c>
      <c r="C17" s="143" t="s">
        <v>636</v>
      </c>
      <c r="D17" s="149">
        <v>8.5643234685038507</v>
      </c>
      <c r="E17" s="149">
        <v>40.727005688759</v>
      </c>
      <c r="F17" s="143" t="s">
        <v>61</v>
      </c>
      <c r="G17" s="143" t="s">
        <v>619</v>
      </c>
      <c r="H17" s="143" t="s">
        <v>63</v>
      </c>
      <c r="I17" s="143" t="s">
        <v>72</v>
      </c>
      <c r="J17" s="4" t="s">
        <v>655</v>
      </c>
      <c r="K17" s="4" t="s">
        <v>644</v>
      </c>
      <c r="L17" s="4" t="str">
        <f>VLOOKUP($K17,'Property names'!$A$1:$D$99,2,FALSE)</f>
        <v>The amount of moisture present in the soil, often expressed as a percentage of the maximum amount the soil could hold at a given temperature.</v>
      </c>
      <c r="M17" s="4" t="str">
        <f>VLOOKUP($K17,'Property names'!$A$1:$D$99,3,FALSE)</f>
        <v>Percentage</v>
      </c>
      <c r="N17" s="4" t="str">
        <f>VLOOKUP($K17,'Property names'!$A$1:$D$99,4,FALSE)</f>
        <v>%</v>
      </c>
      <c r="O17" s="4" t="str">
        <f t="shared" si="0"/>
        <v>Demo_Field_D004_soil_moisture_6</v>
      </c>
      <c r="P17" s="4" t="str">
        <f t="shared" si="1"/>
        <v>The datastream containing mesures of field Demo Field by sensor D004 which measures Soil Moisture.</v>
      </c>
    </row>
    <row r="18" spans="1:16" ht="12.75">
      <c r="A18" s="143" t="s">
        <v>29</v>
      </c>
      <c r="B18" s="143" t="s">
        <v>635</v>
      </c>
      <c r="C18" s="143" t="s">
        <v>636</v>
      </c>
      <c r="D18" s="149">
        <v>8.5643234685038507</v>
      </c>
      <c r="E18" s="149">
        <v>40.727005688759</v>
      </c>
      <c r="F18" s="143" t="s">
        <v>61</v>
      </c>
      <c r="G18" s="143" t="s">
        <v>619</v>
      </c>
      <c r="H18" s="143" t="s">
        <v>63</v>
      </c>
      <c r="I18" s="143" t="s">
        <v>72</v>
      </c>
      <c r="J18" s="4" t="s">
        <v>656</v>
      </c>
      <c r="K18" s="4" t="s">
        <v>638</v>
      </c>
      <c r="L18" s="4" t="str">
        <f>VLOOKUP($K18,'Property names'!$A$1:$D$99,2,FALSE)</f>
        <v>The measure of the hotness or coldness of the air.</v>
      </c>
      <c r="M18" s="4" t="str">
        <f>VLOOKUP($K18,'Property names'!$A$1:$D$99,3,FALSE)</f>
        <v>Degrees Celsius</v>
      </c>
      <c r="N18" s="4" t="str">
        <f>VLOOKUP($K18,'Property names'!$A$1:$D$99,4,FALSE)</f>
        <v>ºC</v>
      </c>
      <c r="O18" s="4" t="str">
        <f t="shared" si="0"/>
        <v>Demo_Field_D004_ambient_temperature</v>
      </c>
      <c r="P18" s="4" t="str">
        <f t="shared" si="1"/>
        <v>The datastream containing mesures of field Demo Field by sensor D004 which measures Air Temperature.</v>
      </c>
    </row>
    <row r="19" spans="1:16" ht="12.75">
      <c r="A19" s="143" t="s">
        <v>29</v>
      </c>
      <c r="B19" s="143" t="s">
        <v>635</v>
      </c>
      <c r="C19" s="143" t="s">
        <v>636</v>
      </c>
      <c r="D19" s="149">
        <v>8.5643234685038507</v>
      </c>
      <c r="E19" s="149">
        <v>40.727005688759</v>
      </c>
      <c r="F19" s="143" t="s">
        <v>61</v>
      </c>
      <c r="G19" s="143" t="s">
        <v>619</v>
      </c>
      <c r="H19" s="143" t="s">
        <v>63</v>
      </c>
      <c r="I19" s="143" t="s">
        <v>72</v>
      </c>
      <c r="J19" s="4" t="s">
        <v>657</v>
      </c>
      <c r="K19" s="4" t="s">
        <v>646</v>
      </c>
      <c r="L19" s="4" t="str">
        <f>VLOOKUP($K19,'Property names'!$A$1:$D$99,2,FALSE)</f>
        <v>The measure of temperature of the soil.</v>
      </c>
      <c r="M19" s="4" t="str">
        <f>VLOOKUP($K19,'Property names'!$A$1:$D$99,3,FALSE)</f>
        <v>Degrees Celsius</v>
      </c>
      <c r="N19" s="4" t="str">
        <f>VLOOKUP($K19,'Property names'!$A$1:$D$99,4,FALSE)</f>
        <v>ºC</v>
      </c>
      <c r="O19" s="4" t="str">
        <f t="shared" si="0"/>
        <v>Demo_Field_D004_soil_temperature_1</v>
      </c>
      <c r="P19" s="4" t="str">
        <f t="shared" si="1"/>
        <v>The datastream containing mesures of field Demo Field by sensor D004 which measures Soil Temperature.</v>
      </c>
    </row>
    <row r="20" spans="1:16" ht="12.75">
      <c r="A20" s="143" t="s">
        <v>29</v>
      </c>
      <c r="B20" s="143" t="s">
        <v>635</v>
      </c>
      <c r="C20" s="143" t="s">
        <v>636</v>
      </c>
      <c r="D20" s="149">
        <v>8.5643234685038507</v>
      </c>
      <c r="E20" s="149">
        <v>40.727005688759</v>
      </c>
      <c r="F20" s="143" t="s">
        <v>61</v>
      </c>
      <c r="G20" s="143" t="s">
        <v>619</v>
      </c>
      <c r="H20" s="143" t="s">
        <v>63</v>
      </c>
      <c r="I20" s="143" t="s">
        <v>72</v>
      </c>
      <c r="J20" s="4" t="s">
        <v>658</v>
      </c>
      <c r="K20" s="4" t="s">
        <v>646</v>
      </c>
      <c r="L20" s="4" t="str">
        <f>VLOOKUP($K20,'Property names'!$A$1:$D$99,2,FALSE)</f>
        <v>The measure of temperature of the soil.</v>
      </c>
      <c r="M20" s="4" t="str">
        <f>VLOOKUP($K20,'Property names'!$A$1:$D$99,3,FALSE)</f>
        <v>Degrees Celsius</v>
      </c>
      <c r="N20" s="4" t="str">
        <f>VLOOKUP($K20,'Property names'!$A$1:$D$99,4,FALSE)</f>
        <v>ºC</v>
      </c>
      <c r="O20" s="4" t="str">
        <f t="shared" si="0"/>
        <v>Demo_Field_D004_soil_temperature_2</v>
      </c>
      <c r="P20" s="4" t="str">
        <f t="shared" si="1"/>
        <v>The datastream containing mesures of field Demo Field by sensor D004 which measures Soil Temperature.</v>
      </c>
    </row>
    <row r="21" spans="1:16" ht="12.75">
      <c r="A21" s="143" t="s">
        <v>29</v>
      </c>
      <c r="B21" s="143" t="s">
        <v>635</v>
      </c>
      <c r="C21" s="143" t="s">
        <v>636</v>
      </c>
      <c r="D21" s="149">
        <v>8.5643234685038507</v>
      </c>
      <c r="E21" s="149">
        <v>40.727005688759</v>
      </c>
      <c r="F21" s="143" t="s">
        <v>61</v>
      </c>
      <c r="G21" s="143" t="s">
        <v>619</v>
      </c>
      <c r="H21" s="143" t="s">
        <v>63</v>
      </c>
      <c r="I21" s="143" t="s">
        <v>72</v>
      </c>
      <c r="J21" s="4" t="s">
        <v>659</v>
      </c>
      <c r="K21" s="4" t="s">
        <v>646</v>
      </c>
      <c r="L21" s="4" t="str">
        <f>VLOOKUP($K21,'Property names'!$A$1:$D$99,2,FALSE)</f>
        <v>The measure of temperature of the soil.</v>
      </c>
      <c r="M21" s="4" t="str">
        <f>VLOOKUP($K21,'Property names'!$A$1:$D$99,3,FALSE)</f>
        <v>Degrees Celsius</v>
      </c>
      <c r="N21" s="4" t="str">
        <f>VLOOKUP($K21,'Property names'!$A$1:$D$99,4,FALSE)</f>
        <v>ºC</v>
      </c>
      <c r="O21" s="4" t="str">
        <f t="shared" si="0"/>
        <v>Demo_Field_D004_soil_temperature_3</v>
      </c>
      <c r="P21" s="4" t="str">
        <f t="shared" si="1"/>
        <v>The datastream containing mesures of field Demo Field by sensor D004 which measures Soil Temperature.</v>
      </c>
    </row>
    <row r="22" spans="1:16" ht="12.75">
      <c r="A22" s="143" t="s">
        <v>29</v>
      </c>
      <c r="B22" s="143" t="s">
        <v>635</v>
      </c>
      <c r="C22" s="143" t="s">
        <v>636</v>
      </c>
      <c r="D22" s="149">
        <v>8.5643234685038507</v>
      </c>
      <c r="E22" s="149">
        <v>40.727005688759</v>
      </c>
      <c r="F22" s="143" t="s">
        <v>61</v>
      </c>
      <c r="G22" s="143" t="s">
        <v>619</v>
      </c>
      <c r="H22" s="143" t="s">
        <v>63</v>
      </c>
      <c r="I22" s="143" t="s">
        <v>72</v>
      </c>
      <c r="J22" s="4" t="s">
        <v>660</v>
      </c>
      <c r="K22" s="4" t="s">
        <v>646</v>
      </c>
      <c r="L22" s="4" t="str">
        <f>VLOOKUP($K22,'Property names'!$A$1:$D$99,2,FALSE)</f>
        <v>The measure of temperature of the soil.</v>
      </c>
      <c r="M22" s="4" t="str">
        <f>VLOOKUP($K22,'Property names'!$A$1:$D$99,3,FALSE)</f>
        <v>Degrees Celsius</v>
      </c>
      <c r="N22" s="4" t="str">
        <f>VLOOKUP($K22,'Property names'!$A$1:$D$99,4,FALSE)</f>
        <v>ºC</v>
      </c>
      <c r="O22" s="4" t="str">
        <f t="shared" si="0"/>
        <v>Demo_Field_D004_soil_temperature_4</v>
      </c>
      <c r="P22" s="4" t="str">
        <f t="shared" si="1"/>
        <v>The datastream containing mesures of field Demo Field by sensor D004 which measures Soil Temperature.</v>
      </c>
    </row>
    <row r="23" spans="1:16" ht="12.75">
      <c r="A23" s="143" t="s">
        <v>29</v>
      </c>
      <c r="B23" s="143" t="s">
        <v>635</v>
      </c>
      <c r="C23" s="143" t="s">
        <v>636</v>
      </c>
      <c r="D23" s="149">
        <v>8.5643234685038507</v>
      </c>
      <c r="E23" s="149">
        <v>40.727005688759</v>
      </c>
      <c r="F23" s="143" t="s">
        <v>61</v>
      </c>
      <c r="G23" s="143" t="s">
        <v>619</v>
      </c>
      <c r="H23" s="143" t="s">
        <v>63</v>
      </c>
      <c r="I23" s="143" t="s">
        <v>72</v>
      </c>
      <c r="J23" s="4" t="s">
        <v>661</v>
      </c>
      <c r="K23" s="4" t="s">
        <v>646</v>
      </c>
      <c r="L23" s="4" t="str">
        <f>VLOOKUP($K23,'Property names'!$A$1:$D$99,2,FALSE)</f>
        <v>The measure of temperature of the soil.</v>
      </c>
      <c r="M23" s="4" t="str">
        <f>VLOOKUP($K23,'Property names'!$A$1:$D$99,3,FALSE)</f>
        <v>Degrees Celsius</v>
      </c>
      <c r="N23" s="4" t="str">
        <f>VLOOKUP($K23,'Property names'!$A$1:$D$99,4,FALSE)</f>
        <v>ºC</v>
      </c>
      <c r="O23" s="4" t="str">
        <f t="shared" si="0"/>
        <v>Demo_Field_D004_soil_temperature_5</v>
      </c>
      <c r="P23" s="4" t="str">
        <f t="shared" si="1"/>
        <v>The datastream containing mesures of field Demo Field by sensor D004 which measures Soil Temperature.</v>
      </c>
    </row>
    <row r="24" spans="1:16" ht="12.75">
      <c r="A24" s="143" t="s">
        <v>29</v>
      </c>
      <c r="B24" s="143" t="s">
        <v>635</v>
      </c>
      <c r="C24" s="143" t="s">
        <v>636</v>
      </c>
      <c r="D24" s="149">
        <v>8.5643234685038507</v>
      </c>
      <c r="E24" s="149">
        <v>40.727005688759</v>
      </c>
      <c r="F24" s="143" t="s">
        <v>61</v>
      </c>
      <c r="G24" s="143" t="s">
        <v>619</v>
      </c>
      <c r="H24" s="143" t="s">
        <v>63</v>
      </c>
      <c r="I24" s="143" t="s">
        <v>72</v>
      </c>
      <c r="J24" s="4" t="s">
        <v>662</v>
      </c>
      <c r="K24" s="4" t="s">
        <v>646</v>
      </c>
      <c r="L24" s="4" t="str">
        <f>VLOOKUP($K24,'Property names'!$A$1:$D$99,2,FALSE)</f>
        <v>The measure of temperature of the soil.</v>
      </c>
      <c r="M24" s="4" t="str">
        <f>VLOOKUP($K24,'Property names'!$A$1:$D$99,3,FALSE)</f>
        <v>Degrees Celsius</v>
      </c>
      <c r="N24" s="4" t="str">
        <f>VLOOKUP($K24,'Property names'!$A$1:$D$99,4,FALSE)</f>
        <v>ºC</v>
      </c>
      <c r="O24" s="4" t="str">
        <f t="shared" si="0"/>
        <v>Demo_Field_D004_soil_temperature_6</v>
      </c>
      <c r="P24" s="4" t="str">
        <f t="shared" si="1"/>
        <v>The datastream containing mesures of field Demo Field by sensor D004 which measures Soil Temperature.</v>
      </c>
    </row>
    <row r="25" spans="1:16" ht="12.75">
      <c r="L25" s="4"/>
      <c r="M25" s="4"/>
      <c r="N25" s="4"/>
    </row>
    <row r="26" spans="1:16" ht="12.75">
      <c r="A26" s="143" t="s">
        <v>29</v>
      </c>
      <c r="B26" s="143" t="s">
        <v>635</v>
      </c>
      <c r="C26" s="143" t="s">
        <v>636</v>
      </c>
      <c r="D26" s="149">
        <v>8.5643234685038507</v>
      </c>
      <c r="E26" s="149">
        <v>40.727005688759</v>
      </c>
      <c r="F26" s="143" t="s">
        <v>69</v>
      </c>
      <c r="G26" s="143" t="s">
        <v>663</v>
      </c>
      <c r="H26" s="4" t="str">
        <f>VLOOKUP(F26,'All sensors Installed'!$A$2:$I$1083,6,)</f>
        <v>ST05</v>
      </c>
      <c r="I26" s="143" t="s">
        <v>664</v>
      </c>
      <c r="J26" s="143" t="s">
        <v>567</v>
      </c>
      <c r="K26" s="143" t="s">
        <v>648</v>
      </c>
      <c r="L26" s="4" t="str">
        <f>VLOOKUP($K26,'Property names'!$A$1:$D$99,2,FALSE)</f>
        <v>The number of pulses read by flowmeter. Depending on flowmeter configuration it could correspond to a different number of cubic meter of water</v>
      </c>
      <c r="M26" s="4" t="str">
        <f>VLOOKUP($K26,'Property names'!$A$1:$D$99,3,FALSE)</f>
        <v>Number of pulses</v>
      </c>
      <c r="N26" s="4" t="str">
        <f>VLOOKUP($K26,'Property names'!$A$1:$D$99,4,FALSE)</f>
        <v>N/A</v>
      </c>
      <c r="O26" s="4" t="str">
        <f t="shared" ref="O26:O27" si="2">SUBSTITUTE(CONCATENATE(B26,"_",F26,"_",J26)," ","_")</f>
        <v>Demo_Field_D005_Count</v>
      </c>
      <c r="P26" s="4" t="str">
        <f t="shared" ref="P26:P27" si="3">CONCATENATE("The datastream containing mesures of field ",B26," by sensor ",F26," which measures ",K26,".")</f>
        <v>The datastream containing mesures of field Demo Field by sensor D005 which measures Flowmeter pulses.</v>
      </c>
    </row>
    <row r="27" spans="1:16" ht="12.75">
      <c r="A27" s="143" t="s">
        <v>29</v>
      </c>
      <c r="B27" s="143" t="s">
        <v>635</v>
      </c>
      <c r="C27" s="143" t="s">
        <v>636</v>
      </c>
      <c r="D27" s="149">
        <v>8.5643234685038507</v>
      </c>
      <c r="E27" s="149">
        <v>40.727005688759</v>
      </c>
      <c r="F27" s="143" t="s">
        <v>69</v>
      </c>
      <c r="G27" s="143" t="s">
        <v>663</v>
      </c>
      <c r="H27" s="4" t="str">
        <f>VLOOKUP(F27,'All sensors Installed'!$A$2:$I$1083,6,)</f>
        <v>ST05</v>
      </c>
      <c r="I27" s="143" t="s">
        <v>664</v>
      </c>
      <c r="J27" s="143" t="s">
        <v>573</v>
      </c>
      <c r="K27" s="143" t="s">
        <v>665</v>
      </c>
      <c r="L27" s="4" t="str">
        <f>VLOOKUP($K27,'Property names'!$A$1:$D$99,2,FALSE)</f>
        <v>A warning in case of water leak detected</v>
      </c>
      <c r="M27" s="4" t="str">
        <f>VLOOKUP($K27,'Property names'!$A$1:$D$99,3,FALSE)</f>
        <v>True / False</v>
      </c>
      <c r="N27" s="4" t="str">
        <f>VLOOKUP($K27,'Property names'!$A$1:$D$99,4,FALSE)</f>
        <v>N/A</v>
      </c>
      <c r="O27" s="4" t="str">
        <f t="shared" si="2"/>
        <v>Demo_Field_D005_Leak</v>
      </c>
      <c r="P27" s="4" t="str">
        <f t="shared" si="3"/>
        <v>The datastream containing mesures of field Demo Field by sensor D005 which measures Leak warning.</v>
      </c>
    </row>
    <row r="28" spans="1:16" ht="12.75">
      <c r="G28" s="4"/>
      <c r="L28" s="4"/>
      <c r="M28" s="4"/>
      <c r="N28" s="4"/>
      <c r="O28" s="4"/>
    </row>
    <row r="29" spans="1:16" ht="15">
      <c r="A29" s="4" t="s">
        <v>560</v>
      </c>
      <c r="B29" s="4" t="s">
        <v>666</v>
      </c>
      <c r="C29" s="4" t="s">
        <v>667</v>
      </c>
      <c r="D29" s="141">
        <v>8.5484720000000003</v>
      </c>
      <c r="E29" s="141">
        <v>39.775970000000001</v>
      </c>
      <c r="F29" s="4" t="s">
        <v>87</v>
      </c>
      <c r="G29" s="143" t="s">
        <v>619</v>
      </c>
      <c r="H29" s="4" t="str">
        <f>VLOOKUP(F29,'All sensors Installed'!$A$2:$K$1083,6,)</f>
        <v>ST04</v>
      </c>
      <c r="I29" s="4" t="str">
        <f>VLOOKUP(F29,'All sensors Installed'!$A$2:$K$1083,11,)</f>
        <v>AC1F09FFFE04E48A</v>
      </c>
      <c r="J29" s="4" t="s">
        <v>650</v>
      </c>
      <c r="K29" s="4" t="s">
        <v>644</v>
      </c>
      <c r="L29" s="4" t="str">
        <f>VLOOKUP($K29,'Property names'!$A$1:$D$99,2,FALSE)</f>
        <v>The amount of moisture present in the soil, often expressed as a percentage of the maximum amount the soil could hold at a given temperature.</v>
      </c>
      <c r="M29" s="4" t="str">
        <f>VLOOKUP($K29,'Property names'!$A$1:$D$99,3,FALSE)</f>
        <v>Percentage</v>
      </c>
      <c r="N29" s="4" t="str">
        <f>VLOOKUP($K29,'Property names'!$A$1:$D$99,4,FALSE)</f>
        <v>%</v>
      </c>
      <c r="O29" s="4" t="str">
        <f t="shared" ref="O29:O158" si="4">SUBSTITUTE(CONCATENATE(B29,"_",F29,"_",J29)," ","_")</f>
        <v>Torresan_I001_soil_moisture_1</v>
      </c>
      <c r="P29" s="4" t="str">
        <f t="shared" ref="P29:P158" si="5">CONCATENATE("The datastream containing mesures of field ",B29," by sensor ",F29," which measures ",K29,".")</f>
        <v>The datastream containing mesures of field Torresan by sensor I001 which measures Soil Moisture.</v>
      </c>
    </row>
    <row r="30" spans="1:16" ht="15">
      <c r="A30" s="4" t="s">
        <v>560</v>
      </c>
      <c r="B30" s="4" t="s">
        <v>666</v>
      </c>
      <c r="C30" s="4" t="s">
        <v>667</v>
      </c>
      <c r="D30" s="141">
        <v>8.5484720000000003</v>
      </c>
      <c r="E30" s="141">
        <v>39.775970000000001</v>
      </c>
      <c r="F30" s="4" t="s">
        <v>87</v>
      </c>
      <c r="G30" s="143" t="s">
        <v>619</v>
      </c>
      <c r="H30" s="4" t="str">
        <f>VLOOKUP(F30,'All sensors Installed'!$A$2:$K$1083,6,)</f>
        <v>ST04</v>
      </c>
      <c r="I30" s="4" t="str">
        <f>VLOOKUP(F30,'All sensors Installed'!$A$2:$K$1083,11,)</f>
        <v>AC1F09FFFE04E48A</v>
      </c>
      <c r="J30" s="4" t="s">
        <v>651</v>
      </c>
      <c r="K30" s="4" t="s">
        <v>644</v>
      </c>
      <c r="L30" s="4" t="str">
        <f>VLOOKUP($K30,'Property names'!$A$1:$D$99,2,FALSE)</f>
        <v>The amount of moisture present in the soil, often expressed as a percentage of the maximum amount the soil could hold at a given temperature.</v>
      </c>
      <c r="M30" s="4" t="str">
        <f>VLOOKUP($K30,'Property names'!$A$1:$D$99,3,FALSE)</f>
        <v>Percentage</v>
      </c>
      <c r="N30" s="4" t="str">
        <f>VLOOKUP($K30,'Property names'!$A$1:$D$99,4,FALSE)</f>
        <v>%</v>
      </c>
      <c r="O30" s="4" t="str">
        <f t="shared" si="4"/>
        <v>Torresan_I001_soil_moisture_2</v>
      </c>
      <c r="P30" s="4" t="str">
        <f t="shared" si="5"/>
        <v>The datastream containing mesures of field Torresan by sensor I001 which measures Soil Moisture.</v>
      </c>
    </row>
    <row r="31" spans="1:16" ht="15">
      <c r="A31" s="4" t="s">
        <v>560</v>
      </c>
      <c r="B31" s="4" t="s">
        <v>666</v>
      </c>
      <c r="C31" s="4" t="s">
        <v>667</v>
      </c>
      <c r="D31" s="141">
        <v>8.5484720000000003</v>
      </c>
      <c r="E31" s="141">
        <v>39.775970000000001</v>
      </c>
      <c r="F31" s="4" t="s">
        <v>87</v>
      </c>
      <c r="G31" s="143" t="s">
        <v>619</v>
      </c>
      <c r="H31" s="4" t="str">
        <f>VLOOKUP(F31,'All sensors Installed'!$A$2:$K$1083,6,)</f>
        <v>ST04</v>
      </c>
      <c r="I31" s="4" t="str">
        <f>VLOOKUP(F31,'All sensors Installed'!$A$2:$K$1083,11,)</f>
        <v>AC1F09FFFE04E48A</v>
      </c>
      <c r="J31" s="4" t="s">
        <v>652</v>
      </c>
      <c r="K31" s="4" t="s">
        <v>644</v>
      </c>
      <c r="L31" s="4" t="str">
        <f>VLOOKUP($K31,'Property names'!$A$1:$D$99,2,FALSE)</f>
        <v>The amount of moisture present in the soil, often expressed as a percentage of the maximum amount the soil could hold at a given temperature.</v>
      </c>
      <c r="M31" s="4" t="str">
        <f>VLOOKUP($K31,'Property names'!$A$1:$D$99,3,FALSE)</f>
        <v>Percentage</v>
      </c>
      <c r="N31" s="4" t="str">
        <f>VLOOKUP($K31,'Property names'!$A$1:$D$99,4,FALSE)</f>
        <v>%</v>
      </c>
      <c r="O31" s="4" t="str">
        <f t="shared" si="4"/>
        <v>Torresan_I001_soil_moisture_3</v>
      </c>
      <c r="P31" s="4" t="str">
        <f t="shared" si="5"/>
        <v>The datastream containing mesures of field Torresan by sensor I001 which measures Soil Moisture.</v>
      </c>
    </row>
    <row r="32" spans="1:16" ht="15">
      <c r="A32" s="4" t="s">
        <v>560</v>
      </c>
      <c r="B32" s="4" t="s">
        <v>666</v>
      </c>
      <c r="C32" s="4" t="s">
        <v>667</v>
      </c>
      <c r="D32" s="141">
        <v>8.5484720000000003</v>
      </c>
      <c r="E32" s="141">
        <v>39.775970000000001</v>
      </c>
      <c r="F32" s="4" t="s">
        <v>87</v>
      </c>
      <c r="G32" s="143" t="s">
        <v>619</v>
      </c>
      <c r="H32" s="4" t="str">
        <f>VLOOKUP(F32,'All sensors Installed'!$A$2:$K$1083,6,)</f>
        <v>ST04</v>
      </c>
      <c r="I32" s="4" t="str">
        <f>VLOOKUP(F32,'All sensors Installed'!$A$2:$K$1083,11,)</f>
        <v>AC1F09FFFE04E48A</v>
      </c>
      <c r="J32" s="4" t="s">
        <v>653</v>
      </c>
      <c r="K32" s="4" t="s">
        <v>644</v>
      </c>
      <c r="L32" s="4" t="str">
        <f>VLOOKUP($K32,'Property names'!$A$1:$D$99,2,FALSE)</f>
        <v>The amount of moisture present in the soil, often expressed as a percentage of the maximum amount the soil could hold at a given temperature.</v>
      </c>
      <c r="M32" s="4" t="str">
        <f>VLOOKUP($K32,'Property names'!$A$1:$D$99,3,FALSE)</f>
        <v>Percentage</v>
      </c>
      <c r="N32" s="4" t="str">
        <f>VLOOKUP($K32,'Property names'!$A$1:$D$99,4,FALSE)</f>
        <v>%</v>
      </c>
      <c r="O32" s="4" t="str">
        <f t="shared" si="4"/>
        <v>Torresan_I001_soil_moisture_4</v>
      </c>
      <c r="P32" s="4" t="str">
        <f t="shared" si="5"/>
        <v>The datastream containing mesures of field Torresan by sensor I001 which measures Soil Moisture.</v>
      </c>
    </row>
    <row r="33" spans="1:16" ht="15">
      <c r="A33" s="4" t="s">
        <v>560</v>
      </c>
      <c r="B33" s="4" t="s">
        <v>666</v>
      </c>
      <c r="C33" s="4" t="s">
        <v>667</v>
      </c>
      <c r="D33" s="141">
        <v>8.5484720000000003</v>
      </c>
      <c r="E33" s="141">
        <v>39.775970000000001</v>
      </c>
      <c r="F33" s="4" t="s">
        <v>87</v>
      </c>
      <c r="G33" s="143" t="s">
        <v>619</v>
      </c>
      <c r="H33" s="4" t="str">
        <f>VLOOKUP(F33,'All sensors Installed'!$A$2:$K$1083,6,)</f>
        <v>ST04</v>
      </c>
      <c r="I33" s="4" t="str">
        <f>VLOOKUP(F33,'All sensors Installed'!$A$2:$K$1083,11,)</f>
        <v>AC1F09FFFE04E48A</v>
      </c>
      <c r="J33" s="4" t="s">
        <v>654</v>
      </c>
      <c r="K33" s="4" t="s">
        <v>644</v>
      </c>
      <c r="L33" s="4" t="str">
        <f>VLOOKUP($K33,'Property names'!$A$1:$D$99,2,FALSE)</f>
        <v>The amount of moisture present in the soil, often expressed as a percentage of the maximum amount the soil could hold at a given temperature.</v>
      </c>
      <c r="M33" s="4" t="str">
        <f>VLOOKUP($K33,'Property names'!$A$1:$D$99,3,FALSE)</f>
        <v>Percentage</v>
      </c>
      <c r="N33" s="4" t="str">
        <f>VLOOKUP($K33,'Property names'!$A$1:$D$99,4,FALSE)</f>
        <v>%</v>
      </c>
      <c r="O33" s="4" t="str">
        <f t="shared" si="4"/>
        <v>Torresan_I001_soil_moisture_5</v>
      </c>
      <c r="P33" s="4" t="str">
        <f t="shared" si="5"/>
        <v>The datastream containing mesures of field Torresan by sensor I001 which measures Soil Moisture.</v>
      </c>
    </row>
    <row r="34" spans="1:16" ht="15">
      <c r="A34" s="4" t="s">
        <v>560</v>
      </c>
      <c r="B34" s="4" t="s">
        <v>666</v>
      </c>
      <c r="C34" s="4" t="s">
        <v>667</v>
      </c>
      <c r="D34" s="141">
        <v>8.5484720000000003</v>
      </c>
      <c r="E34" s="141">
        <v>39.775970000000001</v>
      </c>
      <c r="F34" s="4" t="s">
        <v>87</v>
      </c>
      <c r="G34" s="143" t="s">
        <v>619</v>
      </c>
      <c r="H34" s="4" t="str">
        <f>VLOOKUP(F34,'All sensors Installed'!$A$2:$K$1083,6,)</f>
        <v>ST04</v>
      </c>
      <c r="I34" s="4" t="str">
        <f>VLOOKUP(F34,'All sensors Installed'!$A$2:$K$1083,11,)</f>
        <v>AC1F09FFFE04E48A</v>
      </c>
      <c r="J34" s="4" t="s">
        <v>655</v>
      </c>
      <c r="K34" s="4" t="s">
        <v>644</v>
      </c>
      <c r="L34" s="4" t="str">
        <f>VLOOKUP($K34,'Property names'!$A$1:$D$99,2,FALSE)</f>
        <v>The amount of moisture present in the soil, often expressed as a percentage of the maximum amount the soil could hold at a given temperature.</v>
      </c>
      <c r="M34" s="4" t="str">
        <f>VLOOKUP($K34,'Property names'!$A$1:$D$99,3,FALSE)</f>
        <v>Percentage</v>
      </c>
      <c r="N34" s="4" t="str">
        <f>VLOOKUP($K34,'Property names'!$A$1:$D$99,4,FALSE)</f>
        <v>%</v>
      </c>
      <c r="O34" s="4" t="str">
        <f t="shared" si="4"/>
        <v>Torresan_I001_soil_moisture_6</v>
      </c>
      <c r="P34" s="4" t="str">
        <f t="shared" si="5"/>
        <v>The datastream containing mesures of field Torresan by sensor I001 which measures Soil Moisture.</v>
      </c>
    </row>
    <row r="35" spans="1:16" ht="15">
      <c r="A35" s="4" t="s">
        <v>560</v>
      </c>
      <c r="B35" s="4" t="s">
        <v>666</v>
      </c>
      <c r="C35" s="4" t="s">
        <v>667</v>
      </c>
      <c r="D35" s="141">
        <v>8.5484720000000003</v>
      </c>
      <c r="E35" s="141">
        <v>39.775970000000001</v>
      </c>
      <c r="F35" s="4" t="s">
        <v>87</v>
      </c>
      <c r="G35" s="143" t="s">
        <v>619</v>
      </c>
      <c r="H35" s="4" t="str">
        <f>VLOOKUP(F35,'All sensors Installed'!$A$2:$K$1083,6,)</f>
        <v>ST04</v>
      </c>
      <c r="I35" s="4" t="str">
        <f>VLOOKUP(F35,'All sensors Installed'!$A$2:$K$1083,11,)</f>
        <v>AC1F09FFFE04E48A</v>
      </c>
      <c r="J35" s="4" t="s">
        <v>656</v>
      </c>
      <c r="K35" s="4" t="s">
        <v>638</v>
      </c>
      <c r="L35" s="4" t="str">
        <f>VLOOKUP($K35,'Property names'!$A$1:$D$99,2,FALSE)</f>
        <v>The measure of the hotness or coldness of the air.</v>
      </c>
      <c r="M35" s="4" t="str">
        <f>VLOOKUP($K35,'Property names'!$A$1:$D$99,3,FALSE)</f>
        <v>Degrees Celsius</v>
      </c>
      <c r="N35" s="4" t="str">
        <f>VLOOKUP($K35,'Property names'!$A$1:$D$99,4,FALSE)</f>
        <v>ºC</v>
      </c>
      <c r="O35" s="4" t="str">
        <f t="shared" si="4"/>
        <v>Torresan_I001_ambient_temperature</v>
      </c>
      <c r="P35" s="4" t="str">
        <f t="shared" si="5"/>
        <v>The datastream containing mesures of field Torresan by sensor I001 which measures Air Temperature.</v>
      </c>
    </row>
    <row r="36" spans="1:16" ht="15">
      <c r="A36" s="4" t="s">
        <v>560</v>
      </c>
      <c r="B36" s="4" t="s">
        <v>666</v>
      </c>
      <c r="C36" s="4" t="s">
        <v>667</v>
      </c>
      <c r="D36" s="141">
        <v>8.5484720000000003</v>
      </c>
      <c r="E36" s="141">
        <v>39.775970000000001</v>
      </c>
      <c r="F36" s="4" t="s">
        <v>87</v>
      </c>
      <c r="G36" s="143" t="s">
        <v>619</v>
      </c>
      <c r="H36" s="4" t="str">
        <f>VLOOKUP(F36,'All sensors Installed'!$A$2:$K$1083,6,)</f>
        <v>ST04</v>
      </c>
      <c r="I36" s="4" t="str">
        <f>VLOOKUP(F36,'All sensors Installed'!$A$2:$K$1083,11,)</f>
        <v>AC1F09FFFE04E48A</v>
      </c>
      <c r="J36" s="4" t="s">
        <v>657</v>
      </c>
      <c r="K36" s="4" t="s">
        <v>646</v>
      </c>
      <c r="L36" s="4" t="str">
        <f>VLOOKUP($K36,'Property names'!$A$1:$D$99,2,FALSE)</f>
        <v>The measure of temperature of the soil.</v>
      </c>
      <c r="M36" s="4" t="str">
        <f>VLOOKUP($K36,'Property names'!$A$1:$D$99,3,FALSE)</f>
        <v>Degrees Celsius</v>
      </c>
      <c r="N36" s="4" t="str">
        <f>VLOOKUP($K36,'Property names'!$A$1:$D$99,4,FALSE)</f>
        <v>ºC</v>
      </c>
      <c r="O36" s="4" t="str">
        <f t="shared" si="4"/>
        <v>Torresan_I001_soil_temperature_1</v>
      </c>
      <c r="P36" s="4" t="str">
        <f t="shared" si="5"/>
        <v>The datastream containing mesures of field Torresan by sensor I001 which measures Soil Temperature.</v>
      </c>
    </row>
    <row r="37" spans="1:16" ht="15">
      <c r="A37" s="4" t="s">
        <v>560</v>
      </c>
      <c r="B37" s="4" t="s">
        <v>666</v>
      </c>
      <c r="C37" s="4" t="s">
        <v>667</v>
      </c>
      <c r="D37" s="141">
        <v>8.5484720000000003</v>
      </c>
      <c r="E37" s="141">
        <v>39.775970000000001</v>
      </c>
      <c r="F37" s="4" t="s">
        <v>87</v>
      </c>
      <c r="G37" s="143" t="s">
        <v>619</v>
      </c>
      <c r="H37" s="4" t="str">
        <f>VLOOKUP(F37,'All sensors Installed'!$A$2:$K$1083,6,)</f>
        <v>ST04</v>
      </c>
      <c r="I37" s="4" t="str">
        <f>VLOOKUP(F37,'All sensors Installed'!$A$2:$K$1083,11,)</f>
        <v>AC1F09FFFE04E48A</v>
      </c>
      <c r="J37" s="4" t="s">
        <v>658</v>
      </c>
      <c r="K37" s="4" t="s">
        <v>646</v>
      </c>
      <c r="L37" s="4" t="str">
        <f>VLOOKUP($K37,'Property names'!$A$1:$D$99,2,FALSE)</f>
        <v>The measure of temperature of the soil.</v>
      </c>
      <c r="M37" s="4" t="str">
        <f>VLOOKUP($K37,'Property names'!$A$1:$D$99,3,FALSE)</f>
        <v>Degrees Celsius</v>
      </c>
      <c r="N37" s="4" t="str">
        <f>VLOOKUP($K37,'Property names'!$A$1:$D$99,4,FALSE)</f>
        <v>ºC</v>
      </c>
      <c r="O37" s="4" t="str">
        <f t="shared" si="4"/>
        <v>Torresan_I001_soil_temperature_2</v>
      </c>
      <c r="P37" s="4" t="str">
        <f t="shared" si="5"/>
        <v>The datastream containing mesures of field Torresan by sensor I001 which measures Soil Temperature.</v>
      </c>
    </row>
    <row r="38" spans="1:16" ht="15">
      <c r="A38" s="4" t="s">
        <v>560</v>
      </c>
      <c r="B38" s="4" t="s">
        <v>666</v>
      </c>
      <c r="C38" s="4" t="s">
        <v>667</v>
      </c>
      <c r="D38" s="141">
        <v>8.5484720000000003</v>
      </c>
      <c r="E38" s="141">
        <v>39.775970000000001</v>
      </c>
      <c r="F38" s="4" t="s">
        <v>87</v>
      </c>
      <c r="G38" s="143" t="s">
        <v>619</v>
      </c>
      <c r="H38" s="4" t="str">
        <f>VLOOKUP(F38,'All sensors Installed'!$A$2:$K$1083,6,)</f>
        <v>ST04</v>
      </c>
      <c r="I38" s="4" t="str">
        <f>VLOOKUP(F38,'All sensors Installed'!$A$2:$K$1083,11,)</f>
        <v>AC1F09FFFE04E48A</v>
      </c>
      <c r="J38" s="4" t="s">
        <v>659</v>
      </c>
      <c r="K38" s="4" t="s">
        <v>646</v>
      </c>
      <c r="L38" s="4" t="str">
        <f>VLOOKUP($K38,'Property names'!$A$1:$D$99,2,FALSE)</f>
        <v>The measure of temperature of the soil.</v>
      </c>
      <c r="M38" s="4" t="str">
        <f>VLOOKUP($K38,'Property names'!$A$1:$D$99,3,FALSE)</f>
        <v>Degrees Celsius</v>
      </c>
      <c r="N38" s="4" t="str">
        <f>VLOOKUP($K38,'Property names'!$A$1:$D$99,4,FALSE)</f>
        <v>ºC</v>
      </c>
      <c r="O38" s="4" t="str">
        <f t="shared" si="4"/>
        <v>Torresan_I001_soil_temperature_3</v>
      </c>
      <c r="P38" s="4" t="str">
        <f t="shared" si="5"/>
        <v>The datastream containing mesures of field Torresan by sensor I001 which measures Soil Temperature.</v>
      </c>
    </row>
    <row r="39" spans="1:16" ht="15">
      <c r="A39" s="4" t="s">
        <v>560</v>
      </c>
      <c r="B39" s="4" t="s">
        <v>666</v>
      </c>
      <c r="C39" s="4" t="s">
        <v>667</v>
      </c>
      <c r="D39" s="141">
        <v>8.5484720000000003</v>
      </c>
      <c r="E39" s="141">
        <v>39.775970000000001</v>
      </c>
      <c r="F39" s="4" t="s">
        <v>87</v>
      </c>
      <c r="G39" s="143" t="s">
        <v>619</v>
      </c>
      <c r="H39" s="4" t="str">
        <f>VLOOKUP(F39,'All sensors Installed'!$A$2:$K$1083,6,)</f>
        <v>ST04</v>
      </c>
      <c r="I39" s="4" t="str">
        <f>VLOOKUP(F39,'All sensors Installed'!$A$2:$K$1083,11,)</f>
        <v>AC1F09FFFE04E48A</v>
      </c>
      <c r="J39" s="4" t="s">
        <v>660</v>
      </c>
      <c r="K39" s="4" t="s">
        <v>646</v>
      </c>
      <c r="L39" s="4" t="str">
        <f>VLOOKUP($K39,'Property names'!$A$1:$D$99,2,FALSE)</f>
        <v>The measure of temperature of the soil.</v>
      </c>
      <c r="M39" s="4" t="str">
        <f>VLOOKUP($K39,'Property names'!$A$1:$D$99,3,FALSE)</f>
        <v>Degrees Celsius</v>
      </c>
      <c r="N39" s="4" t="str">
        <f>VLOOKUP($K39,'Property names'!$A$1:$D$99,4,FALSE)</f>
        <v>ºC</v>
      </c>
      <c r="O39" s="4" t="str">
        <f t="shared" si="4"/>
        <v>Torresan_I001_soil_temperature_4</v>
      </c>
      <c r="P39" s="4" t="str">
        <f t="shared" si="5"/>
        <v>The datastream containing mesures of field Torresan by sensor I001 which measures Soil Temperature.</v>
      </c>
    </row>
    <row r="40" spans="1:16" ht="15">
      <c r="A40" s="4" t="s">
        <v>560</v>
      </c>
      <c r="B40" s="4" t="s">
        <v>666</v>
      </c>
      <c r="C40" s="4" t="s">
        <v>667</v>
      </c>
      <c r="D40" s="141">
        <v>8.5484720000000003</v>
      </c>
      <c r="E40" s="141">
        <v>39.775970000000001</v>
      </c>
      <c r="F40" s="4" t="s">
        <v>87</v>
      </c>
      <c r="G40" s="143" t="s">
        <v>619</v>
      </c>
      <c r="H40" s="4" t="str">
        <f>VLOOKUP(F40,'All sensors Installed'!$A$2:$K$1083,6,)</f>
        <v>ST04</v>
      </c>
      <c r="I40" s="4" t="str">
        <f>VLOOKUP(F40,'All sensors Installed'!$A$2:$K$1083,11,)</f>
        <v>AC1F09FFFE04E48A</v>
      </c>
      <c r="J40" s="4" t="s">
        <v>661</v>
      </c>
      <c r="K40" s="4" t="s">
        <v>646</v>
      </c>
      <c r="L40" s="4" t="str">
        <f>VLOOKUP($K40,'Property names'!$A$1:$D$99,2,FALSE)</f>
        <v>The measure of temperature of the soil.</v>
      </c>
      <c r="M40" s="4" t="str">
        <f>VLOOKUP($K40,'Property names'!$A$1:$D$99,3,FALSE)</f>
        <v>Degrees Celsius</v>
      </c>
      <c r="N40" s="4" t="str">
        <f>VLOOKUP($K40,'Property names'!$A$1:$D$99,4,FALSE)</f>
        <v>ºC</v>
      </c>
      <c r="O40" s="4" t="str">
        <f t="shared" si="4"/>
        <v>Torresan_I001_soil_temperature_5</v>
      </c>
      <c r="P40" s="4" t="str">
        <f t="shared" si="5"/>
        <v>The datastream containing mesures of field Torresan by sensor I001 which measures Soil Temperature.</v>
      </c>
    </row>
    <row r="41" spans="1:16" ht="15">
      <c r="A41" s="4" t="s">
        <v>560</v>
      </c>
      <c r="B41" s="4" t="s">
        <v>666</v>
      </c>
      <c r="C41" s="4" t="s">
        <v>667</v>
      </c>
      <c r="D41" s="141">
        <v>8.5484720000000003</v>
      </c>
      <c r="E41" s="141">
        <v>39.775970000000001</v>
      </c>
      <c r="F41" s="4" t="s">
        <v>87</v>
      </c>
      <c r="G41" s="143" t="s">
        <v>619</v>
      </c>
      <c r="H41" s="4" t="str">
        <f>VLOOKUP(F41,'All sensors Installed'!$A$2:$K$1083,6,)</f>
        <v>ST04</v>
      </c>
      <c r="I41" s="4" t="str">
        <f>VLOOKUP(F41,'All sensors Installed'!$A$2:$K$1083,11,)</f>
        <v>AC1F09FFFE04E48A</v>
      </c>
      <c r="J41" s="4" t="s">
        <v>662</v>
      </c>
      <c r="K41" s="4" t="s">
        <v>646</v>
      </c>
      <c r="L41" s="4" t="str">
        <f>VLOOKUP($K41,'Property names'!$A$1:$D$99,2,FALSE)</f>
        <v>The measure of temperature of the soil.</v>
      </c>
      <c r="M41" s="4" t="str">
        <f>VLOOKUP($K41,'Property names'!$A$1:$D$99,3,FALSE)</f>
        <v>Degrees Celsius</v>
      </c>
      <c r="N41" s="4" t="str">
        <f>VLOOKUP($K41,'Property names'!$A$1:$D$99,4,FALSE)</f>
        <v>ºC</v>
      </c>
      <c r="O41" s="4" t="str">
        <f t="shared" si="4"/>
        <v>Torresan_I001_soil_temperature_6</v>
      </c>
      <c r="P41" s="4" t="str">
        <f t="shared" si="5"/>
        <v>The datastream containing mesures of field Torresan by sensor I001 which measures Soil Temperature.</v>
      </c>
    </row>
    <row r="42" spans="1:16" ht="15">
      <c r="A42" s="4" t="s">
        <v>560</v>
      </c>
      <c r="B42" s="4" t="s">
        <v>666</v>
      </c>
      <c r="C42" s="4" t="s">
        <v>667</v>
      </c>
      <c r="D42" s="141">
        <v>8.5485000000000007</v>
      </c>
      <c r="E42" s="141">
        <v>39.776139999999998</v>
      </c>
      <c r="F42" s="4" t="s">
        <v>89</v>
      </c>
      <c r="G42" s="143" t="s">
        <v>619</v>
      </c>
      <c r="H42" s="4" t="str">
        <f>VLOOKUP(F42,'All sensors Installed'!$A$2:$K$1083,6,)</f>
        <v>ST04</v>
      </c>
      <c r="I42" s="4" t="str">
        <f>VLOOKUP(F42,'All sensors Installed'!$A$2:$K$1083,11,)</f>
        <v>AC1F09FFFE04E487</v>
      </c>
      <c r="J42" s="4" t="s">
        <v>650</v>
      </c>
      <c r="K42" s="4" t="s">
        <v>644</v>
      </c>
      <c r="L42" s="4" t="str">
        <f>VLOOKUP($K42,'Property names'!$A$1:$D$99,2,FALSE)</f>
        <v>The amount of moisture present in the soil, often expressed as a percentage of the maximum amount the soil could hold at a given temperature.</v>
      </c>
      <c r="M42" s="4" t="str">
        <f>VLOOKUP($K42,'Property names'!$A$1:$D$99,3,FALSE)</f>
        <v>Percentage</v>
      </c>
      <c r="N42" s="4" t="str">
        <f>VLOOKUP($K42,'Property names'!$A$1:$D$99,4,FALSE)</f>
        <v>%</v>
      </c>
      <c r="O42" s="4" t="str">
        <f t="shared" si="4"/>
        <v>Torresan_I002_soil_moisture_1</v>
      </c>
      <c r="P42" s="4" t="str">
        <f t="shared" si="5"/>
        <v>The datastream containing mesures of field Torresan by sensor I002 which measures Soil Moisture.</v>
      </c>
    </row>
    <row r="43" spans="1:16" ht="15">
      <c r="A43" s="4" t="s">
        <v>560</v>
      </c>
      <c r="B43" s="4" t="s">
        <v>666</v>
      </c>
      <c r="C43" s="4" t="s">
        <v>667</v>
      </c>
      <c r="D43" s="141">
        <v>8.5485000000000007</v>
      </c>
      <c r="E43" s="141">
        <v>39.776139999999998</v>
      </c>
      <c r="F43" s="4" t="s">
        <v>89</v>
      </c>
      <c r="G43" s="143" t="s">
        <v>619</v>
      </c>
      <c r="H43" s="4" t="str">
        <f>VLOOKUP(F43,'All sensors Installed'!$A$2:$K$1083,6,)</f>
        <v>ST04</v>
      </c>
      <c r="I43" s="4" t="str">
        <f>VLOOKUP(F43,'All sensors Installed'!$A$2:$K$1083,11,)</f>
        <v>AC1F09FFFE04E487</v>
      </c>
      <c r="J43" s="4" t="s">
        <v>651</v>
      </c>
      <c r="K43" s="4" t="s">
        <v>644</v>
      </c>
      <c r="L43" s="4" t="str">
        <f>VLOOKUP($K43,'Property names'!$A$1:$D$99,2,FALSE)</f>
        <v>The amount of moisture present in the soil, often expressed as a percentage of the maximum amount the soil could hold at a given temperature.</v>
      </c>
      <c r="M43" s="4" t="str">
        <f>VLOOKUP($K43,'Property names'!$A$1:$D$99,3,FALSE)</f>
        <v>Percentage</v>
      </c>
      <c r="N43" s="4" t="str">
        <f>VLOOKUP($K43,'Property names'!$A$1:$D$99,4,FALSE)</f>
        <v>%</v>
      </c>
      <c r="O43" s="4" t="str">
        <f t="shared" si="4"/>
        <v>Torresan_I002_soil_moisture_2</v>
      </c>
      <c r="P43" s="4" t="str">
        <f t="shared" si="5"/>
        <v>The datastream containing mesures of field Torresan by sensor I002 which measures Soil Moisture.</v>
      </c>
    </row>
    <row r="44" spans="1:16" ht="15">
      <c r="A44" s="4" t="s">
        <v>560</v>
      </c>
      <c r="B44" s="4" t="s">
        <v>666</v>
      </c>
      <c r="C44" s="4" t="s">
        <v>667</v>
      </c>
      <c r="D44" s="141">
        <v>8.5485000000000007</v>
      </c>
      <c r="E44" s="141">
        <v>39.776139999999998</v>
      </c>
      <c r="F44" s="4" t="s">
        <v>89</v>
      </c>
      <c r="G44" s="143" t="s">
        <v>619</v>
      </c>
      <c r="H44" s="4" t="str">
        <f>VLOOKUP(F44,'All sensors Installed'!$A$2:$K$1083,6,)</f>
        <v>ST04</v>
      </c>
      <c r="I44" s="4" t="str">
        <f>VLOOKUP(F44,'All sensors Installed'!$A$2:$K$1083,11,)</f>
        <v>AC1F09FFFE04E487</v>
      </c>
      <c r="J44" s="4" t="s">
        <v>652</v>
      </c>
      <c r="K44" s="4" t="s">
        <v>644</v>
      </c>
      <c r="L44" s="4" t="str">
        <f>VLOOKUP($K44,'Property names'!$A$1:$D$99,2,FALSE)</f>
        <v>The amount of moisture present in the soil, often expressed as a percentage of the maximum amount the soil could hold at a given temperature.</v>
      </c>
      <c r="M44" s="4" t="str">
        <f>VLOOKUP($K44,'Property names'!$A$1:$D$99,3,FALSE)</f>
        <v>Percentage</v>
      </c>
      <c r="N44" s="4" t="str">
        <f>VLOOKUP($K44,'Property names'!$A$1:$D$99,4,FALSE)</f>
        <v>%</v>
      </c>
      <c r="O44" s="4" t="str">
        <f t="shared" si="4"/>
        <v>Torresan_I002_soil_moisture_3</v>
      </c>
      <c r="P44" s="4" t="str">
        <f t="shared" si="5"/>
        <v>The datastream containing mesures of field Torresan by sensor I002 which measures Soil Moisture.</v>
      </c>
    </row>
    <row r="45" spans="1:16" ht="15">
      <c r="A45" s="4" t="s">
        <v>560</v>
      </c>
      <c r="B45" s="4" t="s">
        <v>666</v>
      </c>
      <c r="C45" s="4" t="s">
        <v>667</v>
      </c>
      <c r="D45" s="141">
        <v>8.5485000000000007</v>
      </c>
      <c r="E45" s="141">
        <v>39.776139999999998</v>
      </c>
      <c r="F45" s="4" t="s">
        <v>89</v>
      </c>
      <c r="G45" s="143" t="s">
        <v>619</v>
      </c>
      <c r="H45" s="4" t="str">
        <f>VLOOKUP(F45,'All sensors Installed'!$A$2:$K$1083,6,)</f>
        <v>ST04</v>
      </c>
      <c r="I45" s="4" t="str">
        <f>VLOOKUP(F45,'All sensors Installed'!$A$2:$K$1083,11,)</f>
        <v>AC1F09FFFE04E487</v>
      </c>
      <c r="J45" s="4" t="s">
        <v>653</v>
      </c>
      <c r="K45" s="4" t="s">
        <v>644</v>
      </c>
      <c r="L45" s="4" t="str">
        <f>VLOOKUP($K45,'Property names'!$A$1:$D$99,2,FALSE)</f>
        <v>The amount of moisture present in the soil, often expressed as a percentage of the maximum amount the soil could hold at a given temperature.</v>
      </c>
      <c r="M45" s="4" t="str">
        <f>VLOOKUP($K45,'Property names'!$A$1:$D$99,3,FALSE)</f>
        <v>Percentage</v>
      </c>
      <c r="N45" s="4" t="str">
        <f>VLOOKUP($K45,'Property names'!$A$1:$D$99,4,FALSE)</f>
        <v>%</v>
      </c>
      <c r="O45" s="4" t="str">
        <f t="shared" si="4"/>
        <v>Torresan_I002_soil_moisture_4</v>
      </c>
      <c r="P45" s="4" t="str">
        <f t="shared" si="5"/>
        <v>The datastream containing mesures of field Torresan by sensor I002 which measures Soil Moisture.</v>
      </c>
    </row>
    <row r="46" spans="1:16" ht="15">
      <c r="A46" s="4" t="s">
        <v>560</v>
      </c>
      <c r="B46" s="4" t="s">
        <v>666</v>
      </c>
      <c r="C46" s="4" t="s">
        <v>667</v>
      </c>
      <c r="D46" s="141">
        <v>8.5485000000000007</v>
      </c>
      <c r="E46" s="141">
        <v>39.776139999999998</v>
      </c>
      <c r="F46" s="4" t="s">
        <v>89</v>
      </c>
      <c r="G46" s="143" t="s">
        <v>619</v>
      </c>
      <c r="H46" s="4" t="str">
        <f>VLOOKUP(F46,'All sensors Installed'!$A$2:$K$1083,6,)</f>
        <v>ST04</v>
      </c>
      <c r="I46" s="4" t="str">
        <f>VLOOKUP(F46,'All sensors Installed'!$A$2:$K$1083,11,)</f>
        <v>AC1F09FFFE04E487</v>
      </c>
      <c r="J46" s="4" t="s">
        <v>654</v>
      </c>
      <c r="K46" s="4" t="s">
        <v>644</v>
      </c>
      <c r="L46" s="4" t="str">
        <f>VLOOKUP($K46,'Property names'!$A$1:$D$99,2,FALSE)</f>
        <v>The amount of moisture present in the soil, often expressed as a percentage of the maximum amount the soil could hold at a given temperature.</v>
      </c>
      <c r="M46" s="4" t="str">
        <f>VLOOKUP($K46,'Property names'!$A$1:$D$99,3,FALSE)</f>
        <v>Percentage</v>
      </c>
      <c r="N46" s="4" t="str">
        <f>VLOOKUP($K46,'Property names'!$A$1:$D$99,4,FALSE)</f>
        <v>%</v>
      </c>
      <c r="O46" s="4" t="str">
        <f t="shared" si="4"/>
        <v>Torresan_I002_soil_moisture_5</v>
      </c>
      <c r="P46" s="4" t="str">
        <f t="shared" si="5"/>
        <v>The datastream containing mesures of field Torresan by sensor I002 which measures Soil Moisture.</v>
      </c>
    </row>
    <row r="47" spans="1:16" ht="15">
      <c r="A47" s="4" t="s">
        <v>560</v>
      </c>
      <c r="B47" s="4" t="s">
        <v>666</v>
      </c>
      <c r="C47" s="4" t="s">
        <v>667</v>
      </c>
      <c r="D47" s="141">
        <v>8.5485000000000007</v>
      </c>
      <c r="E47" s="141">
        <v>39.776139999999998</v>
      </c>
      <c r="F47" s="4" t="s">
        <v>89</v>
      </c>
      <c r="G47" s="143" t="s">
        <v>619</v>
      </c>
      <c r="H47" s="4" t="str">
        <f>VLOOKUP(F47,'All sensors Installed'!$A$2:$K$1083,6,)</f>
        <v>ST04</v>
      </c>
      <c r="I47" s="4" t="str">
        <f>VLOOKUP(F47,'All sensors Installed'!$A$2:$K$1083,11,)</f>
        <v>AC1F09FFFE04E487</v>
      </c>
      <c r="J47" s="4" t="s">
        <v>655</v>
      </c>
      <c r="K47" s="4" t="s">
        <v>644</v>
      </c>
      <c r="L47" s="4" t="str">
        <f>VLOOKUP($K47,'Property names'!$A$1:$D$99,2,FALSE)</f>
        <v>The amount of moisture present in the soil, often expressed as a percentage of the maximum amount the soil could hold at a given temperature.</v>
      </c>
      <c r="M47" s="4" t="str">
        <f>VLOOKUP($K47,'Property names'!$A$1:$D$99,3,FALSE)</f>
        <v>Percentage</v>
      </c>
      <c r="N47" s="4" t="str">
        <f>VLOOKUP($K47,'Property names'!$A$1:$D$99,4,FALSE)</f>
        <v>%</v>
      </c>
      <c r="O47" s="4" t="str">
        <f t="shared" si="4"/>
        <v>Torresan_I002_soil_moisture_6</v>
      </c>
      <c r="P47" s="4" t="str">
        <f t="shared" si="5"/>
        <v>The datastream containing mesures of field Torresan by sensor I002 which measures Soil Moisture.</v>
      </c>
    </row>
    <row r="48" spans="1:16" ht="15">
      <c r="A48" s="4" t="s">
        <v>560</v>
      </c>
      <c r="B48" s="4" t="s">
        <v>666</v>
      </c>
      <c r="C48" s="4" t="s">
        <v>667</v>
      </c>
      <c r="D48" s="141">
        <v>8.5485000000000007</v>
      </c>
      <c r="E48" s="141">
        <v>39.776139999999998</v>
      </c>
      <c r="F48" s="4" t="s">
        <v>89</v>
      </c>
      <c r="G48" s="143" t="s">
        <v>619</v>
      </c>
      <c r="H48" s="4" t="str">
        <f>VLOOKUP(F48,'All sensors Installed'!$A$2:$K$1083,6,)</f>
        <v>ST04</v>
      </c>
      <c r="I48" s="4" t="str">
        <f>VLOOKUP(F48,'All sensors Installed'!$A$2:$K$1083,11,)</f>
        <v>AC1F09FFFE04E487</v>
      </c>
      <c r="J48" s="4" t="s">
        <v>656</v>
      </c>
      <c r="K48" s="4" t="s">
        <v>638</v>
      </c>
      <c r="L48" s="4" t="str">
        <f>VLOOKUP($K48,'Property names'!$A$1:$D$99,2,FALSE)</f>
        <v>The measure of the hotness or coldness of the air.</v>
      </c>
      <c r="M48" s="4" t="str">
        <f>VLOOKUP($K48,'Property names'!$A$1:$D$99,3,FALSE)</f>
        <v>Degrees Celsius</v>
      </c>
      <c r="N48" s="4" t="str">
        <f>VLOOKUP($K48,'Property names'!$A$1:$D$99,4,FALSE)</f>
        <v>ºC</v>
      </c>
      <c r="O48" s="4" t="str">
        <f t="shared" si="4"/>
        <v>Torresan_I002_ambient_temperature</v>
      </c>
      <c r="P48" s="4" t="str">
        <f t="shared" si="5"/>
        <v>The datastream containing mesures of field Torresan by sensor I002 which measures Air Temperature.</v>
      </c>
    </row>
    <row r="49" spans="1:16" ht="15">
      <c r="A49" s="4" t="s">
        <v>560</v>
      </c>
      <c r="B49" s="4" t="s">
        <v>666</v>
      </c>
      <c r="C49" s="4" t="s">
        <v>667</v>
      </c>
      <c r="D49" s="141">
        <v>8.5485000000000007</v>
      </c>
      <c r="E49" s="141">
        <v>39.776139999999998</v>
      </c>
      <c r="F49" s="4" t="s">
        <v>89</v>
      </c>
      <c r="G49" s="143" t="s">
        <v>619</v>
      </c>
      <c r="H49" s="4" t="str">
        <f>VLOOKUP(F49,'All sensors Installed'!$A$2:$K$1083,6,)</f>
        <v>ST04</v>
      </c>
      <c r="I49" s="4" t="str">
        <f>VLOOKUP(F49,'All sensors Installed'!$A$2:$K$1083,11,)</f>
        <v>AC1F09FFFE04E487</v>
      </c>
      <c r="J49" s="4" t="s">
        <v>657</v>
      </c>
      <c r="K49" s="4" t="s">
        <v>646</v>
      </c>
      <c r="L49" s="4" t="str">
        <f>VLOOKUP($K49,'Property names'!$A$1:$D$99,2,FALSE)</f>
        <v>The measure of temperature of the soil.</v>
      </c>
      <c r="M49" s="4" t="str">
        <f>VLOOKUP($K49,'Property names'!$A$1:$D$99,3,FALSE)</f>
        <v>Degrees Celsius</v>
      </c>
      <c r="N49" s="4" t="str">
        <f>VLOOKUP($K49,'Property names'!$A$1:$D$99,4,FALSE)</f>
        <v>ºC</v>
      </c>
      <c r="O49" s="4" t="str">
        <f t="shared" si="4"/>
        <v>Torresan_I002_soil_temperature_1</v>
      </c>
      <c r="P49" s="4" t="str">
        <f t="shared" si="5"/>
        <v>The datastream containing mesures of field Torresan by sensor I002 which measures Soil Temperature.</v>
      </c>
    </row>
    <row r="50" spans="1:16" ht="15">
      <c r="A50" s="4" t="s">
        <v>560</v>
      </c>
      <c r="B50" s="4" t="s">
        <v>666</v>
      </c>
      <c r="C50" s="4" t="s">
        <v>667</v>
      </c>
      <c r="D50" s="141">
        <v>8.5485000000000007</v>
      </c>
      <c r="E50" s="141">
        <v>39.776139999999998</v>
      </c>
      <c r="F50" s="4" t="s">
        <v>89</v>
      </c>
      <c r="G50" s="143" t="s">
        <v>619</v>
      </c>
      <c r="H50" s="4" t="str">
        <f>VLOOKUP(F50,'All sensors Installed'!$A$2:$K$1083,6,)</f>
        <v>ST04</v>
      </c>
      <c r="I50" s="4" t="str">
        <f>VLOOKUP(F50,'All sensors Installed'!$A$2:$K$1083,11,)</f>
        <v>AC1F09FFFE04E487</v>
      </c>
      <c r="J50" s="4" t="s">
        <v>658</v>
      </c>
      <c r="K50" s="4" t="s">
        <v>646</v>
      </c>
      <c r="L50" s="4" t="str">
        <f>VLOOKUP($K50,'Property names'!$A$1:$D$99,2,FALSE)</f>
        <v>The measure of temperature of the soil.</v>
      </c>
      <c r="M50" s="4" t="str">
        <f>VLOOKUP($K50,'Property names'!$A$1:$D$99,3,FALSE)</f>
        <v>Degrees Celsius</v>
      </c>
      <c r="N50" s="4" t="str">
        <f>VLOOKUP($K50,'Property names'!$A$1:$D$99,4,FALSE)</f>
        <v>ºC</v>
      </c>
      <c r="O50" s="4" t="str">
        <f t="shared" si="4"/>
        <v>Torresan_I002_soil_temperature_2</v>
      </c>
      <c r="P50" s="4" t="str">
        <f t="shared" si="5"/>
        <v>The datastream containing mesures of field Torresan by sensor I002 which measures Soil Temperature.</v>
      </c>
    </row>
    <row r="51" spans="1:16" ht="15">
      <c r="A51" s="4" t="s">
        <v>560</v>
      </c>
      <c r="B51" s="4" t="s">
        <v>666</v>
      </c>
      <c r="C51" s="4" t="s">
        <v>667</v>
      </c>
      <c r="D51" s="141">
        <v>8.5485000000000007</v>
      </c>
      <c r="E51" s="141">
        <v>39.776139999999998</v>
      </c>
      <c r="F51" s="4" t="s">
        <v>89</v>
      </c>
      <c r="G51" s="143" t="s">
        <v>619</v>
      </c>
      <c r="H51" s="4" t="str">
        <f>VLOOKUP(F51,'All sensors Installed'!$A$2:$K$1083,6,)</f>
        <v>ST04</v>
      </c>
      <c r="I51" s="4" t="str">
        <f>VLOOKUP(F51,'All sensors Installed'!$A$2:$K$1083,11,)</f>
        <v>AC1F09FFFE04E487</v>
      </c>
      <c r="J51" s="4" t="s">
        <v>659</v>
      </c>
      <c r="K51" s="4" t="s">
        <v>646</v>
      </c>
      <c r="L51" s="4" t="str">
        <f>VLOOKUP($K51,'Property names'!$A$1:$D$99,2,FALSE)</f>
        <v>The measure of temperature of the soil.</v>
      </c>
      <c r="M51" s="4" t="str">
        <f>VLOOKUP($K51,'Property names'!$A$1:$D$99,3,FALSE)</f>
        <v>Degrees Celsius</v>
      </c>
      <c r="N51" s="4" t="str">
        <f>VLOOKUP($K51,'Property names'!$A$1:$D$99,4,FALSE)</f>
        <v>ºC</v>
      </c>
      <c r="O51" s="4" t="str">
        <f t="shared" si="4"/>
        <v>Torresan_I002_soil_temperature_3</v>
      </c>
      <c r="P51" s="4" t="str">
        <f t="shared" si="5"/>
        <v>The datastream containing mesures of field Torresan by sensor I002 which measures Soil Temperature.</v>
      </c>
    </row>
    <row r="52" spans="1:16" ht="15">
      <c r="A52" s="4" t="s">
        <v>560</v>
      </c>
      <c r="B52" s="4" t="s">
        <v>666</v>
      </c>
      <c r="C52" s="4" t="s">
        <v>667</v>
      </c>
      <c r="D52" s="141">
        <v>8.5485000000000007</v>
      </c>
      <c r="E52" s="141">
        <v>39.776139999999998</v>
      </c>
      <c r="F52" s="4" t="s">
        <v>89</v>
      </c>
      <c r="G52" s="143" t="s">
        <v>619</v>
      </c>
      <c r="H52" s="4" t="str">
        <f>VLOOKUP(F52,'All sensors Installed'!$A$2:$K$1083,6,)</f>
        <v>ST04</v>
      </c>
      <c r="I52" s="4" t="str">
        <f>VLOOKUP(F52,'All sensors Installed'!$A$2:$K$1083,11,)</f>
        <v>AC1F09FFFE04E487</v>
      </c>
      <c r="J52" s="4" t="s">
        <v>660</v>
      </c>
      <c r="K52" s="4" t="s">
        <v>646</v>
      </c>
      <c r="L52" s="4" t="str">
        <f>VLOOKUP($K52,'Property names'!$A$1:$D$99,2,FALSE)</f>
        <v>The measure of temperature of the soil.</v>
      </c>
      <c r="M52" s="4" t="str">
        <f>VLOOKUP($K52,'Property names'!$A$1:$D$99,3,FALSE)</f>
        <v>Degrees Celsius</v>
      </c>
      <c r="N52" s="4" t="str">
        <f>VLOOKUP($K52,'Property names'!$A$1:$D$99,4,FALSE)</f>
        <v>ºC</v>
      </c>
      <c r="O52" s="4" t="str">
        <f t="shared" si="4"/>
        <v>Torresan_I002_soil_temperature_4</v>
      </c>
      <c r="P52" s="4" t="str">
        <f t="shared" si="5"/>
        <v>The datastream containing mesures of field Torresan by sensor I002 which measures Soil Temperature.</v>
      </c>
    </row>
    <row r="53" spans="1:16" ht="15">
      <c r="A53" s="4" t="s">
        <v>560</v>
      </c>
      <c r="B53" s="4" t="s">
        <v>666</v>
      </c>
      <c r="C53" s="4" t="s">
        <v>667</v>
      </c>
      <c r="D53" s="141">
        <v>8.5485000000000007</v>
      </c>
      <c r="E53" s="141">
        <v>39.776139999999998</v>
      </c>
      <c r="F53" s="4" t="s">
        <v>89</v>
      </c>
      <c r="G53" s="143" t="s">
        <v>619</v>
      </c>
      <c r="H53" s="4" t="str">
        <f>VLOOKUP(F53,'All sensors Installed'!$A$2:$K$1083,6,)</f>
        <v>ST04</v>
      </c>
      <c r="I53" s="4" t="str">
        <f>VLOOKUP(F53,'All sensors Installed'!$A$2:$K$1083,11,)</f>
        <v>AC1F09FFFE04E487</v>
      </c>
      <c r="J53" s="4" t="s">
        <v>661</v>
      </c>
      <c r="K53" s="4" t="s">
        <v>646</v>
      </c>
      <c r="L53" s="4" t="str">
        <f>VLOOKUP($K53,'Property names'!$A$1:$D$99,2,FALSE)</f>
        <v>The measure of temperature of the soil.</v>
      </c>
      <c r="M53" s="4" t="str">
        <f>VLOOKUP($K53,'Property names'!$A$1:$D$99,3,FALSE)</f>
        <v>Degrees Celsius</v>
      </c>
      <c r="N53" s="4" t="str">
        <f>VLOOKUP($K53,'Property names'!$A$1:$D$99,4,FALSE)</f>
        <v>ºC</v>
      </c>
      <c r="O53" s="4" t="str">
        <f t="shared" si="4"/>
        <v>Torresan_I002_soil_temperature_5</v>
      </c>
      <c r="P53" s="4" t="str">
        <f t="shared" si="5"/>
        <v>The datastream containing mesures of field Torresan by sensor I002 which measures Soil Temperature.</v>
      </c>
    </row>
    <row r="54" spans="1:16" ht="15">
      <c r="A54" s="4" t="s">
        <v>560</v>
      </c>
      <c r="B54" s="4" t="s">
        <v>666</v>
      </c>
      <c r="C54" s="4" t="s">
        <v>667</v>
      </c>
      <c r="D54" s="141">
        <v>8.5485000000000007</v>
      </c>
      <c r="E54" s="141">
        <v>39.776139999999998</v>
      </c>
      <c r="F54" s="4" t="s">
        <v>89</v>
      </c>
      <c r="G54" s="143" t="s">
        <v>619</v>
      </c>
      <c r="H54" s="4" t="str">
        <f>VLOOKUP(F54,'All sensors Installed'!$A$2:$K$1083,6,)</f>
        <v>ST04</v>
      </c>
      <c r="I54" s="4" t="str">
        <f>VLOOKUP(F54,'All sensors Installed'!$A$2:$K$1083,11,)</f>
        <v>AC1F09FFFE04E487</v>
      </c>
      <c r="J54" s="4" t="s">
        <v>662</v>
      </c>
      <c r="K54" s="4" t="s">
        <v>646</v>
      </c>
      <c r="L54" s="4" t="str">
        <f>VLOOKUP($K54,'Property names'!$A$1:$D$99,2,FALSE)</f>
        <v>The measure of temperature of the soil.</v>
      </c>
      <c r="M54" s="4" t="str">
        <f>VLOOKUP($K54,'Property names'!$A$1:$D$99,3,FALSE)</f>
        <v>Degrees Celsius</v>
      </c>
      <c r="N54" s="4" t="str">
        <f>VLOOKUP($K54,'Property names'!$A$1:$D$99,4,FALSE)</f>
        <v>ºC</v>
      </c>
      <c r="O54" s="4" t="str">
        <f t="shared" si="4"/>
        <v>Torresan_I002_soil_temperature_6</v>
      </c>
      <c r="P54" s="4" t="str">
        <f t="shared" si="5"/>
        <v>The datastream containing mesures of field Torresan by sensor I002 which measures Soil Temperature.</v>
      </c>
    </row>
    <row r="55" spans="1:16" ht="15">
      <c r="A55" s="4" t="s">
        <v>560</v>
      </c>
      <c r="B55" s="4" t="s">
        <v>668</v>
      </c>
      <c r="C55" s="4" t="s">
        <v>667</v>
      </c>
      <c r="D55" s="141">
        <v>8.5806939999999994</v>
      </c>
      <c r="E55" s="141">
        <v>39.761029999999998</v>
      </c>
      <c r="F55" s="4" t="s">
        <v>91</v>
      </c>
      <c r="G55" s="143" t="s">
        <v>619</v>
      </c>
      <c r="H55" s="4" t="str">
        <f>VLOOKUP(F55,'All sensors Installed'!$A$2:$K$1083,6,)</f>
        <v>ST04</v>
      </c>
      <c r="I55" s="4" t="str">
        <f>VLOOKUP(F55,'All sensors Installed'!$A$2:$K$1083,11,)</f>
        <v>AC1F09FFFE04E4C1</v>
      </c>
      <c r="J55" s="4" t="s">
        <v>650</v>
      </c>
      <c r="K55" s="4" t="s">
        <v>644</v>
      </c>
      <c r="L55" s="4" t="str">
        <f>VLOOKUP($K55,'Property names'!$A$1:$D$99,2,FALSE)</f>
        <v>The amount of moisture present in the soil, often expressed as a percentage of the maximum amount the soil could hold at a given temperature.</v>
      </c>
      <c r="M55" s="4" t="str">
        <f>VLOOKUP($K55,'Property names'!$A$1:$D$99,3,FALSE)</f>
        <v>Percentage</v>
      </c>
      <c r="N55" s="4" t="str">
        <f>VLOOKUP($K55,'Property names'!$A$1:$D$99,4,FALSE)</f>
        <v>%</v>
      </c>
      <c r="O55" s="4" t="str">
        <f t="shared" si="4"/>
        <v>Pinos_I003_soil_moisture_1</v>
      </c>
      <c r="P55" s="4" t="str">
        <f t="shared" si="5"/>
        <v>The datastream containing mesures of field Pinos by sensor I003 which measures Soil Moisture.</v>
      </c>
    </row>
    <row r="56" spans="1:16" ht="15">
      <c r="A56" s="4" t="s">
        <v>560</v>
      </c>
      <c r="B56" s="4" t="s">
        <v>668</v>
      </c>
      <c r="C56" s="4" t="s">
        <v>667</v>
      </c>
      <c r="D56" s="141">
        <v>8.5806939999999994</v>
      </c>
      <c r="E56" s="141">
        <v>39.761029999999998</v>
      </c>
      <c r="F56" s="4" t="s">
        <v>91</v>
      </c>
      <c r="G56" s="143" t="s">
        <v>619</v>
      </c>
      <c r="H56" s="4" t="str">
        <f>VLOOKUP(F56,'All sensors Installed'!$A$2:$K$1083,6,)</f>
        <v>ST04</v>
      </c>
      <c r="I56" s="4" t="str">
        <f>VLOOKUP(F56,'All sensors Installed'!$A$2:$K$1083,11,)</f>
        <v>AC1F09FFFE04E4C1</v>
      </c>
      <c r="J56" s="4" t="s">
        <v>651</v>
      </c>
      <c r="K56" s="4" t="s">
        <v>644</v>
      </c>
      <c r="L56" s="4" t="str">
        <f>VLOOKUP($K56,'Property names'!$A$1:$D$99,2,FALSE)</f>
        <v>The amount of moisture present in the soil, often expressed as a percentage of the maximum amount the soil could hold at a given temperature.</v>
      </c>
      <c r="M56" s="4" t="str">
        <f>VLOOKUP($K56,'Property names'!$A$1:$D$99,3,FALSE)</f>
        <v>Percentage</v>
      </c>
      <c r="N56" s="4" t="str">
        <f>VLOOKUP($K56,'Property names'!$A$1:$D$99,4,FALSE)</f>
        <v>%</v>
      </c>
      <c r="O56" s="4" t="str">
        <f t="shared" si="4"/>
        <v>Pinos_I003_soil_moisture_2</v>
      </c>
      <c r="P56" s="4" t="str">
        <f t="shared" si="5"/>
        <v>The datastream containing mesures of field Pinos by sensor I003 which measures Soil Moisture.</v>
      </c>
    </row>
    <row r="57" spans="1:16" ht="15">
      <c r="A57" s="4" t="s">
        <v>560</v>
      </c>
      <c r="B57" s="4" t="s">
        <v>668</v>
      </c>
      <c r="C57" s="4" t="s">
        <v>667</v>
      </c>
      <c r="D57" s="141">
        <v>8.5806939999999994</v>
      </c>
      <c r="E57" s="141">
        <v>39.761029999999998</v>
      </c>
      <c r="F57" s="4" t="s">
        <v>91</v>
      </c>
      <c r="G57" s="143" t="s">
        <v>619</v>
      </c>
      <c r="H57" s="4" t="str">
        <f>VLOOKUP(F57,'All sensors Installed'!$A$2:$K$1083,6,)</f>
        <v>ST04</v>
      </c>
      <c r="I57" s="4" t="str">
        <f>VLOOKUP(F57,'All sensors Installed'!$A$2:$K$1083,11,)</f>
        <v>AC1F09FFFE04E4C1</v>
      </c>
      <c r="J57" s="4" t="s">
        <v>652</v>
      </c>
      <c r="K57" s="4" t="s">
        <v>644</v>
      </c>
      <c r="L57" s="4" t="str">
        <f>VLOOKUP($K57,'Property names'!$A$1:$D$99,2,FALSE)</f>
        <v>The amount of moisture present in the soil, often expressed as a percentage of the maximum amount the soil could hold at a given temperature.</v>
      </c>
      <c r="M57" s="4" t="str">
        <f>VLOOKUP($K57,'Property names'!$A$1:$D$99,3,FALSE)</f>
        <v>Percentage</v>
      </c>
      <c r="N57" s="4" t="str">
        <f>VLOOKUP($K57,'Property names'!$A$1:$D$99,4,FALSE)</f>
        <v>%</v>
      </c>
      <c r="O57" s="4" t="str">
        <f t="shared" si="4"/>
        <v>Pinos_I003_soil_moisture_3</v>
      </c>
      <c r="P57" s="4" t="str">
        <f t="shared" si="5"/>
        <v>The datastream containing mesures of field Pinos by sensor I003 which measures Soil Moisture.</v>
      </c>
    </row>
    <row r="58" spans="1:16" ht="15">
      <c r="A58" s="4" t="s">
        <v>560</v>
      </c>
      <c r="B58" s="4" t="s">
        <v>668</v>
      </c>
      <c r="C58" s="4" t="s">
        <v>667</v>
      </c>
      <c r="D58" s="141">
        <v>8.5806939999999994</v>
      </c>
      <c r="E58" s="141">
        <v>39.761029999999998</v>
      </c>
      <c r="F58" s="4" t="s">
        <v>91</v>
      </c>
      <c r="G58" s="143" t="s">
        <v>619</v>
      </c>
      <c r="H58" s="4" t="str">
        <f>VLOOKUP(F58,'All sensors Installed'!$A$2:$K$1083,6,)</f>
        <v>ST04</v>
      </c>
      <c r="I58" s="4" t="str">
        <f>VLOOKUP(F58,'All sensors Installed'!$A$2:$K$1083,11,)</f>
        <v>AC1F09FFFE04E4C1</v>
      </c>
      <c r="J58" s="4" t="s">
        <v>653</v>
      </c>
      <c r="K58" s="4" t="s">
        <v>644</v>
      </c>
      <c r="L58" s="4" t="str">
        <f>VLOOKUP($K58,'Property names'!$A$1:$D$99,2,FALSE)</f>
        <v>The amount of moisture present in the soil, often expressed as a percentage of the maximum amount the soil could hold at a given temperature.</v>
      </c>
      <c r="M58" s="4" t="str">
        <f>VLOOKUP($K58,'Property names'!$A$1:$D$99,3,FALSE)</f>
        <v>Percentage</v>
      </c>
      <c r="N58" s="4" t="str">
        <f>VLOOKUP($K58,'Property names'!$A$1:$D$99,4,FALSE)</f>
        <v>%</v>
      </c>
      <c r="O58" s="4" t="str">
        <f t="shared" si="4"/>
        <v>Pinos_I003_soil_moisture_4</v>
      </c>
      <c r="P58" s="4" t="str">
        <f t="shared" si="5"/>
        <v>The datastream containing mesures of field Pinos by sensor I003 which measures Soil Moisture.</v>
      </c>
    </row>
    <row r="59" spans="1:16" ht="15">
      <c r="A59" s="4" t="s">
        <v>560</v>
      </c>
      <c r="B59" s="4" t="s">
        <v>668</v>
      </c>
      <c r="C59" s="4" t="s">
        <v>667</v>
      </c>
      <c r="D59" s="141">
        <v>8.5806939999999994</v>
      </c>
      <c r="E59" s="141">
        <v>39.761029999999998</v>
      </c>
      <c r="F59" s="4" t="s">
        <v>91</v>
      </c>
      <c r="G59" s="143" t="s">
        <v>619</v>
      </c>
      <c r="H59" s="4" t="str">
        <f>VLOOKUP(F59,'All sensors Installed'!$A$2:$K$1083,6,)</f>
        <v>ST04</v>
      </c>
      <c r="I59" s="4" t="str">
        <f>VLOOKUP(F59,'All sensors Installed'!$A$2:$K$1083,11,)</f>
        <v>AC1F09FFFE04E4C1</v>
      </c>
      <c r="J59" s="4" t="s">
        <v>654</v>
      </c>
      <c r="K59" s="4" t="s">
        <v>644</v>
      </c>
      <c r="L59" s="4" t="str">
        <f>VLOOKUP($K59,'Property names'!$A$1:$D$99,2,FALSE)</f>
        <v>The amount of moisture present in the soil, often expressed as a percentage of the maximum amount the soil could hold at a given temperature.</v>
      </c>
      <c r="M59" s="4" t="str">
        <f>VLOOKUP($K59,'Property names'!$A$1:$D$99,3,FALSE)</f>
        <v>Percentage</v>
      </c>
      <c r="N59" s="4" t="str">
        <f>VLOOKUP($K59,'Property names'!$A$1:$D$99,4,FALSE)</f>
        <v>%</v>
      </c>
      <c r="O59" s="4" t="str">
        <f t="shared" si="4"/>
        <v>Pinos_I003_soil_moisture_5</v>
      </c>
      <c r="P59" s="4" t="str">
        <f t="shared" si="5"/>
        <v>The datastream containing mesures of field Pinos by sensor I003 which measures Soil Moisture.</v>
      </c>
    </row>
    <row r="60" spans="1:16" ht="15">
      <c r="A60" s="4" t="s">
        <v>560</v>
      </c>
      <c r="B60" s="4" t="s">
        <v>668</v>
      </c>
      <c r="C60" s="4" t="s">
        <v>667</v>
      </c>
      <c r="D60" s="141">
        <v>8.5806939999999994</v>
      </c>
      <c r="E60" s="141">
        <v>39.761029999999998</v>
      </c>
      <c r="F60" s="4" t="s">
        <v>91</v>
      </c>
      <c r="G60" s="143" t="s">
        <v>619</v>
      </c>
      <c r="H60" s="4" t="str">
        <f>VLOOKUP(F60,'All sensors Installed'!$A$2:$K$1083,6,)</f>
        <v>ST04</v>
      </c>
      <c r="I60" s="4" t="str">
        <f>VLOOKUP(F60,'All sensors Installed'!$A$2:$K$1083,11,)</f>
        <v>AC1F09FFFE04E4C1</v>
      </c>
      <c r="J60" s="4" t="s">
        <v>655</v>
      </c>
      <c r="K60" s="4" t="s">
        <v>644</v>
      </c>
      <c r="L60" s="4" t="str">
        <f>VLOOKUP($K60,'Property names'!$A$1:$D$99,2,FALSE)</f>
        <v>The amount of moisture present in the soil, often expressed as a percentage of the maximum amount the soil could hold at a given temperature.</v>
      </c>
      <c r="M60" s="4" t="str">
        <f>VLOOKUP($K60,'Property names'!$A$1:$D$99,3,FALSE)</f>
        <v>Percentage</v>
      </c>
      <c r="N60" s="4" t="str">
        <f>VLOOKUP($K60,'Property names'!$A$1:$D$99,4,FALSE)</f>
        <v>%</v>
      </c>
      <c r="O60" s="4" t="str">
        <f t="shared" si="4"/>
        <v>Pinos_I003_soil_moisture_6</v>
      </c>
      <c r="P60" s="4" t="str">
        <f t="shared" si="5"/>
        <v>The datastream containing mesures of field Pinos by sensor I003 which measures Soil Moisture.</v>
      </c>
    </row>
    <row r="61" spans="1:16" ht="15">
      <c r="A61" s="4" t="s">
        <v>560</v>
      </c>
      <c r="B61" s="4" t="s">
        <v>668</v>
      </c>
      <c r="C61" s="4" t="s">
        <v>667</v>
      </c>
      <c r="D61" s="141">
        <v>8.5806939999999994</v>
      </c>
      <c r="E61" s="141">
        <v>39.761029999999998</v>
      </c>
      <c r="F61" s="4" t="s">
        <v>91</v>
      </c>
      <c r="G61" s="143" t="s">
        <v>619</v>
      </c>
      <c r="H61" s="4" t="str">
        <f>VLOOKUP(F61,'All sensors Installed'!$A$2:$K$1083,6,)</f>
        <v>ST04</v>
      </c>
      <c r="I61" s="4" t="str">
        <f>VLOOKUP(F61,'All sensors Installed'!$A$2:$K$1083,11,)</f>
        <v>AC1F09FFFE04E4C1</v>
      </c>
      <c r="J61" s="4" t="s">
        <v>656</v>
      </c>
      <c r="K61" s="4" t="s">
        <v>638</v>
      </c>
      <c r="L61" s="4" t="str">
        <f>VLOOKUP($K61,'Property names'!$A$1:$D$99,2,FALSE)</f>
        <v>The measure of the hotness or coldness of the air.</v>
      </c>
      <c r="M61" s="4" t="str">
        <f>VLOOKUP($K61,'Property names'!$A$1:$D$99,3,FALSE)</f>
        <v>Degrees Celsius</v>
      </c>
      <c r="N61" s="4" t="str">
        <f>VLOOKUP($K61,'Property names'!$A$1:$D$99,4,FALSE)</f>
        <v>ºC</v>
      </c>
      <c r="O61" s="4" t="str">
        <f t="shared" si="4"/>
        <v>Pinos_I003_ambient_temperature</v>
      </c>
      <c r="P61" s="4" t="str">
        <f t="shared" si="5"/>
        <v>The datastream containing mesures of field Pinos by sensor I003 which measures Air Temperature.</v>
      </c>
    </row>
    <row r="62" spans="1:16" ht="15">
      <c r="A62" s="4" t="s">
        <v>560</v>
      </c>
      <c r="B62" s="4" t="s">
        <v>668</v>
      </c>
      <c r="C62" s="4" t="s">
        <v>667</v>
      </c>
      <c r="D62" s="141">
        <v>8.5806939999999994</v>
      </c>
      <c r="E62" s="141">
        <v>39.761029999999998</v>
      </c>
      <c r="F62" s="4" t="s">
        <v>91</v>
      </c>
      <c r="G62" s="143" t="s">
        <v>619</v>
      </c>
      <c r="H62" s="4" t="str">
        <f>VLOOKUP(F62,'All sensors Installed'!$A$2:$K$1083,6,)</f>
        <v>ST04</v>
      </c>
      <c r="I62" s="4" t="str">
        <f>VLOOKUP(F62,'All sensors Installed'!$A$2:$K$1083,11,)</f>
        <v>AC1F09FFFE04E4C1</v>
      </c>
      <c r="J62" s="4" t="s">
        <v>657</v>
      </c>
      <c r="K62" s="4" t="s">
        <v>646</v>
      </c>
      <c r="L62" s="4" t="str">
        <f>VLOOKUP($K62,'Property names'!$A$1:$D$99,2,FALSE)</f>
        <v>The measure of temperature of the soil.</v>
      </c>
      <c r="M62" s="4" t="str">
        <f>VLOOKUP($K62,'Property names'!$A$1:$D$99,3,FALSE)</f>
        <v>Degrees Celsius</v>
      </c>
      <c r="N62" s="4" t="str">
        <f>VLOOKUP($K62,'Property names'!$A$1:$D$99,4,FALSE)</f>
        <v>ºC</v>
      </c>
      <c r="O62" s="4" t="str">
        <f t="shared" si="4"/>
        <v>Pinos_I003_soil_temperature_1</v>
      </c>
      <c r="P62" s="4" t="str">
        <f t="shared" si="5"/>
        <v>The datastream containing mesures of field Pinos by sensor I003 which measures Soil Temperature.</v>
      </c>
    </row>
    <row r="63" spans="1:16" ht="15">
      <c r="A63" s="4" t="s">
        <v>560</v>
      </c>
      <c r="B63" s="4" t="s">
        <v>668</v>
      </c>
      <c r="C63" s="4" t="s">
        <v>667</v>
      </c>
      <c r="D63" s="141">
        <v>8.5806939999999994</v>
      </c>
      <c r="E63" s="141">
        <v>39.761029999999998</v>
      </c>
      <c r="F63" s="4" t="s">
        <v>91</v>
      </c>
      <c r="G63" s="143" t="s">
        <v>619</v>
      </c>
      <c r="H63" s="4" t="str">
        <f>VLOOKUP(F63,'All sensors Installed'!$A$2:$K$1083,6,)</f>
        <v>ST04</v>
      </c>
      <c r="I63" s="4" t="str">
        <f>VLOOKUP(F63,'All sensors Installed'!$A$2:$K$1083,11,)</f>
        <v>AC1F09FFFE04E4C1</v>
      </c>
      <c r="J63" s="4" t="s">
        <v>658</v>
      </c>
      <c r="K63" s="4" t="s">
        <v>646</v>
      </c>
      <c r="L63" s="4" t="str">
        <f>VLOOKUP($K63,'Property names'!$A$1:$D$99,2,FALSE)</f>
        <v>The measure of temperature of the soil.</v>
      </c>
      <c r="M63" s="4" t="str">
        <f>VLOOKUP($K63,'Property names'!$A$1:$D$99,3,FALSE)</f>
        <v>Degrees Celsius</v>
      </c>
      <c r="N63" s="4" t="str">
        <f>VLOOKUP($K63,'Property names'!$A$1:$D$99,4,FALSE)</f>
        <v>ºC</v>
      </c>
      <c r="O63" s="4" t="str">
        <f t="shared" si="4"/>
        <v>Pinos_I003_soil_temperature_2</v>
      </c>
      <c r="P63" s="4" t="str">
        <f t="shared" si="5"/>
        <v>The datastream containing mesures of field Pinos by sensor I003 which measures Soil Temperature.</v>
      </c>
    </row>
    <row r="64" spans="1:16" ht="15">
      <c r="A64" s="4" t="s">
        <v>560</v>
      </c>
      <c r="B64" s="4" t="s">
        <v>668</v>
      </c>
      <c r="C64" s="4" t="s">
        <v>667</v>
      </c>
      <c r="D64" s="141">
        <v>8.5806939999999994</v>
      </c>
      <c r="E64" s="141">
        <v>39.761029999999998</v>
      </c>
      <c r="F64" s="4" t="s">
        <v>91</v>
      </c>
      <c r="G64" s="143" t="s">
        <v>619</v>
      </c>
      <c r="H64" s="4" t="str">
        <f>VLOOKUP(F64,'All sensors Installed'!$A$2:$K$1083,6,)</f>
        <v>ST04</v>
      </c>
      <c r="I64" s="4" t="str">
        <f>VLOOKUP(F64,'All sensors Installed'!$A$2:$K$1083,11,)</f>
        <v>AC1F09FFFE04E4C1</v>
      </c>
      <c r="J64" s="4" t="s">
        <v>659</v>
      </c>
      <c r="K64" s="4" t="s">
        <v>646</v>
      </c>
      <c r="L64" s="4" t="str">
        <f>VLOOKUP($K64,'Property names'!$A$1:$D$99,2,FALSE)</f>
        <v>The measure of temperature of the soil.</v>
      </c>
      <c r="M64" s="4" t="str">
        <f>VLOOKUP($K64,'Property names'!$A$1:$D$99,3,FALSE)</f>
        <v>Degrees Celsius</v>
      </c>
      <c r="N64" s="4" t="str">
        <f>VLOOKUP($K64,'Property names'!$A$1:$D$99,4,FALSE)</f>
        <v>ºC</v>
      </c>
      <c r="O64" s="4" t="str">
        <f t="shared" si="4"/>
        <v>Pinos_I003_soil_temperature_3</v>
      </c>
      <c r="P64" s="4" t="str">
        <f t="shared" si="5"/>
        <v>The datastream containing mesures of field Pinos by sensor I003 which measures Soil Temperature.</v>
      </c>
    </row>
    <row r="65" spans="1:16" ht="15">
      <c r="A65" s="4" t="s">
        <v>560</v>
      </c>
      <c r="B65" s="4" t="s">
        <v>668</v>
      </c>
      <c r="C65" s="4" t="s">
        <v>667</v>
      </c>
      <c r="D65" s="141">
        <v>8.5806939999999994</v>
      </c>
      <c r="E65" s="141">
        <v>39.761029999999998</v>
      </c>
      <c r="F65" s="4" t="s">
        <v>91</v>
      </c>
      <c r="G65" s="143" t="s">
        <v>619</v>
      </c>
      <c r="H65" s="4" t="str">
        <f>VLOOKUP(F65,'All sensors Installed'!$A$2:$K$1083,6,)</f>
        <v>ST04</v>
      </c>
      <c r="I65" s="4" t="str">
        <f>VLOOKUP(F65,'All sensors Installed'!$A$2:$K$1083,11,)</f>
        <v>AC1F09FFFE04E4C1</v>
      </c>
      <c r="J65" s="4" t="s">
        <v>660</v>
      </c>
      <c r="K65" s="4" t="s">
        <v>646</v>
      </c>
      <c r="L65" s="4" t="str">
        <f>VLOOKUP($K65,'Property names'!$A$1:$D$99,2,FALSE)</f>
        <v>The measure of temperature of the soil.</v>
      </c>
      <c r="M65" s="4" t="str">
        <f>VLOOKUP($K65,'Property names'!$A$1:$D$99,3,FALSE)</f>
        <v>Degrees Celsius</v>
      </c>
      <c r="N65" s="4" t="str">
        <f>VLOOKUP($K65,'Property names'!$A$1:$D$99,4,FALSE)</f>
        <v>ºC</v>
      </c>
      <c r="O65" s="4" t="str">
        <f t="shared" si="4"/>
        <v>Pinos_I003_soil_temperature_4</v>
      </c>
      <c r="P65" s="4" t="str">
        <f t="shared" si="5"/>
        <v>The datastream containing mesures of field Pinos by sensor I003 which measures Soil Temperature.</v>
      </c>
    </row>
    <row r="66" spans="1:16" ht="15">
      <c r="A66" s="4" t="s">
        <v>560</v>
      </c>
      <c r="B66" s="4" t="s">
        <v>668</v>
      </c>
      <c r="C66" s="4" t="s">
        <v>667</v>
      </c>
      <c r="D66" s="141">
        <v>8.5806939999999994</v>
      </c>
      <c r="E66" s="141">
        <v>39.761029999999998</v>
      </c>
      <c r="F66" s="4" t="s">
        <v>91</v>
      </c>
      <c r="G66" s="143" t="s">
        <v>619</v>
      </c>
      <c r="H66" s="4" t="str">
        <f>VLOOKUP(F66,'All sensors Installed'!$A$2:$K$1083,6,)</f>
        <v>ST04</v>
      </c>
      <c r="I66" s="4" t="str">
        <f>VLOOKUP(F66,'All sensors Installed'!$A$2:$K$1083,11,)</f>
        <v>AC1F09FFFE04E4C1</v>
      </c>
      <c r="J66" s="4" t="s">
        <v>661</v>
      </c>
      <c r="K66" s="4" t="s">
        <v>646</v>
      </c>
      <c r="L66" s="4" t="str">
        <f>VLOOKUP($K66,'Property names'!$A$1:$D$99,2,FALSE)</f>
        <v>The measure of temperature of the soil.</v>
      </c>
      <c r="M66" s="4" t="str">
        <f>VLOOKUP($K66,'Property names'!$A$1:$D$99,3,FALSE)</f>
        <v>Degrees Celsius</v>
      </c>
      <c r="N66" s="4" t="str">
        <f>VLOOKUP($K66,'Property names'!$A$1:$D$99,4,FALSE)</f>
        <v>ºC</v>
      </c>
      <c r="O66" s="4" t="str">
        <f t="shared" si="4"/>
        <v>Pinos_I003_soil_temperature_5</v>
      </c>
      <c r="P66" s="4" t="str">
        <f t="shared" si="5"/>
        <v>The datastream containing mesures of field Pinos by sensor I003 which measures Soil Temperature.</v>
      </c>
    </row>
    <row r="67" spans="1:16" ht="15">
      <c r="A67" s="4" t="s">
        <v>560</v>
      </c>
      <c r="B67" s="4" t="s">
        <v>668</v>
      </c>
      <c r="C67" s="4" t="s">
        <v>667</v>
      </c>
      <c r="D67" s="141">
        <v>8.5806939999999994</v>
      </c>
      <c r="E67" s="141">
        <v>39.761029999999998</v>
      </c>
      <c r="F67" s="4" t="s">
        <v>91</v>
      </c>
      <c r="G67" s="143" t="s">
        <v>619</v>
      </c>
      <c r="H67" s="4" t="str">
        <f>VLOOKUP(F67,'All sensors Installed'!$A$2:$K$1083,6,)</f>
        <v>ST04</v>
      </c>
      <c r="I67" s="4" t="str">
        <f>VLOOKUP(F67,'All sensors Installed'!$A$2:$K$1083,11,)</f>
        <v>AC1F09FFFE04E4C1</v>
      </c>
      <c r="J67" s="4" t="s">
        <v>662</v>
      </c>
      <c r="K67" s="4" t="s">
        <v>646</v>
      </c>
      <c r="L67" s="4" t="str">
        <f>VLOOKUP($K67,'Property names'!$A$1:$D$99,2,FALSE)</f>
        <v>The measure of temperature of the soil.</v>
      </c>
      <c r="M67" s="4" t="str">
        <f>VLOOKUP($K67,'Property names'!$A$1:$D$99,3,FALSE)</f>
        <v>Degrees Celsius</v>
      </c>
      <c r="N67" s="4" t="str">
        <f>VLOOKUP($K67,'Property names'!$A$1:$D$99,4,FALSE)</f>
        <v>ºC</v>
      </c>
      <c r="O67" s="4" t="str">
        <f t="shared" si="4"/>
        <v>Pinos_I003_soil_temperature_6</v>
      </c>
      <c r="P67" s="4" t="str">
        <f t="shared" si="5"/>
        <v>The datastream containing mesures of field Pinos by sensor I003 which measures Soil Temperature.</v>
      </c>
    </row>
    <row r="68" spans="1:16" ht="15">
      <c r="A68" s="4" t="s">
        <v>560</v>
      </c>
      <c r="B68" s="4" t="s">
        <v>668</v>
      </c>
      <c r="C68" s="4" t="s">
        <v>667</v>
      </c>
      <c r="D68" s="141">
        <v>8.5815000000000001</v>
      </c>
      <c r="E68" s="141">
        <v>39.761389999999999</v>
      </c>
      <c r="F68" s="4" t="s">
        <v>93</v>
      </c>
      <c r="G68" s="143" t="s">
        <v>619</v>
      </c>
      <c r="H68" s="4" t="str">
        <f>VLOOKUP(F68,'All sensors Installed'!$A$2:$K$1083,6,)</f>
        <v>ST04</v>
      </c>
      <c r="I68" s="4" t="str">
        <f>VLOOKUP(F68,'All sensors Installed'!$A$2:$K$1083,11,)</f>
        <v>AC1F09FFFE04E4B1</v>
      </c>
      <c r="J68" s="4" t="s">
        <v>650</v>
      </c>
      <c r="K68" s="4" t="s">
        <v>644</v>
      </c>
      <c r="L68" s="4" t="str">
        <f>VLOOKUP($K68,'Property names'!$A$1:$D$99,2,FALSE)</f>
        <v>The amount of moisture present in the soil, often expressed as a percentage of the maximum amount the soil could hold at a given temperature.</v>
      </c>
      <c r="M68" s="4" t="str">
        <f>VLOOKUP($K68,'Property names'!$A$1:$D$99,3,FALSE)</f>
        <v>Percentage</v>
      </c>
      <c r="N68" s="4" t="str">
        <f>VLOOKUP($K68,'Property names'!$A$1:$D$99,4,FALSE)</f>
        <v>%</v>
      </c>
      <c r="O68" s="4" t="str">
        <f t="shared" si="4"/>
        <v>Pinos_I004_soil_moisture_1</v>
      </c>
      <c r="P68" s="4" t="str">
        <f t="shared" si="5"/>
        <v>The datastream containing mesures of field Pinos by sensor I004 which measures Soil Moisture.</v>
      </c>
    </row>
    <row r="69" spans="1:16" ht="15">
      <c r="A69" s="4" t="s">
        <v>560</v>
      </c>
      <c r="B69" s="4" t="s">
        <v>668</v>
      </c>
      <c r="C69" s="4" t="s">
        <v>667</v>
      </c>
      <c r="D69" s="141">
        <v>8.5815000000000001</v>
      </c>
      <c r="E69" s="141">
        <v>39.761389999999999</v>
      </c>
      <c r="F69" s="4" t="s">
        <v>93</v>
      </c>
      <c r="G69" s="143" t="s">
        <v>619</v>
      </c>
      <c r="H69" s="4" t="str">
        <f>VLOOKUP(F69,'All sensors Installed'!$A$2:$K$1083,6,)</f>
        <v>ST04</v>
      </c>
      <c r="I69" s="4" t="str">
        <f>VLOOKUP(F69,'All sensors Installed'!$A$2:$K$1083,11,)</f>
        <v>AC1F09FFFE04E4B1</v>
      </c>
      <c r="J69" s="4" t="s">
        <v>651</v>
      </c>
      <c r="K69" s="4" t="s">
        <v>644</v>
      </c>
      <c r="L69" s="4" t="str">
        <f>VLOOKUP($K69,'Property names'!$A$1:$D$99,2,FALSE)</f>
        <v>The amount of moisture present in the soil, often expressed as a percentage of the maximum amount the soil could hold at a given temperature.</v>
      </c>
      <c r="M69" s="4" t="str">
        <f>VLOOKUP($K69,'Property names'!$A$1:$D$99,3,FALSE)</f>
        <v>Percentage</v>
      </c>
      <c r="N69" s="4" t="str">
        <f>VLOOKUP($K69,'Property names'!$A$1:$D$99,4,FALSE)</f>
        <v>%</v>
      </c>
      <c r="O69" s="4" t="str">
        <f t="shared" si="4"/>
        <v>Pinos_I004_soil_moisture_2</v>
      </c>
      <c r="P69" s="4" t="str">
        <f t="shared" si="5"/>
        <v>The datastream containing mesures of field Pinos by sensor I004 which measures Soil Moisture.</v>
      </c>
    </row>
    <row r="70" spans="1:16" ht="15">
      <c r="A70" s="4" t="s">
        <v>560</v>
      </c>
      <c r="B70" s="4" t="s">
        <v>668</v>
      </c>
      <c r="C70" s="4" t="s">
        <v>667</v>
      </c>
      <c r="D70" s="141">
        <v>8.5815000000000001</v>
      </c>
      <c r="E70" s="141">
        <v>39.761389999999999</v>
      </c>
      <c r="F70" s="4" t="s">
        <v>93</v>
      </c>
      <c r="G70" s="143" t="s">
        <v>619</v>
      </c>
      <c r="H70" s="4" t="str">
        <f>VLOOKUP(F70,'All sensors Installed'!$A$2:$K$1083,6,)</f>
        <v>ST04</v>
      </c>
      <c r="I70" s="4" t="str">
        <f>VLOOKUP(F70,'All sensors Installed'!$A$2:$K$1083,11,)</f>
        <v>AC1F09FFFE04E4B1</v>
      </c>
      <c r="J70" s="4" t="s">
        <v>652</v>
      </c>
      <c r="K70" s="4" t="s">
        <v>644</v>
      </c>
      <c r="L70" s="4" t="str">
        <f>VLOOKUP($K70,'Property names'!$A$1:$D$99,2,FALSE)</f>
        <v>The amount of moisture present in the soil, often expressed as a percentage of the maximum amount the soil could hold at a given temperature.</v>
      </c>
      <c r="M70" s="4" t="str">
        <f>VLOOKUP($K70,'Property names'!$A$1:$D$99,3,FALSE)</f>
        <v>Percentage</v>
      </c>
      <c r="N70" s="4" t="str">
        <f>VLOOKUP($K70,'Property names'!$A$1:$D$99,4,FALSE)</f>
        <v>%</v>
      </c>
      <c r="O70" s="4" t="str">
        <f t="shared" si="4"/>
        <v>Pinos_I004_soil_moisture_3</v>
      </c>
      <c r="P70" s="4" t="str">
        <f t="shared" si="5"/>
        <v>The datastream containing mesures of field Pinos by sensor I004 which measures Soil Moisture.</v>
      </c>
    </row>
    <row r="71" spans="1:16" ht="15">
      <c r="A71" s="4" t="s">
        <v>560</v>
      </c>
      <c r="B71" s="4" t="s">
        <v>668</v>
      </c>
      <c r="C71" s="4" t="s">
        <v>667</v>
      </c>
      <c r="D71" s="141">
        <v>8.5815000000000001</v>
      </c>
      <c r="E71" s="141">
        <v>39.761389999999999</v>
      </c>
      <c r="F71" s="4" t="s">
        <v>93</v>
      </c>
      <c r="G71" s="143" t="s">
        <v>619</v>
      </c>
      <c r="H71" s="4" t="str">
        <f>VLOOKUP(F71,'All sensors Installed'!$A$2:$K$1083,6,)</f>
        <v>ST04</v>
      </c>
      <c r="I71" s="4" t="str">
        <f>VLOOKUP(F71,'All sensors Installed'!$A$2:$K$1083,11,)</f>
        <v>AC1F09FFFE04E4B1</v>
      </c>
      <c r="J71" s="4" t="s">
        <v>653</v>
      </c>
      <c r="K71" s="4" t="s">
        <v>644</v>
      </c>
      <c r="L71" s="4" t="str">
        <f>VLOOKUP($K71,'Property names'!$A$1:$D$99,2,FALSE)</f>
        <v>The amount of moisture present in the soil, often expressed as a percentage of the maximum amount the soil could hold at a given temperature.</v>
      </c>
      <c r="M71" s="4" t="str">
        <f>VLOOKUP($K71,'Property names'!$A$1:$D$99,3,FALSE)</f>
        <v>Percentage</v>
      </c>
      <c r="N71" s="4" t="str">
        <f>VLOOKUP($K71,'Property names'!$A$1:$D$99,4,FALSE)</f>
        <v>%</v>
      </c>
      <c r="O71" s="4" t="str">
        <f t="shared" si="4"/>
        <v>Pinos_I004_soil_moisture_4</v>
      </c>
      <c r="P71" s="4" t="str">
        <f t="shared" si="5"/>
        <v>The datastream containing mesures of field Pinos by sensor I004 which measures Soil Moisture.</v>
      </c>
    </row>
    <row r="72" spans="1:16" ht="15">
      <c r="A72" s="4" t="s">
        <v>560</v>
      </c>
      <c r="B72" s="4" t="s">
        <v>668</v>
      </c>
      <c r="C72" s="4" t="s">
        <v>667</v>
      </c>
      <c r="D72" s="141">
        <v>8.5815000000000001</v>
      </c>
      <c r="E72" s="141">
        <v>39.761389999999999</v>
      </c>
      <c r="F72" s="4" t="s">
        <v>93</v>
      </c>
      <c r="G72" s="143" t="s">
        <v>619</v>
      </c>
      <c r="H72" s="4" t="str">
        <f>VLOOKUP(F72,'All sensors Installed'!$A$2:$K$1083,6,)</f>
        <v>ST04</v>
      </c>
      <c r="I72" s="4" t="str">
        <f>VLOOKUP(F72,'All sensors Installed'!$A$2:$K$1083,11,)</f>
        <v>AC1F09FFFE04E4B1</v>
      </c>
      <c r="J72" s="4" t="s">
        <v>654</v>
      </c>
      <c r="K72" s="4" t="s">
        <v>644</v>
      </c>
      <c r="L72" s="4" t="str">
        <f>VLOOKUP($K72,'Property names'!$A$1:$D$99,2,FALSE)</f>
        <v>The amount of moisture present in the soil, often expressed as a percentage of the maximum amount the soil could hold at a given temperature.</v>
      </c>
      <c r="M72" s="4" t="str">
        <f>VLOOKUP($K72,'Property names'!$A$1:$D$99,3,FALSE)</f>
        <v>Percentage</v>
      </c>
      <c r="N72" s="4" t="str">
        <f>VLOOKUP($K72,'Property names'!$A$1:$D$99,4,FALSE)</f>
        <v>%</v>
      </c>
      <c r="O72" s="4" t="str">
        <f t="shared" si="4"/>
        <v>Pinos_I004_soil_moisture_5</v>
      </c>
      <c r="P72" s="4" t="str">
        <f t="shared" si="5"/>
        <v>The datastream containing mesures of field Pinos by sensor I004 which measures Soil Moisture.</v>
      </c>
    </row>
    <row r="73" spans="1:16" ht="15">
      <c r="A73" s="4" t="s">
        <v>560</v>
      </c>
      <c r="B73" s="4" t="s">
        <v>668</v>
      </c>
      <c r="C73" s="4" t="s">
        <v>667</v>
      </c>
      <c r="D73" s="141">
        <v>8.5815000000000001</v>
      </c>
      <c r="E73" s="141">
        <v>39.761389999999999</v>
      </c>
      <c r="F73" s="4" t="s">
        <v>93</v>
      </c>
      <c r="G73" s="143" t="s">
        <v>619</v>
      </c>
      <c r="H73" s="4" t="str">
        <f>VLOOKUP(F73,'All sensors Installed'!$A$2:$K$1083,6,)</f>
        <v>ST04</v>
      </c>
      <c r="I73" s="4" t="str">
        <f>VLOOKUP(F73,'All sensors Installed'!$A$2:$K$1083,11,)</f>
        <v>AC1F09FFFE04E4B1</v>
      </c>
      <c r="J73" s="4" t="s">
        <v>655</v>
      </c>
      <c r="K73" s="4" t="s">
        <v>644</v>
      </c>
      <c r="L73" s="4" t="str">
        <f>VLOOKUP($K73,'Property names'!$A$1:$D$99,2,FALSE)</f>
        <v>The amount of moisture present in the soil, often expressed as a percentage of the maximum amount the soil could hold at a given temperature.</v>
      </c>
      <c r="M73" s="4" t="str">
        <f>VLOOKUP($K73,'Property names'!$A$1:$D$99,3,FALSE)</f>
        <v>Percentage</v>
      </c>
      <c r="N73" s="4" t="str">
        <f>VLOOKUP($K73,'Property names'!$A$1:$D$99,4,FALSE)</f>
        <v>%</v>
      </c>
      <c r="O73" s="4" t="str">
        <f t="shared" si="4"/>
        <v>Pinos_I004_soil_moisture_6</v>
      </c>
      <c r="P73" s="4" t="str">
        <f t="shared" si="5"/>
        <v>The datastream containing mesures of field Pinos by sensor I004 which measures Soil Moisture.</v>
      </c>
    </row>
    <row r="74" spans="1:16" ht="15">
      <c r="A74" s="4" t="s">
        <v>560</v>
      </c>
      <c r="B74" s="4" t="s">
        <v>668</v>
      </c>
      <c r="C74" s="4" t="s">
        <v>667</v>
      </c>
      <c r="D74" s="141">
        <v>8.5815000000000001</v>
      </c>
      <c r="E74" s="141">
        <v>39.761389999999999</v>
      </c>
      <c r="F74" s="4" t="s">
        <v>93</v>
      </c>
      <c r="G74" s="143" t="s">
        <v>619</v>
      </c>
      <c r="H74" s="4" t="str">
        <f>VLOOKUP(F74,'All sensors Installed'!$A$2:$K$1083,6,)</f>
        <v>ST04</v>
      </c>
      <c r="I74" s="4" t="str">
        <f>VLOOKUP(F74,'All sensors Installed'!$A$2:$K$1083,11,)</f>
        <v>AC1F09FFFE04E4B1</v>
      </c>
      <c r="J74" s="4" t="s">
        <v>656</v>
      </c>
      <c r="K74" s="4" t="s">
        <v>638</v>
      </c>
      <c r="L74" s="4" t="str">
        <f>VLOOKUP($K74,'Property names'!$A$1:$D$99,2,FALSE)</f>
        <v>The measure of the hotness or coldness of the air.</v>
      </c>
      <c r="M74" s="4" t="str">
        <f>VLOOKUP($K74,'Property names'!$A$1:$D$99,3,FALSE)</f>
        <v>Degrees Celsius</v>
      </c>
      <c r="N74" s="4" t="str">
        <f>VLOOKUP($K74,'Property names'!$A$1:$D$99,4,FALSE)</f>
        <v>ºC</v>
      </c>
      <c r="O74" s="4" t="str">
        <f t="shared" si="4"/>
        <v>Pinos_I004_ambient_temperature</v>
      </c>
      <c r="P74" s="4" t="str">
        <f t="shared" si="5"/>
        <v>The datastream containing mesures of field Pinos by sensor I004 which measures Air Temperature.</v>
      </c>
    </row>
    <row r="75" spans="1:16" ht="15">
      <c r="A75" s="4" t="s">
        <v>560</v>
      </c>
      <c r="B75" s="4" t="s">
        <v>668</v>
      </c>
      <c r="C75" s="4" t="s">
        <v>667</v>
      </c>
      <c r="D75" s="141">
        <v>8.5815000000000001</v>
      </c>
      <c r="E75" s="141">
        <v>39.761389999999999</v>
      </c>
      <c r="F75" s="4" t="s">
        <v>93</v>
      </c>
      <c r="G75" s="143" t="s">
        <v>619</v>
      </c>
      <c r="H75" s="4" t="str">
        <f>VLOOKUP(F75,'All sensors Installed'!$A$2:$K$1083,6,)</f>
        <v>ST04</v>
      </c>
      <c r="I75" s="4" t="str">
        <f>VLOOKUP(F75,'All sensors Installed'!$A$2:$K$1083,11,)</f>
        <v>AC1F09FFFE04E4B1</v>
      </c>
      <c r="J75" s="4" t="s">
        <v>657</v>
      </c>
      <c r="K75" s="4" t="s">
        <v>646</v>
      </c>
      <c r="L75" s="4" t="str">
        <f>VLOOKUP($K75,'Property names'!$A$1:$D$99,2,FALSE)</f>
        <v>The measure of temperature of the soil.</v>
      </c>
      <c r="M75" s="4" t="str">
        <f>VLOOKUP($K75,'Property names'!$A$1:$D$99,3,FALSE)</f>
        <v>Degrees Celsius</v>
      </c>
      <c r="N75" s="4" t="str">
        <f>VLOOKUP($K75,'Property names'!$A$1:$D$99,4,FALSE)</f>
        <v>ºC</v>
      </c>
      <c r="O75" s="4" t="str">
        <f t="shared" si="4"/>
        <v>Pinos_I004_soil_temperature_1</v>
      </c>
      <c r="P75" s="4" t="str">
        <f t="shared" si="5"/>
        <v>The datastream containing mesures of field Pinos by sensor I004 which measures Soil Temperature.</v>
      </c>
    </row>
    <row r="76" spans="1:16" ht="15">
      <c r="A76" s="4" t="s">
        <v>560</v>
      </c>
      <c r="B76" s="4" t="s">
        <v>668</v>
      </c>
      <c r="C76" s="4" t="s">
        <v>667</v>
      </c>
      <c r="D76" s="141">
        <v>8.5815000000000001</v>
      </c>
      <c r="E76" s="141">
        <v>39.761389999999999</v>
      </c>
      <c r="F76" s="4" t="s">
        <v>93</v>
      </c>
      <c r="G76" s="143" t="s">
        <v>619</v>
      </c>
      <c r="H76" s="4" t="str">
        <f>VLOOKUP(F76,'All sensors Installed'!$A$2:$K$1083,6,)</f>
        <v>ST04</v>
      </c>
      <c r="I76" s="4" t="str">
        <f>VLOOKUP(F76,'All sensors Installed'!$A$2:$K$1083,11,)</f>
        <v>AC1F09FFFE04E4B1</v>
      </c>
      <c r="J76" s="4" t="s">
        <v>658</v>
      </c>
      <c r="K76" s="4" t="s">
        <v>646</v>
      </c>
      <c r="L76" s="4" t="str">
        <f>VLOOKUP($K76,'Property names'!$A$1:$D$99,2,FALSE)</f>
        <v>The measure of temperature of the soil.</v>
      </c>
      <c r="M76" s="4" t="str">
        <f>VLOOKUP($K76,'Property names'!$A$1:$D$99,3,FALSE)</f>
        <v>Degrees Celsius</v>
      </c>
      <c r="N76" s="4" t="str">
        <f>VLOOKUP($K76,'Property names'!$A$1:$D$99,4,FALSE)</f>
        <v>ºC</v>
      </c>
      <c r="O76" s="4" t="str">
        <f t="shared" si="4"/>
        <v>Pinos_I004_soil_temperature_2</v>
      </c>
      <c r="P76" s="4" t="str">
        <f t="shared" si="5"/>
        <v>The datastream containing mesures of field Pinos by sensor I004 which measures Soil Temperature.</v>
      </c>
    </row>
    <row r="77" spans="1:16" ht="15">
      <c r="A77" s="4" t="s">
        <v>560</v>
      </c>
      <c r="B77" s="4" t="s">
        <v>668</v>
      </c>
      <c r="C77" s="4" t="s">
        <v>667</v>
      </c>
      <c r="D77" s="141">
        <v>8.5815000000000001</v>
      </c>
      <c r="E77" s="141">
        <v>39.761389999999999</v>
      </c>
      <c r="F77" s="4" t="s">
        <v>93</v>
      </c>
      <c r="G77" s="143" t="s">
        <v>619</v>
      </c>
      <c r="H77" s="4" t="str">
        <f>VLOOKUP(F77,'All sensors Installed'!$A$2:$K$1083,6,)</f>
        <v>ST04</v>
      </c>
      <c r="I77" s="4" t="str">
        <f>VLOOKUP(F77,'All sensors Installed'!$A$2:$K$1083,11,)</f>
        <v>AC1F09FFFE04E4B1</v>
      </c>
      <c r="J77" s="4" t="s">
        <v>659</v>
      </c>
      <c r="K77" s="4" t="s">
        <v>646</v>
      </c>
      <c r="L77" s="4" t="str">
        <f>VLOOKUP($K77,'Property names'!$A$1:$D$99,2,FALSE)</f>
        <v>The measure of temperature of the soil.</v>
      </c>
      <c r="M77" s="4" t="str">
        <f>VLOOKUP($K77,'Property names'!$A$1:$D$99,3,FALSE)</f>
        <v>Degrees Celsius</v>
      </c>
      <c r="N77" s="4" t="str">
        <f>VLOOKUP($K77,'Property names'!$A$1:$D$99,4,FALSE)</f>
        <v>ºC</v>
      </c>
      <c r="O77" s="4" t="str">
        <f t="shared" si="4"/>
        <v>Pinos_I004_soil_temperature_3</v>
      </c>
      <c r="P77" s="4" t="str">
        <f t="shared" si="5"/>
        <v>The datastream containing mesures of field Pinos by sensor I004 which measures Soil Temperature.</v>
      </c>
    </row>
    <row r="78" spans="1:16" ht="15">
      <c r="A78" s="4" t="s">
        <v>560</v>
      </c>
      <c r="B78" s="4" t="s">
        <v>668</v>
      </c>
      <c r="C78" s="4" t="s">
        <v>667</v>
      </c>
      <c r="D78" s="141">
        <v>8.5815000000000001</v>
      </c>
      <c r="E78" s="141">
        <v>39.761389999999999</v>
      </c>
      <c r="F78" s="4" t="s">
        <v>93</v>
      </c>
      <c r="G78" s="143" t="s">
        <v>619</v>
      </c>
      <c r="H78" s="4" t="str">
        <f>VLOOKUP(F78,'All sensors Installed'!$A$2:$K$1083,6,)</f>
        <v>ST04</v>
      </c>
      <c r="I78" s="4" t="str">
        <f>VLOOKUP(F78,'All sensors Installed'!$A$2:$K$1083,11,)</f>
        <v>AC1F09FFFE04E4B1</v>
      </c>
      <c r="J78" s="4" t="s">
        <v>660</v>
      </c>
      <c r="K78" s="4" t="s">
        <v>646</v>
      </c>
      <c r="L78" s="4" t="str">
        <f>VLOOKUP($K78,'Property names'!$A$1:$D$99,2,FALSE)</f>
        <v>The measure of temperature of the soil.</v>
      </c>
      <c r="M78" s="4" t="str">
        <f>VLOOKUP($K78,'Property names'!$A$1:$D$99,3,FALSE)</f>
        <v>Degrees Celsius</v>
      </c>
      <c r="N78" s="4" t="str">
        <f>VLOOKUP($K78,'Property names'!$A$1:$D$99,4,FALSE)</f>
        <v>ºC</v>
      </c>
      <c r="O78" s="4" t="str">
        <f t="shared" si="4"/>
        <v>Pinos_I004_soil_temperature_4</v>
      </c>
      <c r="P78" s="4" t="str">
        <f t="shared" si="5"/>
        <v>The datastream containing mesures of field Pinos by sensor I004 which measures Soil Temperature.</v>
      </c>
    </row>
    <row r="79" spans="1:16" ht="15">
      <c r="A79" s="4" t="s">
        <v>560</v>
      </c>
      <c r="B79" s="4" t="s">
        <v>668</v>
      </c>
      <c r="C79" s="4" t="s">
        <v>667</v>
      </c>
      <c r="D79" s="141">
        <v>8.5815000000000001</v>
      </c>
      <c r="E79" s="141">
        <v>39.761389999999999</v>
      </c>
      <c r="F79" s="4" t="s">
        <v>93</v>
      </c>
      <c r="G79" s="143" t="s">
        <v>619</v>
      </c>
      <c r="H79" s="4" t="str">
        <f>VLOOKUP(F79,'All sensors Installed'!$A$2:$K$1083,6,)</f>
        <v>ST04</v>
      </c>
      <c r="I79" s="4" t="str">
        <f>VLOOKUP(F79,'All sensors Installed'!$A$2:$K$1083,11,)</f>
        <v>AC1F09FFFE04E4B1</v>
      </c>
      <c r="J79" s="4" t="s">
        <v>661</v>
      </c>
      <c r="K79" s="4" t="s">
        <v>646</v>
      </c>
      <c r="L79" s="4" t="str">
        <f>VLOOKUP($K79,'Property names'!$A$1:$D$99,2,FALSE)</f>
        <v>The measure of temperature of the soil.</v>
      </c>
      <c r="M79" s="4" t="str">
        <f>VLOOKUP($K79,'Property names'!$A$1:$D$99,3,FALSE)</f>
        <v>Degrees Celsius</v>
      </c>
      <c r="N79" s="4" t="str">
        <f>VLOOKUP($K79,'Property names'!$A$1:$D$99,4,FALSE)</f>
        <v>ºC</v>
      </c>
      <c r="O79" s="4" t="str">
        <f t="shared" si="4"/>
        <v>Pinos_I004_soil_temperature_5</v>
      </c>
      <c r="P79" s="4" t="str">
        <f t="shared" si="5"/>
        <v>The datastream containing mesures of field Pinos by sensor I004 which measures Soil Temperature.</v>
      </c>
    </row>
    <row r="80" spans="1:16" ht="15">
      <c r="A80" s="4" t="s">
        <v>560</v>
      </c>
      <c r="B80" s="4" t="s">
        <v>668</v>
      </c>
      <c r="C80" s="4" t="s">
        <v>667</v>
      </c>
      <c r="D80" s="141">
        <v>8.5815000000000001</v>
      </c>
      <c r="E80" s="141">
        <v>39.761389999999999</v>
      </c>
      <c r="F80" s="4" t="s">
        <v>93</v>
      </c>
      <c r="G80" s="143" t="s">
        <v>619</v>
      </c>
      <c r="H80" s="4" t="str">
        <f>VLOOKUP(F80,'All sensors Installed'!$A$2:$K$1083,6,)</f>
        <v>ST04</v>
      </c>
      <c r="I80" s="4" t="str">
        <f>VLOOKUP(F80,'All sensors Installed'!$A$2:$K$1083,11,)</f>
        <v>AC1F09FFFE04E4B1</v>
      </c>
      <c r="J80" s="4" t="s">
        <v>662</v>
      </c>
      <c r="K80" s="4" t="s">
        <v>646</v>
      </c>
      <c r="L80" s="4" t="str">
        <f>VLOOKUP($K80,'Property names'!$A$1:$D$99,2,FALSE)</f>
        <v>The measure of temperature of the soil.</v>
      </c>
      <c r="M80" s="4" t="str">
        <f>VLOOKUP($K80,'Property names'!$A$1:$D$99,3,FALSE)</f>
        <v>Degrees Celsius</v>
      </c>
      <c r="N80" s="4" t="str">
        <f>VLOOKUP($K80,'Property names'!$A$1:$D$99,4,FALSE)</f>
        <v>ºC</v>
      </c>
      <c r="O80" s="4" t="str">
        <f t="shared" si="4"/>
        <v>Pinos_I004_soil_temperature_6</v>
      </c>
      <c r="P80" s="4" t="str">
        <f t="shared" si="5"/>
        <v>The datastream containing mesures of field Pinos by sensor I004 which measures Soil Temperature.</v>
      </c>
    </row>
    <row r="81" spans="1:16" ht="15">
      <c r="A81" s="4" t="s">
        <v>560</v>
      </c>
      <c r="B81" s="4" t="s">
        <v>669</v>
      </c>
      <c r="C81" s="4" t="s">
        <v>667</v>
      </c>
      <c r="D81" s="141">
        <v>8.6972500000000004</v>
      </c>
      <c r="E81" s="141">
        <v>39.944890000000001</v>
      </c>
      <c r="F81" s="4" t="s">
        <v>95</v>
      </c>
      <c r="G81" s="143" t="s">
        <v>619</v>
      </c>
      <c r="H81" s="4" t="str">
        <f>VLOOKUP(F81,'All sensors Installed'!$A$2:$K$1083,6,)</f>
        <v>ST04</v>
      </c>
      <c r="I81" s="4" t="str">
        <f>VLOOKUP(F81,'All sensors Installed'!$A$2:$K$1083,11,)</f>
        <v>AC1F09FFFE04DB8D</v>
      </c>
      <c r="J81" s="4" t="s">
        <v>650</v>
      </c>
      <c r="K81" s="4" t="s">
        <v>644</v>
      </c>
      <c r="L81" s="4" t="str">
        <f>VLOOKUP($K81,'Property names'!$A$1:$D$99,2,FALSE)</f>
        <v>The amount of moisture present in the soil, often expressed as a percentage of the maximum amount the soil could hold at a given temperature.</v>
      </c>
      <c r="M81" s="4" t="str">
        <f>VLOOKUP($K81,'Property names'!$A$1:$D$99,3,FALSE)</f>
        <v>Percentage</v>
      </c>
      <c r="N81" s="4" t="str">
        <f>VLOOKUP($K81,'Property names'!$A$1:$D$99,4,FALSE)</f>
        <v>%</v>
      </c>
      <c r="O81" s="4" t="str">
        <f t="shared" si="4"/>
        <v>Centro_Aziendale_I005_soil_moisture_1</v>
      </c>
      <c r="P81" s="4" t="str">
        <f t="shared" si="5"/>
        <v>The datastream containing mesures of field Centro Aziendale by sensor I005 which measures Soil Moisture.</v>
      </c>
    </row>
    <row r="82" spans="1:16" ht="15">
      <c r="A82" s="4" t="s">
        <v>560</v>
      </c>
      <c r="B82" s="4" t="s">
        <v>669</v>
      </c>
      <c r="C82" s="4" t="s">
        <v>667</v>
      </c>
      <c r="D82" s="141">
        <v>8.6972500000000004</v>
      </c>
      <c r="E82" s="141">
        <v>39.944890000000001</v>
      </c>
      <c r="F82" s="4" t="s">
        <v>95</v>
      </c>
      <c r="G82" s="143" t="s">
        <v>619</v>
      </c>
      <c r="H82" s="4" t="str">
        <f>VLOOKUP(F82,'All sensors Installed'!$A$2:$K$1083,6,)</f>
        <v>ST04</v>
      </c>
      <c r="I82" s="4" t="str">
        <f>VLOOKUP(F82,'All sensors Installed'!$A$2:$K$1083,11,)</f>
        <v>AC1F09FFFE04DB8D</v>
      </c>
      <c r="J82" s="4" t="s">
        <v>651</v>
      </c>
      <c r="K82" s="4" t="s">
        <v>644</v>
      </c>
      <c r="L82" s="4" t="str">
        <f>VLOOKUP($K82,'Property names'!$A$1:$D$99,2,FALSE)</f>
        <v>The amount of moisture present in the soil, often expressed as a percentage of the maximum amount the soil could hold at a given temperature.</v>
      </c>
      <c r="M82" s="4" t="str">
        <f>VLOOKUP($K82,'Property names'!$A$1:$D$99,3,FALSE)</f>
        <v>Percentage</v>
      </c>
      <c r="N82" s="4" t="str">
        <f>VLOOKUP($K82,'Property names'!$A$1:$D$99,4,FALSE)</f>
        <v>%</v>
      </c>
      <c r="O82" s="4" t="str">
        <f t="shared" si="4"/>
        <v>Centro_Aziendale_I005_soil_moisture_2</v>
      </c>
      <c r="P82" s="4" t="str">
        <f t="shared" si="5"/>
        <v>The datastream containing mesures of field Centro Aziendale by sensor I005 which measures Soil Moisture.</v>
      </c>
    </row>
    <row r="83" spans="1:16" ht="15">
      <c r="A83" s="4" t="s">
        <v>560</v>
      </c>
      <c r="B83" s="4" t="s">
        <v>669</v>
      </c>
      <c r="C83" s="4" t="s">
        <v>667</v>
      </c>
      <c r="D83" s="141">
        <v>8.6972500000000004</v>
      </c>
      <c r="E83" s="141">
        <v>39.944890000000001</v>
      </c>
      <c r="F83" s="4" t="s">
        <v>95</v>
      </c>
      <c r="G83" s="143" t="s">
        <v>619</v>
      </c>
      <c r="H83" s="4" t="str">
        <f>VLOOKUP(F83,'All sensors Installed'!$A$2:$K$1083,6,)</f>
        <v>ST04</v>
      </c>
      <c r="I83" s="4" t="str">
        <f>VLOOKUP(F83,'All sensors Installed'!$A$2:$K$1083,11,)</f>
        <v>AC1F09FFFE04DB8D</v>
      </c>
      <c r="J83" s="4" t="s">
        <v>652</v>
      </c>
      <c r="K83" s="4" t="s">
        <v>644</v>
      </c>
      <c r="L83" s="4" t="str">
        <f>VLOOKUP($K83,'Property names'!$A$1:$D$99,2,FALSE)</f>
        <v>The amount of moisture present in the soil, often expressed as a percentage of the maximum amount the soil could hold at a given temperature.</v>
      </c>
      <c r="M83" s="4" t="str">
        <f>VLOOKUP($K83,'Property names'!$A$1:$D$99,3,FALSE)</f>
        <v>Percentage</v>
      </c>
      <c r="N83" s="4" t="str">
        <f>VLOOKUP($K83,'Property names'!$A$1:$D$99,4,FALSE)</f>
        <v>%</v>
      </c>
      <c r="O83" s="4" t="str">
        <f t="shared" si="4"/>
        <v>Centro_Aziendale_I005_soil_moisture_3</v>
      </c>
      <c r="P83" s="4" t="str">
        <f t="shared" si="5"/>
        <v>The datastream containing mesures of field Centro Aziendale by sensor I005 which measures Soil Moisture.</v>
      </c>
    </row>
    <row r="84" spans="1:16" ht="15">
      <c r="A84" s="4" t="s">
        <v>560</v>
      </c>
      <c r="B84" s="4" t="s">
        <v>669</v>
      </c>
      <c r="C84" s="4" t="s">
        <v>667</v>
      </c>
      <c r="D84" s="141">
        <v>8.6972500000000004</v>
      </c>
      <c r="E84" s="141">
        <v>39.944890000000001</v>
      </c>
      <c r="F84" s="4" t="s">
        <v>95</v>
      </c>
      <c r="G84" s="143" t="s">
        <v>619</v>
      </c>
      <c r="H84" s="4" t="str">
        <f>VLOOKUP(F84,'All sensors Installed'!$A$2:$K$1083,6,)</f>
        <v>ST04</v>
      </c>
      <c r="I84" s="4" t="str">
        <f>VLOOKUP(F84,'All sensors Installed'!$A$2:$K$1083,11,)</f>
        <v>AC1F09FFFE04DB8D</v>
      </c>
      <c r="J84" s="4" t="s">
        <v>653</v>
      </c>
      <c r="K84" s="4" t="s">
        <v>644</v>
      </c>
      <c r="L84" s="4" t="str">
        <f>VLOOKUP($K84,'Property names'!$A$1:$D$99,2,FALSE)</f>
        <v>The amount of moisture present in the soil, often expressed as a percentage of the maximum amount the soil could hold at a given temperature.</v>
      </c>
      <c r="M84" s="4" t="str">
        <f>VLOOKUP($K84,'Property names'!$A$1:$D$99,3,FALSE)</f>
        <v>Percentage</v>
      </c>
      <c r="N84" s="4" t="str">
        <f>VLOOKUP($K84,'Property names'!$A$1:$D$99,4,FALSE)</f>
        <v>%</v>
      </c>
      <c r="O84" s="4" t="str">
        <f t="shared" si="4"/>
        <v>Centro_Aziendale_I005_soil_moisture_4</v>
      </c>
      <c r="P84" s="4" t="str">
        <f t="shared" si="5"/>
        <v>The datastream containing mesures of field Centro Aziendale by sensor I005 which measures Soil Moisture.</v>
      </c>
    </row>
    <row r="85" spans="1:16" ht="15">
      <c r="A85" s="4" t="s">
        <v>560</v>
      </c>
      <c r="B85" s="4" t="s">
        <v>669</v>
      </c>
      <c r="C85" s="4" t="s">
        <v>667</v>
      </c>
      <c r="D85" s="141">
        <v>8.6972500000000004</v>
      </c>
      <c r="E85" s="141">
        <v>39.944890000000001</v>
      </c>
      <c r="F85" s="4" t="s">
        <v>95</v>
      </c>
      <c r="G85" s="143" t="s">
        <v>619</v>
      </c>
      <c r="H85" s="4" t="str">
        <f>VLOOKUP(F85,'All sensors Installed'!$A$2:$K$1083,6,)</f>
        <v>ST04</v>
      </c>
      <c r="I85" s="4" t="str">
        <f>VLOOKUP(F85,'All sensors Installed'!$A$2:$K$1083,11,)</f>
        <v>AC1F09FFFE04DB8D</v>
      </c>
      <c r="J85" s="4" t="s">
        <v>654</v>
      </c>
      <c r="K85" s="4" t="s">
        <v>644</v>
      </c>
      <c r="L85" s="4" t="str">
        <f>VLOOKUP($K85,'Property names'!$A$1:$D$99,2,FALSE)</f>
        <v>The amount of moisture present in the soil, often expressed as a percentage of the maximum amount the soil could hold at a given temperature.</v>
      </c>
      <c r="M85" s="4" t="str">
        <f>VLOOKUP($K85,'Property names'!$A$1:$D$99,3,FALSE)</f>
        <v>Percentage</v>
      </c>
      <c r="N85" s="4" t="str">
        <f>VLOOKUP($K85,'Property names'!$A$1:$D$99,4,FALSE)</f>
        <v>%</v>
      </c>
      <c r="O85" s="4" t="str">
        <f t="shared" si="4"/>
        <v>Centro_Aziendale_I005_soil_moisture_5</v>
      </c>
      <c r="P85" s="4" t="str">
        <f t="shared" si="5"/>
        <v>The datastream containing mesures of field Centro Aziendale by sensor I005 which measures Soil Moisture.</v>
      </c>
    </row>
    <row r="86" spans="1:16" ht="15">
      <c r="A86" s="4" t="s">
        <v>560</v>
      </c>
      <c r="B86" s="4" t="s">
        <v>669</v>
      </c>
      <c r="C86" s="4" t="s">
        <v>667</v>
      </c>
      <c r="D86" s="141">
        <v>8.6972500000000004</v>
      </c>
      <c r="E86" s="141">
        <v>39.944890000000001</v>
      </c>
      <c r="F86" s="4" t="s">
        <v>95</v>
      </c>
      <c r="G86" s="143" t="s">
        <v>619</v>
      </c>
      <c r="H86" s="4" t="str">
        <f>VLOOKUP(F86,'All sensors Installed'!$A$2:$K$1083,6,)</f>
        <v>ST04</v>
      </c>
      <c r="I86" s="4" t="str">
        <f>VLOOKUP(F86,'All sensors Installed'!$A$2:$K$1083,11,)</f>
        <v>AC1F09FFFE04DB8D</v>
      </c>
      <c r="J86" s="4" t="s">
        <v>655</v>
      </c>
      <c r="K86" s="4" t="s">
        <v>644</v>
      </c>
      <c r="L86" s="4" t="str">
        <f>VLOOKUP($K86,'Property names'!$A$1:$D$99,2,FALSE)</f>
        <v>The amount of moisture present in the soil, often expressed as a percentage of the maximum amount the soil could hold at a given temperature.</v>
      </c>
      <c r="M86" s="4" t="str">
        <f>VLOOKUP($K86,'Property names'!$A$1:$D$99,3,FALSE)</f>
        <v>Percentage</v>
      </c>
      <c r="N86" s="4" t="str">
        <f>VLOOKUP($K86,'Property names'!$A$1:$D$99,4,FALSE)</f>
        <v>%</v>
      </c>
      <c r="O86" s="4" t="str">
        <f t="shared" si="4"/>
        <v>Centro_Aziendale_I005_soil_moisture_6</v>
      </c>
      <c r="P86" s="4" t="str">
        <f t="shared" si="5"/>
        <v>The datastream containing mesures of field Centro Aziendale by sensor I005 which measures Soil Moisture.</v>
      </c>
    </row>
    <row r="87" spans="1:16" ht="15">
      <c r="A87" s="4" t="s">
        <v>560</v>
      </c>
      <c r="B87" s="4" t="s">
        <v>669</v>
      </c>
      <c r="C87" s="4" t="s">
        <v>667</v>
      </c>
      <c r="D87" s="141">
        <v>8.6972500000000004</v>
      </c>
      <c r="E87" s="141">
        <v>39.944890000000001</v>
      </c>
      <c r="F87" s="4" t="s">
        <v>95</v>
      </c>
      <c r="G87" s="143" t="s">
        <v>619</v>
      </c>
      <c r="H87" s="4" t="str">
        <f>VLOOKUP(F87,'All sensors Installed'!$A$2:$K$1083,6,)</f>
        <v>ST04</v>
      </c>
      <c r="I87" s="4" t="str">
        <f>VLOOKUP(F87,'All sensors Installed'!$A$2:$K$1083,11,)</f>
        <v>AC1F09FFFE04DB8D</v>
      </c>
      <c r="J87" s="4" t="s">
        <v>656</v>
      </c>
      <c r="K87" s="4" t="s">
        <v>638</v>
      </c>
      <c r="L87" s="4" t="str">
        <f>VLOOKUP($K87,'Property names'!$A$1:$D$99,2,FALSE)</f>
        <v>The measure of the hotness or coldness of the air.</v>
      </c>
      <c r="M87" s="4" t="str">
        <f>VLOOKUP($K87,'Property names'!$A$1:$D$99,3,FALSE)</f>
        <v>Degrees Celsius</v>
      </c>
      <c r="N87" s="4" t="str">
        <f>VLOOKUP($K87,'Property names'!$A$1:$D$99,4,FALSE)</f>
        <v>ºC</v>
      </c>
      <c r="O87" s="4" t="str">
        <f t="shared" si="4"/>
        <v>Centro_Aziendale_I005_ambient_temperature</v>
      </c>
      <c r="P87" s="4" t="str">
        <f t="shared" si="5"/>
        <v>The datastream containing mesures of field Centro Aziendale by sensor I005 which measures Air Temperature.</v>
      </c>
    </row>
    <row r="88" spans="1:16" ht="15">
      <c r="A88" s="4" t="s">
        <v>560</v>
      </c>
      <c r="B88" s="4" t="s">
        <v>669</v>
      </c>
      <c r="C88" s="4" t="s">
        <v>667</v>
      </c>
      <c r="D88" s="141">
        <v>8.6972500000000004</v>
      </c>
      <c r="E88" s="141">
        <v>39.944890000000001</v>
      </c>
      <c r="F88" s="4" t="s">
        <v>95</v>
      </c>
      <c r="G88" s="143" t="s">
        <v>619</v>
      </c>
      <c r="H88" s="4" t="str">
        <f>VLOOKUP(F88,'All sensors Installed'!$A$2:$K$1083,6,)</f>
        <v>ST04</v>
      </c>
      <c r="I88" s="4" t="str">
        <f>VLOOKUP(F88,'All sensors Installed'!$A$2:$K$1083,11,)</f>
        <v>AC1F09FFFE04DB8D</v>
      </c>
      <c r="J88" s="4" t="s">
        <v>657</v>
      </c>
      <c r="K88" s="4" t="s">
        <v>646</v>
      </c>
      <c r="L88" s="4" t="str">
        <f>VLOOKUP($K88,'Property names'!$A$1:$D$99,2,FALSE)</f>
        <v>The measure of temperature of the soil.</v>
      </c>
      <c r="M88" s="4" t="str">
        <f>VLOOKUP($K88,'Property names'!$A$1:$D$99,3,FALSE)</f>
        <v>Degrees Celsius</v>
      </c>
      <c r="N88" s="4" t="str">
        <f>VLOOKUP($K88,'Property names'!$A$1:$D$99,4,FALSE)</f>
        <v>ºC</v>
      </c>
      <c r="O88" s="4" t="str">
        <f t="shared" si="4"/>
        <v>Centro_Aziendale_I005_soil_temperature_1</v>
      </c>
      <c r="P88" s="4" t="str">
        <f t="shared" si="5"/>
        <v>The datastream containing mesures of field Centro Aziendale by sensor I005 which measures Soil Temperature.</v>
      </c>
    </row>
    <row r="89" spans="1:16" ht="15">
      <c r="A89" s="4" t="s">
        <v>560</v>
      </c>
      <c r="B89" s="4" t="s">
        <v>669</v>
      </c>
      <c r="C89" s="4" t="s">
        <v>667</v>
      </c>
      <c r="D89" s="141">
        <v>8.6972500000000004</v>
      </c>
      <c r="E89" s="141">
        <v>39.944890000000001</v>
      </c>
      <c r="F89" s="4" t="s">
        <v>95</v>
      </c>
      <c r="G89" s="143" t="s">
        <v>619</v>
      </c>
      <c r="H89" s="4" t="str">
        <f>VLOOKUP(F89,'All sensors Installed'!$A$2:$K$1083,6,)</f>
        <v>ST04</v>
      </c>
      <c r="I89" s="4" t="str">
        <f>VLOOKUP(F89,'All sensors Installed'!$A$2:$K$1083,11,)</f>
        <v>AC1F09FFFE04DB8D</v>
      </c>
      <c r="J89" s="4" t="s">
        <v>658</v>
      </c>
      <c r="K89" s="4" t="s">
        <v>646</v>
      </c>
      <c r="L89" s="4" t="str">
        <f>VLOOKUP($K89,'Property names'!$A$1:$D$99,2,FALSE)</f>
        <v>The measure of temperature of the soil.</v>
      </c>
      <c r="M89" s="4" t="str">
        <f>VLOOKUP($K89,'Property names'!$A$1:$D$99,3,FALSE)</f>
        <v>Degrees Celsius</v>
      </c>
      <c r="N89" s="4" t="str">
        <f>VLOOKUP($K89,'Property names'!$A$1:$D$99,4,FALSE)</f>
        <v>ºC</v>
      </c>
      <c r="O89" s="4" t="str">
        <f t="shared" si="4"/>
        <v>Centro_Aziendale_I005_soil_temperature_2</v>
      </c>
      <c r="P89" s="4" t="str">
        <f t="shared" si="5"/>
        <v>The datastream containing mesures of field Centro Aziendale by sensor I005 which measures Soil Temperature.</v>
      </c>
    </row>
    <row r="90" spans="1:16" ht="15">
      <c r="A90" s="4" t="s">
        <v>560</v>
      </c>
      <c r="B90" s="4" t="s">
        <v>669</v>
      </c>
      <c r="C90" s="4" t="s">
        <v>667</v>
      </c>
      <c r="D90" s="141">
        <v>8.6972500000000004</v>
      </c>
      <c r="E90" s="141">
        <v>39.944890000000001</v>
      </c>
      <c r="F90" s="4" t="s">
        <v>95</v>
      </c>
      <c r="G90" s="143" t="s">
        <v>619</v>
      </c>
      <c r="H90" s="4" t="str">
        <f>VLOOKUP(F90,'All sensors Installed'!$A$2:$K$1083,6,)</f>
        <v>ST04</v>
      </c>
      <c r="I90" s="4" t="str">
        <f>VLOOKUP(F90,'All sensors Installed'!$A$2:$K$1083,11,)</f>
        <v>AC1F09FFFE04DB8D</v>
      </c>
      <c r="J90" s="4" t="s">
        <v>659</v>
      </c>
      <c r="K90" s="4" t="s">
        <v>646</v>
      </c>
      <c r="L90" s="4" t="str">
        <f>VLOOKUP($K90,'Property names'!$A$1:$D$99,2,FALSE)</f>
        <v>The measure of temperature of the soil.</v>
      </c>
      <c r="M90" s="4" t="str">
        <f>VLOOKUP($K90,'Property names'!$A$1:$D$99,3,FALSE)</f>
        <v>Degrees Celsius</v>
      </c>
      <c r="N90" s="4" t="str">
        <f>VLOOKUP($K90,'Property names'!$A$1:$D$99,4,FALSE)</f>
        <v>ºC</v>
      </c>
      <c r="O90" s="4" t="str">
        <f t="shared" si="4"/>
        <v>Centro_Aziendale_I005_soil_temperature_3</v>
      </c>
      <c r="P90" s="4" t="str">
        <f t="shared" si="5"/>
        <v>The datastream containing mesures of field Centro Aziendale by sensor I005 which measures Soil Temperature.</v>
      </c>
    </row>
    <row r="91" spans="1:16" ht="15">
      <c r="A91" s="4" t="s">
        <v>560</v>
      </c>
      <c r="B91" s="4" t="s">
        <v>669</v>
      </c>
      <c r="C91" s="4" t="s">
        <v>667</v>
      </c>
      <c r="D91" s="141">
        <v>8.6972500000000004</v>
      </c>
      <c r="E91" s="141">
        <v>39.944890000000001</v>
      </c>
      <c r="F91" s="4" t="s">
        <v>95</v>
      </c>
      <c r="G91" s="143" t="s">
        <v>619</v>
      </c>
      <c r="H91" s="4" t="str">
        <f>VLOOKUP(F91,'All sensors Installed'!$A$2:$K$1083,6,)</f>
        <v>ST04</v>
      </c>
      <c r="I91" s="4" t="str">
        <f>VLOOKUP(F91,'All sensors Installed'!$A$2:$K$1083,11,)</f>
        <v>AC1F09FFFE04DB8D</v>
      </c>
      <c r="J91" s="4" t="s">
        <v>660</v>
      </c>
      <c r="K91" s="4" t="s">
        <v>646</v>
      </c>
      <c r="L91" s="4" t="str">
        <f>VLOOKUP($K91,'Property names'!$A$1:$D$99,2,FALSE)</f>
        <v>The measure of temperature of the soil.</v>
      </c>
      <c r="M91" s="4" t="str">
        <f>VLOOKUP($K91,'Property names'!$A$1:$D$99,3,FALSE)</f>
        <v>Degrees Celsius</v>
      </c>
      <c r="N91" s="4" t="str">
        <f>VLOOKUP($K91,'Property names'!$A$1:$D$99,4,FALSE)</f>
        <v>ºC</v>
      </c>
      <c r="O91" s="4" t="str">
        <f t="shared" si="4"/>
        <v>Centro_Aziendale_I005_soil_temperature_4</v>
      </c>
      <c r="P91" s="4" t="str">
        <f t="shared" si="5"/>
        <v>The datastream containing mesures of field Centro Aziendale by sensor I005 which measures Soil Temperature.</v>
      </c>
    </row>
    <row r="92" spans="1:16" ht="15">
      <c r="A92" s="4" t="s">
        <v>560</v>
      </c>
      <c r="B92" s="4" t="s">
        <v>669</v>
      </c>
      <c r="C92" s="4" t="s">
        <v>667</v>
      </c>
      <c r="D92" s="141">
        <v>8.6972500000000004</v>
      </c>
      <c r="E92" s="141">
        <v>39.944890000000001</v>
      </c>
      <c r="F92" s="4" t="s">
        <v>95</v>
      </c>
      <c r="G92" s="143" t="s">
        <v>619</v>
      </c>
      <c r="H92" s="4" t="str">
        <f>VLOOKUP(F92,'All sensors Installed'!$A$2:$K$1083,6,)</f>
        <v>ST04</v>
      </c>
      <c r="I92" s="4" t="str">
        <f>VLOOKUP(F92,'All sensors Installed'!$A$2:$K$1083,11,)</f>
        <v>AC1F09FFFE04DB8D</v>
      </c>
      <c r="J92" s="4" t="s">
        <v>661</v>
      </c>
      <c r="K92" s="4" t="s">
        <v>646</v>
      </c>
      <c r="L92" s="4" t="str">
        <f>VLOOKUP($K92,'Property names'!$A$1:$D$99,2,FALSE)</f>
        <v>The measure of temperature of the soil.</v>
      </c>
      <c r="M92" s="4" t="str">
        <f>VLOOKUP($K92,'Property names'!$A$1:$D$99,3,FALSE)</f>
        <v>Degrees Celsius</v>
      </c>
      <c r="N92" s="4" t="str">
        <f>VLOOKUP($K92,'Property names'!$A$1:$D$99,4,FALSE)</f>
        <v>ºC</v>
      </c>
      <c r="O92" s="4" t="str">
        <f t="shared" si="4"/>
        <v>Centro_Aziendale_I005_soil_temperature_5</v>
      </c>
      <c r="P92" s="4" t="str">
        <f t="shared" si="5"/>
        <v>The datastream containing mesures of field Centro Aziendale by sensor I005 which measures Soil Temperature.</v>
      </c>
    </row>
    <row r="93" spans="1:16" ht="15">
      <c r="A93" s="4" t="s">
        <v>560</v>
      </c>
      <c r="B93" s="4" t="s">
        <v>669</v>
      </c>
      <c r="C93" s="4" t="s">
        <v>667</v>
      </c>
      <c r="D93" s="141">
        <v>8.6972500000000004</v>
      </c>
      <c r="E93" s="141">
        <v>39.944890000000001</v>
      </c>
      <c r="F93" s="4" t="s">
        <v>95</v>
      </c>
      <c r="G93" s="143" t="s">
        <v>619</v>
      </c>
      <c r="H93" s="4" t="str">
        <f>VLOOKUP(F93,'All sensors Installed'!$A$2:$K$1083,6,)</f>
        <v>ST04</v>
      </c>
      <c r="I93" s="4" t="str">
        <f>VLOOKUP(F93,'All sensors Installed'!$A$2:$K$1083,11,)</f>
        <v>AC1F09FFFE04DB8D</v>
      </c>
      <c r="J93" s="4" t="s">
        <v>662</v>
      </c>
      <c r="K93" s="4" t="s">
        <v>646</v>
      </c>
      <c r="L93" s="4" t="str">
        <f>VLOOKUP($K93,'Property names'!$A$1:$D$99,2,FALSE)</f>
        <v>The measure of temperature of the soil.</v>
      </c>
      <c r="M93" s="4" t="str">
        <f>VLOOKUP($K93,'Property names'!$A$1:$D$99,3,FALSE)</f>
        <v>Degrees Celsius</v>
      </c>
      <c r="N93" s="4" t="str">
        <f>VLOOKUP($K93,'Property names'!$A$1:$D$99,4,FALSE)</f>
        <v>ºC</v>
      </c>
      <c r="O93" s="4" t="str">
        <f t="shared" si="4"/>
        <v>Centro_Aziendale_I005_soil_temperature_6</v>
      </c>
      <c r="P93" s="4" t="str">
        <f t="shared" si="5"/>
        <v>The datastream containing mesures of field Centro Aziendale by sensor I005 which measures Soil Temperature.</v>
      </c>
    </row>
    <row r="94" spans="1:16" ht="15">
      <c r="A94" s="4" t="s">
        <v>560</v>
      </c>
      <c r="B94" s="4" t="s">
        <v>670</v>
      </c>
      <c r="C94" s="4" t="s">
        <v>667</v>
      </c>
      <c r="D94" s="141">
        <v>8.7036390000000008</v>
      </c>
      <c r="E94" s="141">
        <v>39.948329999999999</v>
      </c>
      <c r="F94" s="4" t="s">
        <v>97</v>
      </c>
      <c r="G94" s="143" t="s">
        <v>619</v>
      </c>
      <c r="H94" s="4" t="str">
        <f>VLOOKUP(F94,'All sensors Installed'!$A$2:$K$1083,6,)</f>
        <v>ST04</v>
      </c>
      <c r="I94" s="4" t="str">
        <f>VLOOKUP(F94,'All sensors Installed'!$A$2:$K$1083,11,)</f>
        <v>AC1F09FFFE04E488</v>
      </c>
      <c r="J94" s="4" t="s">
        <v>650</v>
      </c>
      <c r="K94" s="4" t="s">
        <v>644</v>
      </c>
      <c r="L94" s="4" t="str">
        <f>VLOOKUP($K94,'Property names'!$A$1:$D$99,2,FALSE)</f>
        <v>The amount of moisture present in the soil, often expressed as a percentage of the maximum amount the soil could hold at a given temperature.</v>
      </c>
      <c r="M94" s="4" t="str">
        <f>VLOOKUP($K94,'Property names'!$A$1:$D$99,3,FALSE)</f>
        <v>Percentage</v>
      </c>
      <c r="N94" s="4" t="str">
        <f>VLOOKUP($K94,'Property names'!$A$1:$D$99,4,FALSE)</f>
        <v>%</v>
      </c>
      <c r="O94" s="4" t="str">
        <f t="shared" si="4"/>
        <v>Camedda_I006_soil_moisture_1</v>
      </c>
      <c r="P94" s="4" t="str">
        <f t="shared" si="5"/>
        <v>The datastream containing mesures of field Camedda by sensor I006 which measures Soil Moisture.</v>
      </c>
    </row>
    <row r="95" spans="1:16" ht="15">
      <c r="A95" s="4" t="s">
        <v>560</v>
      </c>
      <c r="B95" s="4" t="s">
        <v>670</v>
      </c>
      <c r="C95" s="4" t="s">
        <v>667</v>
      </c>
      <c r="D95" s="141">
        <v>8.7036390000000008</v>
      </c>
      <c r="E95" s="141">
        <v>39.948329999999999</v>
      </c>
      <c r="F95" s="4" t="s">
        <v>97</v>
      </c>
      <c r="G95" s="143" t="s">
        <v>619</v>
      </c>
      <c r="H95" s="4" t="str">
        <f>VLOOKUP(F95,'All sensors Installed'!$A$2:$K$1083,6,)</f>
        <v>ST04</v>
      </c>
      <c r="I95" s="4" t="str">
        <f>VLOOKUP(F95,'All sensors Installed'!$A$2:$K$1083,11,)</f>
        <v>AC1F09FFFE04E488</v>
      </c>
      <c r="J95" s="4" t="s">
        <v>651</v>
      </c>
      <c r="K95" s="4" t="s">
        <v>644</v>
      </c>
      <c r="L95" s="4" t="str">
        <f>VLOOKUP($K95,'Property names'!$A$1:$D$99,2,FALSE)</f>
        <v>The amount of moisture present in the soil, often expressed as a percentage of the maximum amount the soil could hold at a given temperature.</v>
      </c>
      <c r="M95" s="4" t="str">
        <f>VLOOKUP($K95,'Property names'!$A$1:$D$99,3,FALSE)</f>
        <v>Percentage</v>
      </c>
      <c r="N95" s="4" t="str">
        <f>VLOOKUP($K95,'Property names'!$A$1:$D$99,4,FALSE)</f>
        <v>%</v>
      </c>
      <c r="O95" s="4" t="str">
        <f t="shared" si="4"/>
        <v>Camedda_I006_soil_moisture_2</v>
      </c>
      <c r="P95" s="4" t="str">
        <f t="shared" si="5"/>
        <v>The datastream containing mesures of field Camedda by sensor I006 which measures Soil Moisture.</v>
      </c>
    </row>
    <row r="96" spans="1:16" ht="15">
      <c r="A96" s="4" t="s">
        <v>560</v>
      </c>
      <c r="B96" s="4" t="s">
        <v>670</v>
      </c>
      <c r="C96" s="4" t="s">
        <v>667</v>
      </c>
      <c r="D96" s="141">
        <v>8.7036390000000008</v>
      </c>
      <c r="E96" s="141">
        <v>39.948329999999999</v>
      </c>
      <c r="F96" s="4" t="s">
        <v>97</v>
      </c>
      <c r="G96" s="143" t="s">
        <v>619</v>
      </c>
      <c r="H96" s="4" t="str">
        <f>VLOOKUP(F96,'All sensors Installed'!$A$2:$K$1083,6,)</f>
        <v>ST04</v>
      </c>
      <c r="I96" s="4" t="str">
        <f>VLOOKUP(F96,'All sensors Installed'!$A$2:$K$1083,11,)</f>
        <v>AC1F09FFFE04E488</v>
      </c>
      <c r="J96" s="4" t="s">
        <v>652</v>
      </c>
      <c r="K96" s="4" t="s">
        <v>644</v>
      </c>
      <c r="L96" s="4" t="str">
        <f>VLOOKUP($K96,'Property names'!$A$1:$D$99,2,FALSE)</f>
        <v>The amount of moisture present in the soil, often expressed as a percentage of the maximum amount the soil could hold at a given temperature.</v>
      </c>
      <c r="M96" s="4" t="str">
        <f>VLOOKUP($K96,'Property names'!$A$1:$D$99,3,FALSE)</f>
        <v>Percentage</v>
      </c>
      <c r="N96" s="4" t="str">
        <f>VLOOKUP($K96,'Property names'!$A$1:$D$99,4,FALSE)</f>
        <v>%</v>
      </c>
      <c r="O96" s="4" t="str">
        <f t="shared" si="4"/>
        <v>Camedda_I006_soil_moisture_3</v>
      </c>
      <c r="P96" s="4" t="str">
        <f t="shared" si="5"/>
        <v>The datastream containing mesures of field Camedda by sensor I006 which measures Soil Moisture.</v>
      </c>
    </row>
    <row r="97" spans="1:16" ht="15">
      <c r="A97" s="4" t="s">
        <v>560</v>
      </c>
      <c r="B97" s="4" t="s">
        <v>670</v>
      </c>
      <c r="C97" s="4" t="s">
        <v>667</v>
      </c>
      <c r="D97" s="141">
        <v>8.7036390000000008</v>
      </c>
      <c r="E97" s="141">
        <v>39.948329999999999</v>
      </c>
      <c r="F97" s="4" t="s">
        <v>97</v>
      </c>
      <c r="G97" s="143" t="s">
        <v>619</v>
      </c>
      <c r="H97" s="4" t="str">
        <f>VLOOKUP(F97,'All sensors Installed'!$A$2:$K$1083,6,)</f>
        <v>ST04</v>
      </c>
      <c r="I97" s="4" t="str">
        <f>VLOOKUP(F97,'All sensors Installed'!$A$2:$K$1083,11,)</f>
        <v>AC1F09FFFE04E488</v>
      </c>
      <c r="J97" s="4" t="s">
        <v>653</v>
      </c>
      <c r="K97" s="4" t="s">
        <v>644</v>
      </c>
      <c r="L97" s="4" t="str">
        <f>VLOOKUP($K97,'Property names'!$A$1:$D$99,2,FALSE)</f>
        <v>The amount of moisture present in the soil, often expressed as a percentage of the maximum amount the soil could hold at a given temperature.</v>
      </c>
      <c r="M97" s="4" t="str">
        <f>VLOOKUP($K97,'Property names'!$A$1:$D$99,3,FALSE)</f>
        <v>Percentage</v>
      </c>
      <c r="N97" s="4" t="str">
        <f>VLOOKUP($K97,'Property names'!$A$1:$D$99,4,FALSE)</f>
        <v>%</v>
      </c>
      <c r="O97" s="4" t="str">
        <f t="shared" si="4"/>
        <v>Camedda_I006_soil_moisture_4</v>
      </c>
      <c r="P97" s="4" t="str">
        <f t="shared" si="5"/>
        <v>The datastream containing mesures of field Camedda by sensor I006 which measures Soil Moisture.</v>
      </c>
    </row>
    <row r="98" spans="1:16" ht="15">
      <c r="A98" s="4" t="s">
        <v>560</v>
      </c>
      <c r="B98" s="4" t="s">
        <v>670</v>
      </c>
      <c r="C98" s="4" t="s">
        <v>667</v>
      </c>
      <c r="D98" s="141">
        <v>8.7036390000000008</v>
      </c>
      <c r="E98" s="141">
        <v>39.948329999999999</v>
      </c>
      <c r="F98" s="4" t="s">
        <v>97</v>
      </c>
      <c r="G98" s="143" t="s">
        <v>619</v>
      </c>
      <c r="H98" s="4" t="str">
        <f>VLOOKUP(F98,'All sensors Installed'!$A$2:$K$1083,6,)</f>
        <v>ST04</v>
      </c>
      <c r="I98" s="4" t="str">
        <f>VLOOKUP(F98,'All sensors Installed'!$A$2:$K$1083,11,)</f>
        <v>AC1F09FFFE04E488</v>
      </c>
      <c r="J98" s="4" t="s">
        <v>654</v>
      </c>
      <c r="K98" s="4" t="s">
        <v>644</v>
      </c>
      <c r="L98" s="4" t="str">
        <f>VLOOKUP($K98,'Property names'!$A$1:$D$99,2,FALSE)</f>
        <v>The amount of moisture present in the soil, often expressed as a percentage of the maximum amount the soil could hold at a given temperature.</v>
      </c>
      <c r="M98" s="4" t="str">
        <f>VLOOKUP($K98,'Property names'!$A$1:$D$99,3,FALSE)</f>
        <v>Percentage</v>
      </c>
      <c r="N98" s="4" t="str">
        <f>VLOOKUP($K98,'Property names'!$A$1:$D$99,4,FALSE)</f>
        <v>%</v>
      </c>
      <c r="O98" s="4" t="str">
        <f t="shared" si="4"/>
        <v>Camedda_I006_soil_moisture_5</v>
      </c>
      <c r="P98" s="4" t="str">
        <f t="shared" si="5"/>
        <v>The datastream containing mesures of field Camedda by sensor I006 which measures Soil Moisture.</v>
      </c>
    </row>
    <row r="99" spans="1:16" ht="15">
      <c r="A99" s="4" t="s">
        <v>560</v>
      </c>
      <c r="B99" s="4" t="s">
        <v>670</v>
      </c>
      <c r="C99" s="4" t="s">
        <v>667</v>
      </c>
      <c r="D99" s="141">
        <v>8.7036390000000008</v>
      </c>
      <c r="E99" s="141">
        <v>39.948329999999999</v>
      </c>
      <c r="F99" s="4" t="s">
        <v>97</v>
      </c>
      <c r="G99" s="143" t="s">
        <v>619</v>
      </c>
      <c r="H99" s="4" t="str">
        <f>VLOOKUP(F99,'All sensors Installed'!$A$2:$K$1083,6,)</f>
        <v>ST04</v>
      </c>
      <c r="I99" s="4" t="str">
        <f>VLOOKUP(F99,'All sensors Installed'!$A$2:$K$1083,11,)</f>
        <v>AC1F09FFFE04E488</v>
      </c>
      <c r="J99" s="4" t="s">
        <v>655</v>
      </c>
      <c r="K99" s="4" t="s">
        <v>644</v>
      </c>
      <c r="L99" s="4" t="str">
        <f>VLOOKUP($K99,'Property names'!$A$1:$D$99,2,FALSE)</f>
        <v>The amount of moisture present in the soil, often expressed as a percentage of the maximum amount the soil could hold at a given temperature.</v>
      </c>
      <c r="M99" s="4" t="str">
        <f>VLOOKUP($K99,'Property names'!$A$1:$D$99,3,FALSE)</f>
        <v>Percentage</v>
      </c>
      <c r="N99" s="4" t="str">
        <f>VLOOKUP($K99,'Property names'!$A$1:$D$99,4,FALSE)</f>
        <v>%</v>
      </c>
      <c r="O99" s="4" t="str">
        <f t="shared" si="4"/>
        <v>Camedda_I006_soil_moisture_6</v>
      </c>
      <c r="P99" s="4" t="str">
        <f t="shared" si="5"/>
        <v>The datastream containing mesures of field Camedda by sensor I006 which measures Soil Moisture.</v>
      </c>
    </row>
    <row r="100" spans="1:16" ht="15">
      <c r="A100" s="4" t="s">
        <v>560</v>
      </c>
      <c r="B100" s="4" t="s">
        <v>670</v>
      </c>
      <c r="C100" s="4" t="s">
        <v>667</v>
      </c>
      <c r="D100" s="141">
        <v>8.7036390000000008</v>
      </c>
      <c r="E100" s="141">
        <v>39.948329999999999</v>
      </c>
      <c r="F100" s="4" t="s">
        <v>97</v>
      </c>
      <c r="G100" s="143" t="s">
        <v>619</v>
      </c>
      <c r="H100" s="4" t="str">
        <f>VLOOKUP(F100,'All sensors Installed'!$A$2:$K$1083,6,)</f>
        <v>ST04</v>
      </c>
      <c r="I100" s="4" t="str">
        <f>VLOOKUP(F100,'All sensors Installed'!$A$2:$K$1083,11,)</f>
        <v>AC1F09FFFE04E488</v>
      </c>
      <c r="J100" s="4" t="s">
        <v>656</v>
      </c>
      <c r="K100" s="4" t="s">
        <v>638</v>
      </c>
      <c r="L100" s="4" t="str">
        <f>VLOOKUP($K100,'Property names'!$A$1:$D$99,2,FALSE)</f>
        <v>The measure of the hotness or coldness of the air.</v>
      </c>
      <c r="M100" s="4" t="str">
        <f>VLOOKUP($K100,'Property names'!$A$1:$D$99,3,FALSE)</f>
        <v>Degrees Celsius</v>
      </c>
      <c r="N100" s="4" t="str">
        <f>VLOOKUP($K100,'Property names'!$A$1:$D$99,4,FALSE)</f>
        <v>ºC</v>
      </c>
      <c r="O100" s="4" t="str">
        <f t="shared" si="4"/>
        <v>Camedda_I006_ambient_temperature</v>
      </c>
      <c r="P100" s="4" t="str">
        <f t="shared" si="5"/>
        <v>The datastream containing mesures of field Camedda by sensor I006 which measures Air Temperature.</v>
      </c>
    </row>
    <row r="101" spans="1:16" ht="15">
      <c r="A101" s="4" t="s">
        <v>560</v>
      </c>
      <c r="B101" s="4" t="s">
        <v>670</v>
      </c>
      <c r="C101" s="4" t="s">
        <v>667</v>
      </c>
      <c r="D101" s="141">
        <v>8.7036390000000008</v>
      </c>
      <c r="E101" s="141">
        <v>39.948329999999999</v>
      </c>
      <c r="F101" s="4" t="s">
        <v>97</v>
      </c>
      <c r="G101" s="143" t="s">
        <v>619</v>
      </c>
      <c r="H101" s="4" t="str">
        <f>VLOOKUP(F101,'All sensors Installed'!$A$2:$K$1083,6,)</f>
        <v>ST04</v>
      </c>
      <c r="I101" s="4" t="str">
        <f>VLOOKUP(F101,'All sensors Installed'!$A$2:$K$1083,11,)</f>
        <v>AC1F09FFFE04E488</v>
      </c>
      <c r="J101" s="4" t="s">
        <v>657</v>
      </c>
      <c r="K101" s="4" t="s">
        <v>646</v>
      </c>
      <c r="L101" s="4" t="str">
        <f>VLOOKUP($K101,'Property names'!$A$1:$D$99,2,FALSE)</f>
        <v>The measure of temperature of the soil.</v>
      </c>
      <c r="M101" s="4" t="str">
        <f>VLOOKUP($K101,'Property names'!$A$1:$D$99,3,FALSE)</f>
        <v>Degrees Celsius</v>
      </c>
      <c r="N101" s="4" t="str">
        <f>VLOOKUP($K101,'Property names'!$A$1:$D$99,4,FALSE)</f>
        <v>ºC</v>
      </c>
      <c r="O101" s="4" t="str">
        <f t="shared" si="4"/>
        <v>Camedda_I006_soil_temperature_1</v>
      </c>
      <c r="P101" s="4" t="str">
        <f t="shared" si="5"/>
        <v>The datastream containing mesures of field Camedda by sensor I006 which measures Soil Temperature.</v>
      </c>
    </row>
    <row r="102" spans="1:16" ht="15">
      <c r="A102" s="4" t="s">
        <v>560</v>
      </c>
      <c r="B102" s="4" t="s">
        <v>670</v>
      </c>
      <c r="C102" s="4" t="s">
        <v>667</v>
      </c>
      <c r="D102" s="141">
        <v>8.7036390000000008</v>
      </c>
      <c r="E102" s="141">
        <v>39.948329999999999</v>
      </c>
      <c r="F102" s="4" t="s">
        <v>97</v>
      </c>
      <c r="G102" s="143" t="s">
        <v>619</v>
      </c>
      <c r="H102" s="4" t="str">
        <f>VLOOKUP(F102,'All sensors Installed'!$A$2:$K$1083,6,)</f>
        <v>ST04</v>
      </c>
      <c r="I102" s="4" t="str">
        <f>VLOOKUP(F102,'All sensors Installed'!$A$2:$K$1083,11,)</f>
        <v>AC1F09FFFE04E488</v>
      </c>
      <c r="J102" s="4" t="s">
        <v>658</v>
      </c>
      <c r="K102" s="4" t="s">
        <v>646</v>
      </c>
      <c r="L102" s="4" t="str">
        <f>VLOOKUP($K102,'Property names'!$A$1:$D$99,2,FALSE)</f>
        <v>The measure of temperature of the soil.</v>
      </c>
      <c r="M102" s="4" t="str">
        <f>VLOOKUP($K102,'Property names'!$A$1:$D$99,3,FALSE)</f>
        <v>Degrees Celsius</v>
      </c>
      <c r="N102" s="4" t="str">
        <f>VLOOKUP($K102,'Property names'!$A$1:$D$99,4,FALSE)</f>
        <v>ºC</v>
      </c>
      <c r="O102" s="4" t="str">
        <f t="shared" si="4"/>
        <v>Camedda_I006_soil_temperature_2</v>
      </c>
      <c r="P102" s="4" t="str">
        <f t="shared" si="5"/>
        <v>The datastream containing mesures of field Camedda by sensor I006 which measures Soil Temperature.</v>
      </c>
    </row>
    <row r="103" spans="1:16" ht="15">
      <c r="A103" s="4" t="s">
        <v>560</v>
      </c>
      <c r="B103" s="4" t="s">
        <v>670</v>
      </c>
      <c r="C103" s="4" t="s">
        <v>667</v>
      </c>
      <c r="D103" s="141">
        <v>8.7036390000000008</v>
      </c>
      <c r="E103" s="141">
        <v>39.948329999999999</v>
      </c>
      <c r="F103" s="4" t="s">
        <v>97</v>
      </c>
      <c r="G103" s="143" t="s">
        <v>619</v>
      </c>
      <c r="H103" s="4" t="str">
        <f>VLOOKUP(F103,'All sensors Installed'!$A$2:$K$1083,6,)</f>
        <v>ST04</v>
      </c>
      <c r="I103" s="4" t="str">
        <f>VLOOKUP(F103,'All sensors Installed'!$A$2:$K$1083,11,)</f>
        <v>AC1F09FFFE04E488</v>
      </c>
      <c r="J103" s="4" t="s">
        <v>659</v>
      </c>
      <c r="K103" s="4" t="s">
        <v>646</v>
      </c>
      <c r="L103" s="4" t="str">
        <f>VLOOKUP($K103,'Property names'!$A$1:$D$99,2,FALSE)</f>
        <v>The measure of temperature of the soil.</v>
      </c>
      <c r="M103" s="4" t="str">
        <f>VLOOKUP($K103,'Property names'!$A$1:$D$99,3,FALSE)</f>
        <v>Degrees Celsius</v>
      </c>
      <c r="N103" s="4" t="str">
        <f>VLOOKUP($K103,'Property names'!$A$1:$D$99,4,FALSE)</f>
        <v>ºC</v>
      </c>
      <c r="O103" s="4" t="str">
        <f t="shared" si="4"/>
        <v>Camedda_I006_soil_temperature_3</v>
      </c>
      <c r="P103" s="4" t="str">
        <f t="shared" si="5"/>
        <v>The datastream containing mesures of field Camedda by sensor I006 which measures Soil Temperature.</v>
      </c>
    </row>
    <row r="104" spans="1:16" ht="15">
      <c r="A104" s="4" t="s">
        <v>560</v>
      </c>
      <c r="B104" s="4" t="s">
        <v>670</v>
      </c>
      <c r="C104" s="4" t="s">
        <v>667</v>
      </c>
      <c r="D104" s="141">
        <v>8.7036390000000008</v>
      </c>
      <c r="E104" s="141">
        <v>39.948329999999999</v>
      </c>
      <c r="F104" s="4" t="s">
        <v>97</v>
      </c>
      <c r="G104" s="143" t="s">
        <v>619</v>
      </c>
      <c r="H104" s="4" t="str">
        <f>VLOOKUP(F104,'All sensors Installed'!$A$2:$K$1083,6,)</f>
        <v>ST04</v>
      </c>
      <c r="I104" s="4" t="str">
        <f>VLOOKUP(F104,'All sensors Installed'!$A$2:$K$1083,11,)</f>
        <v>AC1F09FFFE04E488</v>
      </c>
      <c r="J104" s="4" t="s">
        <v>660</v>
      </c>
      <c r="K104" s="4" t="s">
        <v>646</v>
      </c>
      <c r="L104" s="4" t="str">
        <f>VLOOKUP($K104,'Property names'!$A$1:$D$99,2,FALSE)</f>
        <v>The measure of temperature of the soil.</v>
      </c>
      <c r="M104" s="4" t="str">
        <f>VLOOKUP($K104,'Property names'!$A$1:$D$99,3,FALSE)</f>
        <v>Degrees Celsius</v>
      </c>
      <c r="N104" s="4" t="str">
        <f>VLOOKUP($K104,'Property names'!$A$1:$D$99,4,FALSE)</f>
        <v>ºC</v>
      </c>
      <c r="O104" s="4" t="str">
        <f t="shared" si="4"/>
        <v>Camedda_I006_soil_temperature_4</v>
      </c>
      <c r="P104" s="4" t="str">
        <f t="shared" si="5"/>
        <v>The datastream containing mesures of field Camedda by sensor I006 which measures Soil Temperature.</v>
      </c>
    </row>
    <row r="105" spans="1:16" ht="15">
      <c r="A105" s="4" t="s">
        <v>560</v>
      </c>
      <c r="B105" s="4" t="s">
        <v>670</v>
      </c>
      <c r="C105" s="4" t="s">
        <v>667</v>
      </c>
      <c r="D105" s="141">
        <v>8.7036390000000008</v>
      </c>
      <c r="E105" s="141">
        <v>39.948329999999999</v>
      </c>
      <c r="F105" s="4" t="s">
        <v>97</v>
      </c>
      <c r="G105" s="143" t="s">
        <v>619</v>
      </c>
      <c r="H105" s="4" t="str">
        <f>VLOOKUP(F105,'All sensors Installed'!$A$2:$K$1083,6,)</f>
        <v>ST04</v>
      </c>
      <c r="I105" s="4" t="str">
        <f>VLOOKUP(F105,'All sensors Installed'!$A$2:$K$1083,11,)</f>
        <v>AC1F09FFFE04E488</v>
      </c>
      <c r="J105" s="4" t="s">
        <v>661</v>
      </c>
      <c r="K105" s="4" t="s">
        <v>646</v>
      </c>
      <c r="L105" s="4" t="str">
        <f>VLOOKUP($K105,'Property names'!$A$1:$D$99,2,FALSE)</f>
        <v>The measure of temperature of the soil.</v>
      </c>
      <c r="M105" s="4" t="str">
        <f>VLOOKUP($K105,'Property names'!$A$1:$D$99,3,FALSE)</f>
        <v>Degrees Celsius</v>
      </c>
      <c r="N105" s="4" t="str">
        <f>VLOOKUP($K105,'Property names'!$A$1:$D$99,4,FALSE)</f>
        <v>ºC</v>
      </c>
      <c r="O105" s="4" t="str">
        <f t="shared" si="4"/>
        <v>Camedda_I006_soil_temperature_5</v>
      </c>
      <c r="P105" s="4" t="str">
        <f t="shared" si="5"/>
        <v>The datastream containing mesures of field Camedda by sensor I006 which measures Soil Temperature.</v>
      </c>
    </row>
    <row r="106" spans="1:16" ht="15">
      <c r="A106" s="4" t="s">
        <v>560</v>
      </c>
      <c r="B106" s="4" t="s">
        <v>670</v>
      </c>
      <c r="C106" s="4" t="s">
        <v>667</v>
      </c>
      <c r="D106" s="141">
        <v>8.7036390000000008</v>
      </c>
      <c r="E106" s="141">
        <v>39.948329999999999</v>
      </c>
      <c r="F106" s="4" t="s">
        <v>97</v>
      </c>
      <c r="G106" s="143" t="s">
        <v>619</v>
      </c>
      <c r="H106" s="4" t="str">
        <f>VLOOKUP(F106,'All sensors Installed'!$A$2:$K$1083,6,)</f>
        <v>ST04</v>
      </c>
      <c r="I106" s="4" t="str">
        <f>VLOOKUP(F106,'All sensors Installed'!$A$2:$K$1083,11,)</f>
        <v>AC1F09FFFE04E488</v>
      </c>
      <c r="J106" s="4" t="s">
        <v>662</v>
      </c>
      <c r="K106" s="4" t="s">
        <v>646</v>
      </c>
      <c r="L106" s="4" t="str">
        <f>VLOOKUP($K106,'Property names'!$A$1:$D$99,2,FALSE)</f>
        <v>The measure of temperature of the soil.</v>
      </c>
      <c r="M106" s="4" t="str">
        <f>VLOOKUP($K106,'Property names'!$A$1:$D$99,3,FALSE)</f>
        <v>Degrees Celsius</v>
      </c>
      <c r="N106" s="4" t="str">
        <f>VLOOKUP($K106,'Property names'!$A$1:$D$99,4,FALSE)</f>
        <v>ºC</v>
      </c>
      <c r="O106" s="4" t="str">
        <f t="shared" si="4"/>
        <v>Camedda_I006_soil_temperature_6</v>
      </c>
      <c r="P106" s="4" t="str">
        <f t="shared" si="5"/>
        <v>The datastream containing mesures of field Camedda by sensor I006 which measures Soil Temperature.</v>
      </c>
    </row>
    <row r="107" spans="1:16" ht="15">
      <c r="A107" s="4" t="s">
        <v>560</v>
      </c>
      <c r="B107" s="4" t="s">
        <v>671</v>
      </c>
      <c r="C107" s="4" t="s">
        <v>667</v>
      </c>
      <c r="D107" s="141">
        <v>8.6819170000000003</v>
      </c>
      <c r="E107" s="141">
        <v>39.948529999999998</v>
      </c>
      <c r="F107" s="4" t="s">
        <v>99</v>
      </c>
      <c r="G107" s="143" t="s">
        <v>619</v>
      </c>
      <c r="H107" s="4" t="str">
        <f>VLOOKUP(F107,'All sensors Installed'!$A$2:$K$1083,6,)</f>
        <v>ST04</v>
      </c>
      <c r="I107" s="4" t="str">
        <f>VLOOKUP(F107,'All sensors Installed'!$A$2:$K$1083,11,)</f>
        <v>AC1F09FFFE04E284</v>
      </c>
      <c r="J107" s="4" t="s">
        <v>650</v>
      </c>
      <c r="K107" s="4" t="s">
        <v>644</v>
      </c>
      <c r="L107" s="4" t="str">
        <f>VLOOKUP($K107,'Property names'!$A$1:$D$99,2,FALSE)</f>
        <v>The amount of moisture present in the soil, often expressed as a percentage of the maximum amount the soil could hold at a given temperature.</v>
      </c>
      <c r="M107" s="4" t="str">
        <f>VLOOKUP($K107,'Property names'!$A$1:$D$99,3,FALSE)</f>
        <v>Percentage</v>
      </c>
      <c r="N107" s="4" t="str">
        <f>VLOOKUP($K107,'Property names'!$A$1:$D$99,4,FALSE)</f>
        <v>%</v>
      </c>
      <c r="O107" s="4" t="str">
        <f t="shared" si="4"/>
        <v>Perra_2_I007_soil_moisture_1</v>
      </c>
      <c r="P107" s="4" t="str">
        <f t="shared" si="5"/>
        <v>The datastream containing mesures of field Perra 2 by sensor I007 which measures Soil Moisture.</v>
      </c>
    </row>
    <row r="108" spans="1:16" ht="15">
      <c r="A108" s="4" t="s">
        <v>560</v>
      </c>
      <c r="B108" s="4" t="s">
        <v>671</v>
      </c>
      <c r="C108" s="4" t="s">
        <v>667</v>
      </c>
      <c r="D108" s="141">
        <v>8.6819170000000003</v>
      </c>
      <c r="E108" s="141">
        <v>39.948529999999998</v>
      </c>
      <c r="F108" s="4" t="s">
        <v>99</v>
      </c>
      <c r="G108" s="143" t="s">
        <v>619</v>
      </c>
      <c r="H108" s="4" t="str">
        <f>VLOOKUP(F108,'All sensors Installed'!$A$2:$K$1083,6,)</f>
        <v>ST04</v>
      </c>
      <c r="I108" s="4" t="str">
        <f>VLOOKUP(F108,'All sensors Installed'!$A$2:$K$1083,11,)</f>
        <v>AC1F09FFFE04E284</v>
      </c>
      <c r="J108" s="4" t="s">
        <v>651</v>
      </c>
      <c r="K108" s="4" t="s">
        <v>644</v>
      </c>
      <c r="L108" s="4" t="str">
        <f>VLOOKUP($K108,'Property names'!$A$1:$D$99,2,FALSE)</f>
        <v>The amount of moisture present in the soil, often expressed as a percentage of the maximum amount the soil could hold at a given temperature.</v>
      </c>
      <c r="M108" s="4" t="str">
        <f>VLOOKUP($K108,'Property names'!$A$1:$D$99,3,FALSE)</f>
        <v>Percentage</v>
      </c>
      <c r="N108" s="4" t="str">
        <f>VLOOKUP($K108,'Property names'!$A$1:$D$99,4,FALSE)</f>
        <v>%</v>
      </c>
      <c r="O108" s="4" t="str">
        <f t="shared" si="4"/>
        <v>Perra_2_I007_soil_moisture_2</v>
      </c>
      <c r="P108" s="4" t="str">
        <f t="shared" si="5"/>
        <v>The datastream containing mesures of field Perra 2 by sensor I007 which measures Soil Moisture.</v>
      </c>
    </row>
    <row r="109" spans="1:16" ht="15">
      <c r="A109" s="4" t="s">
        <v>560</v>
      </c>
      <c r="B109" s="4" t="s">
        <v>671</v>
      </c>
      <c r="C109" s="4" t="s">
        <v>667</v>
      </c>
      <c r="D109" s="141">
        <v>8.6819170000000003</v>
      </c>
      <c r="E109" s="141">
        <v>39.948529999999998</v>
      </c>
      <c r="F109" s="4" t="s">
        <v>99</v>
      </c>
      <c r="G109" s="143" t="s">
        <v>619</v>
      </c>
      <c r="H109" s="4" t="str">
        <f>VLOOKUP(F109,'All sensors Installed'!$A$2:$K$1083,6,)</f>
        <v>ST04</v>
      </c>
      <c r="I109" s="4" t="str">
        <f>VLOOKUP(F109,'All sensors Installed'!$A$2:$K$1083,11,)</f>
        <v>AC1F09FFFE04E284</v>
      </c>
      <c r="J109" s="4" t="s">
        <v>652</v>
      </c>
      <c r="K109" s="4" t="s">
        <v>644</v>
      </c>
      <c r="L109" s="4" t="str">
        <f>VLOOKUP($K109,'Property names'!$A$1:$D$99,2,FALSE)</f>
        <v>The amount of moisture present in the soil, often expressed as a percentage of the maximum amount the soil could hold at a given temperature.</v>
      </c>
      <c r="M109" s="4" t="str">
        <f>VLOOKUP($K109,'Property names'!$A$1:$D$99,3,FALSE)</f>
        <v>Percentage</v>
      </c>
      <c r="N109" s="4" t="str">
        <f>VLOOKUP($K109,'Property names'!$A$1:$D$99,4,FALSE)</f>
        <v>%</v>
      </c>
      <c r="O109" s="4" t="str">
        <f t="shared" si="4"/>
        <v>Perra_2_I007_soil_moisture_3</v>
      </c>
      <c r="P109" s="4" t="str">
        <f t="shared" si="5"/>
        <v>The datastream containing mesures of field Perra 2 by sensor I007 which measures Soil Moisture.</v>
      </c>
    </row>
    <row r="110" spans="1:16" ht="15">
      <c r="A110" s="4" t="s">
        <v>560</v>
      </c>
      <c r="B110" s="4" t="s">
        <v>671</v>
      </c>
      <c r="C110" s="4" t="s">
        <v>667</v>
      </c>
      <c r="D110" s="141">
        <v>8.6819170000000003</v>
      </c>
      <c r="E110" s="141">
        <v>39.948529999999998</v>
      </c>
      <c r="F110" s="4" t="s">
        <v>99</v>
      </c>
      <c r="G110" s="143" t="s">
        <v>619</v>
      </c>
      <c r="H110" s="4" t="str">
        <f>VLOOKUP(F110,'All sensors Installed'!$A$2:$K$1083,6,)</f>
        <v>ST04</v>
      </c>
      <c r="I110" s="4" t="str">
        <f>VLOOKUP(F110,'All sensors Installed'!$A$2:$K$1083,11,)</f>
        <v>AC1F09FFFE04E284</v>
      </c>
      <c r="J110" s="4" t="s">
        <v>653</v>
      </c>
      <c r="K110" s="4" t="s">
        <v>644</v>
      </c>
      <c r="L110" s="4" t="str">
        <f>VLOOKUP($K110,'Property names'!$A$1:$D$99,2,FALSE)</f>
        <v>The amount of moisture present in the soil, often expressed as a percentage of the maximum amount the soil could hold at a given temperature.</v>
      </c>
      <c r="M110" s="4" t="str">
        <f>VLOOKUP($K110,'Property names'!$A$1:$D$99,3,FALSE)</f>
        <v>Percentage</v>
      </c>
      <c r="N110" s="4" t="str">
        <f>VLOOKUP($K110,'Property names'!$A$1:$D$99,4,FALSE)</f>
        <v>%</v>
      </c>
      <c r="O110" s="4" t="str">
        <f t="shared" si="4"/>
        <v>Perra_2_I007_soil_moisture_4</v>
      </c>
      <c r="P110" s="4" t="str">
        <f t="shared" si="5"/>
        <v>The datastream containing mesures of field Perra 2 by sensor I007 which measures Soil Moisture.</v>
      </c>
    </row>
    <row r="111" spans="1:16" ht="15">
      <c r="A111" s="4" t="s">
        <v>560</v>
      </c>
      <c r="B111" s="4" t="s">
        <v>671</v>
      </c>
      <c r="C111" s="4" t="s">
        <v>667</v>
      </c>
      <c r="D111" s="141">
        <v>8.6819170000000003</v>
      </c>
      <c r="E111" s="141">
        <v>39.948529999999998</v>
      </c>
      <c r="F111" s="4" t="s">
        <v>99</v>
      </c>
      <c r="G111" s="143" t="s">
        <v>619</v>
      </c>
      <c r="H111" s="4" t="str">
        <f>VLOOKUP(F111,'All sensors Installed'!$A$2:$K$1083,6,)</f>
        <v>ST04</v>
      </c>
      <c r="I111" s="4" t="str">
        <f>VLOOKUP(F111,'All sensors Installed'!$A$2:$K$1083,11,)</f>
        <v>AC1F09FFFE04E284</v>
      </c>
      <c r="J111" s="4" t="s">
        <v>654</v>
      </c>
      <c r="K111" s="4" t="s">
        <v>644</v>
      </c>
      <c r="L111" s="4" t="str">
        <f>VLOOKUP($K111,'Property names'!$A$1:$D$99,2,FALSE)</f>
        <v>The amount of moisture present in the soil, often expressed as a percentage of the maximum amount the soil could hold at a given temperature.</v>
      </c>
      <c r="M111" s="4" t="str">
        <f>VLOOKUP($K111,'Property names'!$A$1:$D$99,3,FALSE)</f>
        <v>Percentage</v>
      </c>
      <c r="N111" s="4" t="str">
        <f>VLOOKUP($K111,'Property names'!$A$1:$D$99,4,FALSE)</f>
        <v>%</v>
      </c>
      <c r="O111" s="4" t="str">
        <f t="shared" si="4"/>
        <v>Perra_2_I007_soil_moisture_5</v>
      </c>
      <c r="P111" s="4" t="str">
        <f t="shared" si="5"/>
        <v>The datastream containing mesures of field Perra 2 by sensor I007 which measures Soil Moisture.</v>
      </c>
    </row>
    <row r="112" spans="1:16" ht="15">
      <c r="A112" s="4" t="s">
        <v>560</v>
      </c>
      <c r="B112" s="4" t="s">
        <v>671</v>
      </c>
      <c r="C112" s="4" t="s">
        <v>667</v>
      </c>
      <c r="D112" s="141">
        <v>8.6819170000000003</v>
      </c>
      <c r="E112" s="141">
        <v>39.948529999999998</v>
      </c>
      <c r="F112" s="4" t="s">
        <v>99</v>
      </c>
      <c r="G112" s="143" t="s">
        <v>619</v>
      </c>
      <c r="H112" s="4" t="str">
        <f>VLOOKUP(F112,'All sensors Installed'!$A$2:$K$1083,6,)</f>
        <v>ST04</v>
      </c>
      <c r="I112" s="4" t="str">
        <f>VLOOKUP(F112,'All sensors Installed'!$A$2:$K$1083,11,)</f>
        <v>AC1F09FFFE04E284</v>
      </c>
      <c r="J112" s="4" t="s">
        <v>655</v>
      </c>
      <c r="K112" s="4" t="s">
        <v>644</v>
      </c>
      <c r="L112" s="4" t="str">
        <f>VLOOKUP($K112,'Property names'!$A$1:$D$99,2,FALSE)</f>
        <v>The amount of moisture present in the soil, often expressed as a percentage of the maximum amount the soil could hold at a given temperature.</v>
      </c>
      <c r="M112" s="4" t="str">
        <f>VLOOKUP($K112,'Property names'!$A$1:$D$99,3,FALSE)</f>
        <v>Percentage</v>
      </c>
      <c r="N112" s="4" t="str">
        <f>VLOOKUP($K112,'Property names'!$A$1:$D$99,4,FALSE)</f>
        <v>%</v>
      </c>
      <c r="O112" s="4" t="str">
        <f t="shared" si="4"/>
        <v>Perra_2_I007_soil_moisture_6</v>
      </c>
      <c r="P112" s="4" t="str">
        <f t="shared" si="5"/>
        <v>The datastream containing mesures of field Perra 2 by sensor I007 which measures Soil Moisture.</v>
      </c>
    </row>
    <row r="113" spans="1:16" ht="15">
      <c r="A113" s="4" t="s">
        <v>560</v>
      </c>
      <c r="B113" s="4" t="s">
        <v>671</v>
      </c>
      <c r="C113" s="4" t="s">
        <v>667</v>
      </c>
      <c r="D113" s="141">
        <v>8.6819170000000003</v>
      </c>
      <c r="E113" s="141">
        <v>39.948529999999998</v>
      </c>
      <c r="F113" s="4" t="s">
        <v>99</v>
      </c>
      <c r="G113" s="143" t="s">
        <v>619</v>
      </c>
      <c r="H113" s="4" t="str">
        <f>VLOOKUP(F113,'All sensors Installed'!$A$2:$K$1083,6,)</f>
        <v>ST04</v>
      </c>
      <c r="I113" s="4" t="str">
        <f>VLOOKUP(F113,'All sensors Installed'!$A$2:$K$1083,11,)</f>
        <v>AC1F09FFFE04E284</v>
      </c>
      <c r="J113" s="4" t="s">
        <v>656</v>
      </c>
      <c r="K113" s="4" t="s">
        <v>638</v>
      </c>
      <c r="L113" s="4" t="str">
        <f>VLOOKUP($K113,'Property names'!$A$1:$D$99,2,FALSE)</f>
        <v>The measure of the hotness or coldness of the air.</v>
      </c>
      <c r="M113" s="4" t="str">
        <f>VLOOKUP($K113,'Property names'!$A$1:$D$99,3,FALSE)</f>
        <v>Degrees Celsius</v>
      </c>
      <c r="N113" s="4" t="str">
        <f>VLOOKUP($K113,'Property names'!$A$1:$D$99,4,FALSE)</f>
        <v>ºC</v>
      </c>
      <c r="O113" s="4" t="str">
        <f t="shared" si="4"/>
        <v>Perra_2_I007_ambient_temperature</v>
      </c>
      <c r="P113" s="4" t="str">
        <f t="shared" si="5"/>
        <v>The datastream containing mesures of field Perra 2 by sensor I007 which measures Air Temperature.</v>
      </c>
    </row>
    <row r="114" spans="1:16" ht="15">
      <c r="A114" s="4" t="s">
        <v>560</v>
      </c>
      <c r="B114" s="4" t="s">
        <v>671</v>
      </c>
      <c r="C114" s="4" t="s">
        <v>667</v>
      </c>
      <c r="D114" s="141">
        <v>8.6819170000000003</v>
      </c>
      <c r="E114" s="141">
        <v>39.948529999999998</v>
      </c>
      <c r="F114" s="4" t="s">
        <v>99</v>
      </c>
      <c r="G114" s="143" t="s">
        <v>619</v>
      </c>
      <c r="H114" s="4" t="str">
        <f>VLOOKUP(F114,'All sensors Installed'!$A$2:$K$1083,6,)</f>
        <v>ST04</v>
      </c>
      <c r="I114" s="4" t="str">
        <f>VLOOKUP(F114,'All sensors Installed'!$A$2:$K$1083,11,)</f>
        <v>AC1F09FFFE04E284</v>
      </c>
      <c r="J114" s="4" t="s">
        <v>657</v>
      </c>
      <c r="K114" s="4" t="s">
        <v>646</v>
      </c>
      <c r="L114" s="4" t="str">
        <f>VLOOKUP($K114,'Property names'!$A$1:$D$99,2,FALSE)</f>
        <v>The measure of temperature of the soil.</v>
      </c>
      <c r="M114" s="4" t="str">
        <f>VLOOKUP($K114,'Property names'!$A$1:$D$99,3,FALSE)</f>
        <v>Degrees Celsius</v>
      </c>
      <c r="N114" s="4" t="str">
        <f>VLOOKUP($K114,'Property names'!$A$1:$D$99,4,FALSE)</f>
        <v>ºC</v>
      </c>
      <c r="O114" s="4" t="str">
        <f t="shared" si="4"/>
        <v>Perra_2_I007_soil_temperature_1</v>
      </c>
      <c r="P114" s="4" t="str">
        <f t="shared" si="5"/>
        <v>The datastream containing mesures of field Perra 2 by sensor I007 which measures Soil Temperature.</v>
      </c>
    </row>
    <row r="115" spans="1:16" ht="15">
      <c r="A115" s="4" t="s">
        <v>560</v>
      </c>
      <c r="B115" s="4" t="s">
        <v>671</v>
      </c>
      <c r="C115" s="4" t="s">
        <v>667</v>
      </c>
      <c r="D115" s="141">
        <v>8.6819170000000003</v>
      </c>
      <c r="E115" s="141">
        <v>39.948529999999998</v>
      </c>
      <c r="F115" s="4" t="s">
        <v>99</v>
      </c>
      <c r="G115" s="143" t="s">
        <v>619</v>
      </c>
      <c r="H115" s="4" t="str">
        <f>VLOOKUP(F115,'All sensors Installed'!$A$2:$K$1083,6,)</f>
        <v>ST04</v>
      </c>
      <c r="I115" s="4" t="str">
        <f>VLOOKUP(F115,'All sensors Installed'!$A$2:$K$1083,11,)</f>
        <v>AC1F09FFFE04E284</v>
      </c>
      <c r="J115" s="4" t="s">
        <v>658</v>
      </c>
      <c r="K115" s="4" t="s">
        <v>646</v>
      </c>
      <c r="L115" s="4" t="str">
        <f>VLOOKUP($K115,'Property names'!$A$1:$D$99,2,FALSE)</f>
        <v>The measure of temperature of the soil.</v>
      </c>
      <c r="M115" s="4" t="str">
        <f>VLOOKUP($K115,'Property names'!$A$1:$D$99,3,FALSE)</f>
        <v>Degrees Celsius</v>
      </c>
      <c r="N115" s="4" t="str">
        <f>VLOOKUP($K115,'Property names'!$A$1:$D$99,4,FALSE)</f>
        <v>ºC</v>
      </c>
      <c r="O115" s="4" t="str">
        <f t="shared" si="4"/>
        <v>Perra_2_I007_soil_temperature_2</v>
      </c>
      <c r="P115" s="4" t="str">
        <f t="shared" si="5"/>
        <v>The datastream containing mesures of field Perra 2 by sensor I007 which measures Soil Temperature.</v>
      </c>
    </row>
    <row r="116" spans="1:16" ht="15">
      <c r="A116" s="4" t="s">
        <v>560</v>
      </c>
      <c r="B116" s="4" t="s">
        <v>671</v>
      </c>
      <c r="C116" s="4" t="s">
        <v>667</v>
      </c>
      <c r="D116" s="141">
        <v>8.6819170000000003</v>
      </c>
      <c r="E116" s="141">
        <v>39.948529999999998</v>
      </c>
      <c r="F116" s="4" t="s">
        <v>99</v>
      </c>
      <c r="G116" s="143" t="s">
        <v>619</v>
      </c>
      <c r="H116" s="4" t="str">
        <f>VLOOKUP(F116,'All sensors Installed'!$A$2:$K$1083,6,)</f>
        <v>ST04</v>
      </c>
      <c r="I116" s="4" t="str">
        <f>VLOOKUP(F116,'All sensors Installed'!$A$2:$K$1083,11,)</f>
        <v>AC1F09FFFE04E284</v>
      </c>
      <c r="J116" s="4" t="s">
        <v>659</v>
      </c>
      <c r="K116" s="4" t="s">
        <v>646</v>
      </c>
      <c r="L116" s="4" t="str">
        <f>VLOOKUP($K116,'Property names'!$A$1:$D$99,2,FALSE)</f>
        <v>The measure of temperature of the soil.</v>
      </c>
      <c r="M116" s="4" t="str">
        <f>VLOOKUP($K116,'Property names'!$A$1:$D$99,3,FALSE)</f>
        <v>Degrees Celsius</v>
      </c>
      <c r="N116" s="4" t="str">
        <f>VLOOKUP($K116,'Property names'!$A$1:$D$99,4,FALSE)</f>
        <v>ºC</v>
      </c>
      <c r="O116" s="4" t="str">
        <f t="shared" si="4"/>
        <v>Perra_2_I007_soil_temperature_3</v>
      </c>
      <c r="P116" s="4" t="str">
        <f t="shared" si="5"/>
        <v>The datastream containing mesures of field Perra 2 by sensor I007 which measures Soil Temperature.</v>
      </c>
    </row>
    <row r="117" spans="1:16" ht="15">
      <c r="A117" s="4" t="s">
        <v>560</v>
      </c>
      <c r="B117" s="4" t="s">
        <v>671</v>
      </c>
      <c r="C117" s="4" t="s">
        <v>667</v>
      </c>
      <c r="D117" s="141">
        <v>8.6819170000000003</v>
      </c>
      <c r="E117" s="141">
        <v>39.948529999999998</v>
      </c>
      <c r="F117" s="4" t="s">
        <v>99</v>
      </c>
      <c r="G117" s="143" t="s">
        <v>619</v>
      </c>
      <c r="H117" s="4" t="str">
        <f>VLOOKUP(F117,'All sensors Installed'!$A$2:$K$1083,6,)</f>
        <v>ST04</v>
      </c>
      <c r="I117" s="4" t="str">
        <f>VLOOKUP(F117,'All sensors Installed'!$A$2:$K$1083,11,)</f>
        <v>AC1F09FFFE04E284</v>
      </c>
      <c r="J117" s="4" t="s">
        <v>660</v>
      </c>
      <c r="K117" s="4" t="s">
        <v>646</v>
      </c>
      <c r="L117" s="4" t="str">
        <f>VLOOKUP($K117,'Property names'!$A$1:$D$99,2,FALSE)</f>
        <v>The measure of temperature of the soil.</v>
      </c>
      <c r="M117" s="4" t="str">
        <f>VLOOKUP($K117,'Property names'!$A$1:$D$99,3,FALSE)</f>
        <v>Degrees Celsius</v>
      </c>
      <c r="N117" s="4" t="str">
        <f>VLOOKUP($K117,'Property names'!$A$1:$D$99,4,FALSE)</f>
        <v>ºC</v>
      </c>
      <c r="O117" s="4" t="str">
        <f t="shared" si="4"/>
        <v>Perra_2_I007_soil_temperature_4</v>
      </c>
      <c r="P117" s="4" t="str">
        <f t="shared" si="5"/>
        <v>The datastream containing mesures of field Perra 2 by sensor I007 which measures Soil Temperature.</v>
      </c>
    </row>
    <row r="118" spans="1:16" ht="15">
      <c r="A118" s="4" t="s">
        <v>560</v>
      </c>
      <c r="B118" s="4" t="s">
        <v>671</v>
      </c>
      <c r="C118" s="4" t="s">
        <v>667</v>
      </c>
      <c r="D118" s="141">
        <v>8.6819170000000003</v>
      </c>
      <c r="E118" s="141">
        <v>39.948529999999998</v>
      </c>
      <c r="F118" s="4" t="s">
        <v>99</v>
      </c>
      <c r="G118" s="143" t="s">
        <v>619</v>
      </c>
      <c r="H118" s="4" t="str">
        <f>VLOOKUP(F118,'All sensors Installed'!$A$2:$K$1083,6,)</f>
        <v>ST04</v>
      </c>
      <c r="I118" s="4" t="str">
        <f>VLOOKUP(F118,'All sensors Installed'!$A$2:$K$1083,11,)</f>
        <v>AC1F09FFFE04E284</v>
      </c>
      <c r="J118" s="4" t="s">
        <v>661</v>
      </c>
      <c r="K118" s="4" t="s">
        <v>646</v>
      </c>
      <c r="L118" s="4" t="str">
        <f>VLOOKUP($K118,'Property names'!$A$1:$D$99,2,FALSE)</f>
        <v>The measure of temperature of the soil.</v>
      </c>
      <c r="M118" s="4" t="str">
        <f>VLOOKUP($K118,'Property names'!$A$1:$D$99,3,FALSE)</f>
        <v>Degrees Celsius</v>
      </c>
      <c r="N118" s="4" t="str">
        <f>VLOOKUP($K118,'Property names'!$A$1:$D$99,4,FALSE)</f>
        <v>ºC</v>
      </c>
      <c r="O118" s="4" t="str">
        <f t="shared" si="4"/>
        <v>Perra_2_I007_soil_temperature_5</v>
      </c>
      <c r="P118" s="4" t="str">
        <f t="shared" si="5"/>
        <v>The datastream containing mesures of field Perra 2 by sensor I007 which measures Soil Temperature.</v>
      </c>
    </row>
    <row r="119" spans="1:16" ht="15">
      <c r="A119" s="4" t="s">
        <v>560</v>
      </c>
      <c r="B119" s="4" t="s">
        <v>671</v>
      </c>
      <c r="C119" s="4" t="s">
        <v>667</v>
      </c>
      <c r="D119" s="141">
        <v>8.6819170000000003</v>
      </c>
      <c r="E119" s="141">
        <v>39.948529999999998</v>
      </c>
      <c r="F119" s="4" t="s">
        <v>99</v>
      </c>
      <c r="G119" s="143" t="s">
        <v>619</v>
      </c>
      <c r="H119" s="4" t="str">
        <f>VLOOKUP(F119,'All sensors Installed'!$A$2:$K$1083,6,)</f>
        <v>ST04</v>
      </c>
      <c r="I119" s="4" t="str">
        <f>VLOOKUP(F119,'All sensors Installed'!$A$2:$K$1083,11,)</f>
        <v>AC1F09FFFE04E284</v>
      </c>
      <c r="J119" s="4" t="s">
        <v>662</v>
      </c>
      <c r="K119" s="4" t="s">
        <v>646</v>
      </c>
      <c r="L119" s="4" t="str">
        <f>VLOOKUP($K119,'Property names'!$A$1:$D$99,2,FALSE)</f>
        <v>The measure of temperature of the soil.</v>
      </c>
      <c r="M119" s="4" t="str">
        <f>VLOOKUP($K119,'Property names'!$A$1:$D$99,3,FALSE)</f>
        <v>Degrees Celsius</v>
      </c>
      <c r="N119" s="4" t="str">
        <f>VLOOKUP($K119,'Property names'!$A$1:$D$99,4,FALSE)</f>
        <v>ºC</v>
      </c>
      <c r="O119" s="4" t="str">
        <f t="shared" si="4"/>
        <v>Perra_2_I007_soil_temperature_6</v>
      </c>
      <c r="P119" s="4" t="str">
        <f t="shared" si="5"/>
        <v>The datastream containing mesures of field Perra 2 by sensor I007 which measures Soil Temperature.</v>
      </c>
    </row>
    <row r="120" spans="1:16" ht="15">
      <c r="A120" s="4" t="s">
        <v>560</v>
      </c>
      <c r="B120" s="4" t="s">
        <v>672</v>
      </c>
      <c r="C120" s="4" t="s">
        <v>667</v>
      </c>
      <c r="D120" s="141">
        <v>8.6801940000000002</v>
      </c>
      <c r="E120" s="141">
        <v>39.948689999999999</v>
      </c>
      <c r="F120" s="4" t="s">
        <v>101</v>
      </c>
      <c r="G120" s="143" t="s">
        <v>619</v>
      </c>
      <c r="H120" s="4" t="str">
        <f>VLOOKUP(F120,'All sensors Installed'!$A$2:$K$1083,6,)</f>
        <v>ST04</v>
      </c>
      <c r="I120" s="4" t="str">
        <f>VLOOKUP(F120,'All sensors Installed'!$A$2:$K$1083,11,)</f>
        <v>AC1F09FFFE04E2CB</v>
      </c>
      <c r="J120" s="4" t="s">
        <v>650</v>
      </c>
      <c r="K120" s="4" t="s">
        <v>644</v>
      </c>
      <c r="L120" s="4" t="str">
        <f>VLOOKUP($K120,'Property names'!$A$1:$D$99,2,FALSE)</f>
        <v>The amount of moisture present in the soil, often expressed as a percentage of the maximum amount the soil could hold at a given temperature.</v>
      </c>
      <c r="M120" s="4" t="str">
        <f>VLOOKUP($K120,'Property names'!$A$1:$D$99,3,FALSE)</f>
        <v>Percentage</v>
      </c>
      <c r="N120" s="4" t="str">
        <f>VLOOKUP($K120,'Property names'!$A$1:$D$99,4,FALSE)</f>
        <v>%</v>
      </c>
      <c r="O120" s="4" t="str">
        <f t="shared" si="4"/>
        <v>Mazzacaddeo_I008_soil_moisture_1</v>
      </c>
      <c r="P120" s="4" t="str">
        <f t="shared" si="5"/>
        <v>The datastream containing mesures of field Mazzacaddeo by sensor I008 which measures Soil Moisture.</v>
      </c>
    </row>
    <row r="121" spans="1:16" ht="15">
      <c r="A121" s="4" t="s">
        <v>560</v>
      </c>
      <c r="B121" s="4" t="s">
        <v>672</v>
      </c>
      <c r="C121" s="4" t="s">
        <v>667</v>
      </c>
      <c r="D121" s="141">
        <v>8.6801940000000002</v>
      </c>
      <c r="E121" s="141">
        <v>39.948689999999999</v>
      </c>
      <c r="F121" s="4" t="s">
        <v>101</v>
      </c>
      <c r="G121" s="143" t="s">
        <v>619</v>
      </c>
      <c r="H121" s="4" t="str">
        <f>VLOOKUP(F121,'All sensors Installed'!$A$2:$K$1083,6,)</f>
        <v>ST04</v>
      </c>
      <c r="I121" s="4" t="str">
        <f>VLOOKUP(F121,'All sensors Installed'!$A$2:$K$1083,11,)</f>
        <v>AC1F09FFFE04E2CB</v>
      </c>
      <c r="J121" s="4" t="s">
        <v>651</v>
      </c>
      <c r="K121" s="4" t="s">
        <v>644</v>
      </c>
      <c r="L121" s="4" t="str">
        <f>VLOOKUP($K121,'Property names'!$A$1:$D$99,2,FALSE)</f>
        <v>The amount of moisture present in the soil, often expressed as a percentage of the maximum amount the soil could hold at a given temperature.</v>
      </c>
      <c r="M121" s="4" t="str">
        <f>VLOOKUP($K121,'Property names'!$A$1:$D$99,3,FALSE)</f>
        <v>Percentage</v>
      </c>
      <c r="N121" s="4" t="str">
        <f>VLOOKUP($K121,'Property names'!$A$1:$D$99,4,FALSE)</f>
        <v>%</v>
      </c>
      <c r="O121" s="4" t="str">
        <f t="shared" si="4"/>
        <v>Mazzacaddeo_I008_soil_moisture_2</v>
      </c>
      <c r="P121" s="4" t="str">
        <f t="shared" si="5"/>
        <v>The datastream containing mesures of field Mazzacaddeo by sensor I008 which measures Soil Moisture.</v>
      </c>
    </row>
    <row r="122" spans="1:16" ht="15">
      <c r="A122" s="4" t="s">
        <v>560</v>
      </c>
      <c r="B122" s="4" t="s">
        <v>672</v>
      </c>
      <c r="C122" s="4" t="s">
        <v>667</v>
      </c>
      <c r="D122" s="141">
        <v>8.6801940000000002</v>
      </c>
      <c r="E122" s="141">
        <v>39.948689999999999</v>
      </c>
      <c r="F122" s="4" t="s">
        <v>101</v>
      </c>
      <c r="G122" s="143" t="s">
        <v>619</v>
      </c>
      <c r="H122" s="4" t="str">
        <f>VLOOKUP(F122,'All sensors Installed'!$A$2:$K$1083,6,)</f>
        <v>ST04</v>
      </c>
      <c r="I122" s="4" t="str">
        <f>VLOOKUP(F122,'All sensors Installed'!$A$2:$K$1083,11,)</f>
        <v>AC1F09FFFE04E2CB</v>
      </c>
      <c r="J122" s="4" t="s">
        <v>652</v>
      </c>
      <c r="K122" s="4" t="s">
        <v>644</v>
      </c>
      <c r="L122" s="4" t="str">
        <f>VLOOKUP($K122,'Property names'!$A$1:$D$99,2,FALSE)</f>
        <v>The amount of moisture present in the soil, often expressed as a percentage of the maximum amount the soil could hold at a given temperature.</v>
      </c>
      <c r="M122" s="4" t="str">
        <f>VLOOKUP($K122,'Property names'!$A$1:$D$99,3,FALSE)</f>
        <v>Percentage</v>
      </c>
      <c r="N122" s="4" t="str">
        <f>VLOOKUP($K122,'Property names'!$A$1:$D$99,4,FALSE)</f>
        <v>%</v>
      </c>
      <c r="O122" s="4" t="str">
        <f t="shared" si="4"/>
        <v>Mazzacaddeo_I008_soil_moisture_3</v>
      </c>
      <c r="P122" s="4" t="str">
        <f t="shared" si="5"/>
        <v>The datastream containing mesures of field Mazzacaddeo by sensor I008 which measures Soil Moisture.</v>
      </c>
    </row>
    <row r="123" spans="1:16" ht="15">
      <c r="A123" s="4" t="s">
        <v>560</v>
      </c>
      <c r="B123" s="4" t="s">
        <v>672</v>
      </c>
      <c r="C123" s="4" t="s">
        <v>667</v>
      </c>
      <c r="D123" s="141">
        <v>8.6801940000000002</v>
      </c>
      <c r="E123" s="141">
        <v>39.948689999999999</v>
      </c>
      <c r="F123" s="4" t="s">
        <v>101</v>
      </c>
      <c r="G123" s="143" t="s">
        <v>619</v>
      </c>
      <c r="H123" s="4" t="str">
        <f>VLOOKUP(F123,'All sensors Installed'!$A$2:$K$1083,6,)</f>
        <v>ST04</v>
      </c>
      <c r="I123" s="4" t="str">
        <f>VLOOKUP(F123,'All sensors Installed'!$A$2:$K$1083,11,)</f>
        <v>AC1F09FFFE04E2CB</v>
      </c>
      <c r="J123" s="4" t="s">
        <v>653</v>
      </c>
      <c r="K123" s="4" t="s">
        <v>644</v>
      </c>
      <c r="L123" s="4" t="str">
        <f>VLOOKUP($K123,'Property names'!$A$1:$D$99,2,FALSE)</f>
        <v>The amount of moisture present in the soil, often expressed as a percentage of the maximum amount the soil could hold at a given temperature.</v>
      </c>
      <c r="M123" s="4" t="str">
        <f>VLOOKUP($K123,'Property names'!$A$1:$D$99,3,FALSE)</f>
        <v>Percentage</v>
      </c>
      <c r="N123" s="4" t="str">
        <f>VLOOKUP($K123,'Property names'!$A$1:$D$99,4,FALSE)</f>
        <v>%</v>
      </c>
      <c r="O123" s="4" t="str">
        <f t="shared" si="4"/>
        <v>Mazzacaddeo_I008_soil_moisture_4</v>
      </c>
      <c r="P123" s="4" t="str">
        <f t="shared" si="5"/>
        <v>The datastream containing mesures of field Mazzacaddeo by sensor I008 which measures Soil Moisture.</v>
      </c>
    </row>
    <row r="124" spans="1:16" ht="15">
      <c r="A124" s="4" t="s">
        <v>560</v>
      </c>
      <c r="B124" s="4" t="s">
        <v>672</v>
      </c>
      <c r="C124" s="4" t="s">
        <v>667</v>
      </c>
      <c r="D124" s="141">
        <v>8.6801940000000002</v>
      </c>
      <c r="E124" s="141">
        <v>39.948689999999999</v>
      </c>
      <c r="F124" s="4" t="s">
        <v>101</v>
      </c>
      <c r="G124" s="143" t="s">
        <v>619</v>
      </c>
      <c r="H124" s="4" t="str">
        <f>VLOOKUP(F124,'All sensors Installed'!$A$2:$K$1083,6,)</f>
        <v>ST04</v>
      </c>
      <c r="I124" s="4" t="str">
        <f>VLOOKUP(F124,'All sensors Installed'!$A$2:$K$1083,11,)</f>
        <v>AC1F09FFFE04E2CB</v>
      </c>
      <c r="J124" s="4" t="s">
        <v>654</v>
      </c>
      <c r="K124" s="4" t="s">
        <v>644</v>
      </c>
      <c r="L124" s="4" t="str">
        <f>VLOOKUP($K124,'Property names'!$A$1:$D$99,2,FALSE)</f>
        <v>The amount of moisture present in the soil, often expressed as a percentage of the maximum amount the soil could hold at a given temperature.</v>
      </c>
      <c r="M124" s="4" t="str">
        <f>VLOOKUP($K124,'Property names'!$A$1:$D$99,3,FALSE)</f>
        <v>Percentage</v>
      </c>
      <c r="N124" s="4" t="str">
        <f>VLOOKUP($K124,'Property names'!$A$1:$D$99,4,FALSE)</f>
        <v>%</v>
      </c>
      <c r="O124" s="4" t="str">
        <f t="shared" si="4"/>
        <v>Mazzacaddeo_I008_soil_moisture_5</v>
      </c>
      <c r="P124" s="4" t="str">
        <f t="shared" si="5"/>
        <v>The datastream containing mesures of field Mazzacaddeo by sensor I008 which measures Soil Moisture.</v>
      </c>
    </row>
    <row r="125" spans="1:16" ht="15">
      <c r="A125" s="4" t="s">
        <v>560</v>
      </c>
      <c r="B125" s="4" t="s">
        <v>672</v>
      </c>
      <c r="C125" s="4" t="s">
        <v>667</v>
      </c>
      <c r="D125" s="141">
        <v>8.6801940000000002</v>
      </c>
      <c r="E125" s="141">
        <v>39.948689999999999</v>
      </c>
      <c r="F125" s="4" t="s">
        <v>101</v>
      </c>
      <c r="G125" s="143" t="s">
        <v>619</v>
      </c>
      <c r="H125" s="4" t="str">
        <f>VLOOKUP(F125,'All sensors Installed'!$A$2:$K$1083,6,)</f>
        <v>ST04</v>
      </c>
      <c r="I125" s="4" t="str">
        <f>VLOOKUP(F125,'All sensors Installed'!$A$2:$K$1083,11,)</f>
        <v>AC1F09FFFE04E2CB</v>
      </c>
      <c r="J125" s="4" t="s">
        <v>655</v>
      </c>
      <c r="K125" s="4" t="s">
        <v>644</v>
      </c>
      <c r="L125" s="4" t="str">
        <f>VLOOKUP($K125,'Property names'!$A$1:$D$99,2,FALSE)</f>
        <v>The amount of moisture present in the soil, often expressed as a percentage of the maximum amount the soil could hold at a given temperature.</v>
      </c>
      <c r="M125" s="4" t="str">
        <f>VLOOKUP($K125,'Property names'!$A$1:$D$99,3,FALSE)</f>
        <v>Percentage</v>
      </c>
      <c r="N125" s="4" t="str">
        <f>VLOOKUP($K125,'Property names'!$A$1:$D$99,4,FALSE)</f>
        <v>%</v>
      </c>
      <c r="O125" s="4" t="str">
        <f t="shared" si="4"/>
        <v>Mazzacaddeo_I008_soil_moisture_6</v>
      </c>
      <c r="P125" s="4" t="str">
        <f t="shared" si="5"/>
        <v>The datastream containing mesures of field Mazzacaddeo by sensor I008 which measures Soil Moisture.</v>
      </c>
    </row>
    <row r="126" spans="1:16" ht="15">
      <c r="A126" s="4" t="s">
        <v>560</v>
      </c>
      <c r="B126" s="4" t="s">
        <v>672</v>
      </c>
      <c r="C126" s="4" t="s">
        <v>667</v>
      </c>
      <c r="D126" s="141">
        <v>8.6801940000000002</v>
      </c>
      <c r="E126" s="141">
        <v>39.948689999999999</v>
      </c>
      <c r="F126" s="4" t="s">
        <v>101</v>
      </c>
      <c r="G126" s="143" t="s">
        <v>619</v>
      </c>
      <c r="H126" s="4" t="str">
        <f>VLOOKUP(F126,'All sensors Installed'!$A$2:$K$1083,6,)</f>
        <v>ST04</v>
      </c>
      <c r="I126" s="4" t="str">
        <f>VLOOKUP(F126,'All sensors Installed'!$A$2:$K$1083,11,)</f>
        <v>AC1F09FFFE04E2CB</v>
      </c>
      <c r="J126" s="4" t="s">
        <v>656</v>
      </c>
      <c r="K126" s="4" t="s">
        <v>638</v>
      </c>
      <c r="L126" s="4" t="str">
        <f>VLOOKUP($K126,'Property names'!$A$1:$D$99,2,FALSE)</f>
        <v>The measure of the hotness or coldness of the air.</v>
      </c>
      <c r="M126" s="4" t="str">
        <f>VLOOKUP($K126,'Property names'!$A$1:$D$99,3,FALSE)</f>
        <v>Degrees Celsius</v>
      </c>
      <c r="N126" s="4" t="str">
        <f>VLOOKUP($K126,'Property names'!$A$1:$D$99,4,FALSE)</f>
        <v>ºC</v>
      </c>
      <c r="O126" s="4" t="str">
        <f t="shared" si="4"/>
        <v>Mazzacaddeo_I008_ambient_temperature</v>
      </c>
      <c r="P126" s="4" t="str">
        <f t="shared" si="5"/>
        <v>The datastream containing mesures of field Mazzacaddeo by sensor I008 which measures Air Temperature.</v>
      </c>
    </row>
    <row r="127" spans="1:16" ht="15">
      <c r="A127" s="4" t="s">
        <v>560</v>
      </c>
      <c r="B127" s="4" t="s">
        <v>672</v>
      </c>
      <c r="C127" s="4" t="s">
        <v>667</v>
      </c>
      <c r="D127" s="141">
        <v>8.6801940000000002</v>
      </c>
      <c r="E127" s="141">
        <v>39.948689999999999</v>
      </c>
      <c r="F127" s="4" t="s">
        <v>101</v>
      </c>
      <c r="G127" s="143" t="s">
        <v>619</v>
      </c>
      <c r="H127" s="4" t="str">
        <f>VLOOKUP(F127,'All sensors Installed'!$A$2:$K$1083,6,)</f>
        <v>ST04</v>
      </c>
      <c r="I127" s="4" t="str">
        <f>VLOOKUP(F127,'All sensors Installed'!$A$2:$K$1083,11,)</f>
        <v>AC1F09FFFE04E2CB</v>
      </c>
      <c r="J127" s="4" t="s">
        <v>657</v>
      </c>
      <c r="K127" s="4" t="s">
        <v>646</v>
      </c>
      <c r="L127" s="4" t="str">
        <f>VLOOKUP($K127,'Property names'!$A$1:$D$99,2,FALSE)</f>
        <v>The measure of temperature of the soil.</v>
      </c>
      <c r="M127" s="4" t="str">
        <f>VLOOKUP($K127,'Property names'!$A$1:$D$99,3,FALSE)</f>
        <v>Degrees Celsius</v>
      </c>
      <c r="N127" s="4" t="str">
        <f>VLOOKUP($K127,'Property names'!$A$1:$D$99,4,FALSE)</f>
        <v>ºC</v>
      </c>
      <c r="O127" s="4" t="str">
        <f t="shared" si="4"/>
        <v>Mazzacaddeo_I008_soil_temperature_1</v>
      </c>
      <c r="P127" s="4" t="str">
        <f t="shared" si="5"/>
        <v>The datastream containing mesures of field Mazzacaddeo by sensor I008 which measures Soil Temperature.</v>
      </c>
    </row>
    <row r="128" spans="1:16" ht="15">
      <c r="A128" s="4" t="s">
        <v>560</v>
      </c>
      <c r="B128" s="4" t="s">
        <v>672</v>
      </c>
      <c r="C128" s="4" t="s">
        <v>667</v>
      </c>
      <c r="D128" s="141">
        <v>8.6801940000000002</v>
      </c>
      <c r="E128" s="141">
        <v>39.948689999999999</v>
      </c>
      <c r="F128" s="4" t="s">
        <v>101</v>
      </c>
      <c r="G128" s="143" t="s">
        <v>619</v>
      </c>
      <c r="H128" s="4" t="str">
        <f>VLOOKUP(F128,'All sensors Installed'!$A$2:$K$1083,6,)</f>
        <v>ST04</v>
      </c>
      <c r="I128" s="4" t="str">
        <f>VLOOKUP(F128,'All sensors Installed'!$A$2:$K$1083,11,)</f>
        <v>AC1F09FFFE04E2CB</v>
      </c>
      <c r="J128" s="4" t="s">
        <v>658</v>
      </c>
      <c r="K128" s="4" t="s">
        <v>646</v>
      </c>
      <c r="L128" s="4" t="str">
        <f>VLOOKUP($K128,'Property names'!$A$1:$D$99,2,FALSE)</f>
        <v>The measure of temperature of the soil.</v>
      </c>
      <c r="M128" s="4" t="str">
        <f>VLOOKUP($K128,'Property names'!$A$1:$D$99,3,FALSE)</f>
        <v>Degrees Celsius</v>
      </c>
      <c r="N128" s="4" t="str">
        <f>VLOOKUP($K128,'Property names'!$A$1:$D$99,4,FALSE)</f>
        <v>ºC</v>
      </c>
      <c r="O128" s="4" t="str">
        <f t="shared" si="4"/>
        <v>Mazzacaddeo_I008_soil_temperature_2</v>
      </c>
      <c r="P128" s="4" t="str">
        <f t="shared" si="5"/>
        <v>The datastream containing mesures of field Mazzacaddeo by sensor I008 which measures Soil Temperature.</v>
      </c>
    </row>
    <row r="129" spans="1:16" ht="15">
      <c r="A129" s="4" t="s">
        <v>560</v>
      </c>
      <c r="B129" s="4" t="s">
        <v>672</v>
      </c>
      <c r="C129" s="4" t="s">
        <v>667</v>
      </c>
      <c r="D129" s="141">
        <v>8.6801940000000002</v>
      </c>
      <c r="E129" s="141">
        <v>39.948689999999999</v>
      </c>
      <c r="F129" s="4" t="s">
        <v>101</v>
      </c>
      <c r="G129" s="143" t="s">
        <v>619</v>
      </c>
      <c r="H129" s="4" t="str">
        <f>VLOOKUP(F129,'All sensors Installed'!$A$2:$K$1083,6,)</f>
        <v>ST04</v>
      </c>
      <c r="I129" s="4" t="str">
        <f>VLOOKUP(F129,'All sensors Installed'!$A$2:$K$1083,11,)</f>
        <v>AC1F09FFFE04E2CB</v>
      </c>
      <c r="J129" s="4" t="s">
        <v>659</v>
      </c>
      <c r="K129" s="4" t="s">
        <v>646</v>
      </c>
      <c r="L129" s="4" t="str">
        <f>VLOOKUP($K129,'Property names'!$A$1:$D$99,2,FALSE)</f>
        <v>The measure of temperature of the soil.</v>
      </c>
      <c r="M129" s="4" t="str">
        <f>VLOOKUP($K129,'Property names'!$A$1:$D$99,3,FALSE)</f>
        <v>Degrees Celsius</v>
      </c>
      <c r="N129" s="4" t="str">
        <f>VLOOKUP($K129,'Property names'!$A$1:$D$99,4,FALSE)</f>
        <v>ºC</v>
      </c>
      <c r="O129" s="4" t="str">
        <f t="shared" si="4"/>
        <v>Mazzacaddeo_I008_soil_temperature_3</v>
      </c>
      <c r="P129" s="4" t="str">
        <f t="shared" si="5"/>
        <v>The datastream containing mesures of field Mazzacaddeo by sensor I008 which measures Soil Temperature.</v>
      </c>
    </row>
    <row r="130" spans="1:16" ht="15">
      <c r="A130" s="4" t="s">
        <v>560</v>
      </c>
      <c r="B130" s="4" t="s">
        <v>672</v>
      </c>
      <c r="C130" s="4" t="s">
        <v>667</v>
      </c>
      <c r="D130" s="141">
        <v>8.6801940000000002</v>
      </c>
      <c r="E130" s="141">
        <v>39.948689999999999</v>
      </c>
      <c r="F130" s="4" t="s">
        <v>101</v>
      </c>
      <c r="G130" s="143" t="s">
        <v>619</v>
      </c>
      <c r="H130" s="4" t="str">
        <f>VLOOKUP(F130,'All sensors Installed'!$A$2:$K$1083,6,)</f>
        <v>ST04</v>
      </c>
      <c r="I130" s="4" t="str">
        <f>VLOOKUP(F130,'All sensors Installed'!$A$2:$K$1083,11,)</f>
        <v>AC1F09FFFE04E2CB</v>
      </c>
      <c r="J130" s="4" t="s">
        <v>660</v>
      </c>
      <c r="K130" s="4" t="s">
        <v>646</v>
      </c>
      <c r="L130" s="4" t="str">
        <f>VLOOKUP($K130,'Property names'!$A$1:$D$99,2,FALSE)</f>
        <v>The measure of temperature of the soil.</v>
      </c>
      <c r="M130" s="4" t="str">
        <f>VLOOKUP($K130,'Property names'!$A$1:$D$99,3,FALSE)</f>
        <v>Degrees Celsius</v>
      </c>
      <c r="N130" s="4" t="str">
        <f>VLOOKUP($K130,'Property names'!$A$1:$D$99,4,FALSE)</f>
        <v>ºC</v>
      </c>
      <c r="O130" s="4" t="str">
        <f t="shared" si="4"/>
        <v>Mazzacaddeo_I008_soil_temperature_4</v>
      </c>
      <c r="P130" s="4" t="str">
        <f t="shared" si="5"/>
        <v>The datastream containing mesures of field Mazzacaddeo by sensor I008 which measures Soil Temperature.</v>
      </c>
    </row>
    <row r="131" spans="1:16" ht="15">
      <c r="A131" s="4" t="s">
        <v>560</v>
      </c>
      <c r="B131" s="4" t="s">
        <v>672</v>
      </c>
      <c r="C131" s="4" t="s">
        <v>667</v>
      </c>
      <c r="D131" s="141">
        <v>8.6801940000000002</v>
      </c>
      <c r="E131" s="141">
        <v>39.948689999999999</v>
      </c>
      <c r="F131" s="4" t="s">
        <v>101</v>
      </c>
      <c r="G131" s="143" t="s">
        <v>619</v>
      </c>
      <c r="H131" s="4" t="str">
        <f>VLOOKUP(F131,'All sensors Installed'!$A$2:$K$1083,6,)</f>
        <v>ST04</v>
      </c>
      <c r="I131" s="4" t="str">
        <f>VLOOKUP(F131,'All sensors Installed'!$A$2:$K$1083,11,)</f>
        <v>AC1F09FFFE04E2CB</v>
      </c>
      <c r="J131" s="4" t="s">
        <v>661</v>
      </c>
      <c r="K131" s="4" t="s">
        <v>646</v>
      </c>
      <c r="L131" s="4" t="str">
        <f>VLOOKUP($K131,'Property names'!$A$1:$D$99,2,FALSE)</f>
        <v>The measure of temperature of the soil.</v>
      </c>
      <c r="M131" s="4" t="str">
        <f>VLOOKUP($K131,'Property names'!$A$1:$D$99,3,FALSE)</f>
        <v>Degrees Celsius</v>
      </c>
      <c r="N131" s="4" t="str">
        <f>VLOOKUP($K131,'Property names'!$A$1:$D$99,4,FALSE)</f>
        <v>ºC</v>
      </c>
      <c r="O131" s="4" t="str">
        <f t="shared" si="4"/>
        <v>Mazzacaddeo_I008_soil_temperature_5</v>
      </c>
      <c r="P131" s="4" t="str">
        <f t="shared" si="5"/>
        <v>The datastream containing mesures of field Mazzacaddeo by sensor I008 which measures Soil Temperature.</v>
      </c>
    </row>
    <row r="132" spans="1:16" ht="15">
      <c r="A132" s="4" t="s">
        <v>560</v>
      </c>
      <c r="B132" s="4" t="s">
        <v>672</v>
      </c>
      <c r="C132" s="4" t="s">
        <v>667</v>
      </c>
      <c r="D132" s="141">
        <v>8.6801940000000002</v>
      </c>
      <c r="E132" s="141">
        <v>39.948689999999999</v>
      </c>
      <c r="F132" s="4" t="s">
        <v>101</v>
      </c>
      <c r="G132" s="143" t="s">
        <v>619</v>
      </c>
      <c r="H132" s="4" t="str">
        <f>VLOOKUP(F132,'All sensors Installed'!$A$2:$K$1083,6,)</f>
        <v>ST04</v>
      </c>
      <c r="I132" s="4" t="str">
        <f>VLOOKUP(F132,'All sensors Installed'!$A$2:$K$1083,11,)</f>
        <v>AC1F09FFFE04E2CB</v>
      </c>
      <c r="J132" s="4" t="s">
        <v>662</v>
      </c>
      <c r="K132" s="4" t="s">
        <v>646</v>
      </c>
      <c r="L132" s="4" t="str">
        <f>VLOOKUP($K132,'Property names'!$A$1:$D$99,2,FALSE)</f>
        <v>The measure of temperature of the soil.</v>
      </c>
      <c r="M132" s="4" t="str">
        <f>VLOOKUP($K132,'Property names'!$A$1:$D$99,3,FALSE)</f>
        <v>Degrees Celsius</v>
      </c>
      <c r="N132" s="4" t="str">
        <f>VLOOKUP($K132,'Property names'!$A$1:$D$99,4,FALSE)</f>
        <v>ºC</v>
      </c>
      <c r="O132" s="4" t="str">
        <f t="shared" si="4"/>
        <v>Mazzacaddeo_I008_soil_temperature_6</v>
      </c>
      <c r="P132" s="4" t="str">
        <f t="shared" si="5"/>
        <v>The datastream containing mesures of field Mazzacaddeo by sensor I008 which measures Soil Temperature.</v>
      </c>
    </row>
    <row r="133" spans="1:16" ht="12.75">
      <c r="A133" s="4" t="s">
        <v>560</v>
      </c>
      <c r="C133" s="4" t="s">
        <v>667</v>
      </c>
      <c r="F133" s="4" t="s">
        <v>103</v>
      </c>
      <c r="G133" s="143" t="s">
        <v>619</v>
      </c>
      <c r="H133" s="4" t="str">
        <f>VLOOKUP(F133,'All sensors Installed'!$A$2:$K$1083,6,)</f>
        <v>ST04</v>
      </c>
      <c r="I133" s="4" t="str">
        <f>VLOOKUP(F133,'All sensors Installed'!$A$2:$K$1083,11,)</f>
        <v>AC1F09FFFE04E240</v>
      </c>
      <c r="J133" s="4" t="s">
        <v>650</v>
      </c>
      <c r="K133" s="4" t="s">
        <v>644</v>
      </c>
      <c r="L133" s="4" t="str">
        <f>VLOOKUP($K133,'Property names'!$A$1:$D$99,2,FALSE)</f>
        <v>The amount of moisture present in the soil, often expressed as a percentage of the maximum amount the soil could hold at a given temperature.</v>
      </c>
      <c r="M133" s="4" t="str">
        <f>VLOOKUP($K133,'Property names'!$A$1:$D$99,3,FALSE)</f>
        <v>Percentage</v>
      </c>
      <c r="N133" s="4" t="str">
        <f>VLOOKUP($K133,'Property names'!$A$1:$D$99,4,FALSE)</f>
        <v>%</v>
      </c>
      <c r="O133" s="4" t="str">
        <f t="shared" si="4"/>
        <v>_I009_soil_moisture_1</v>
      </c>
      <c r="P133" s="4" t="str">
        <f t="shared" si="5"/>
        <v>The datastream containing mesures of field  by sensor I009 which measures Soil Moisture.</v>
      </c>
    </row>
    <row r="134" spans="1:16" ht="12.75">
      <c r="A134" s="4" t="s">
        <v>560</v>
      </c>
      <c r="C134" s="4" t="s">
        <v>667</v>
      </c>
      <c r="F134" s="4" t="s">
        <v>103</v>
      </c>
      <c r="G134" s="143" t="s">
        <v>619</v>
      </c>
      <c r="H134" s="4" t="str">
        <f>VLOOKUP(F134,'All sensors Installed'!$A$2:$K$1083,6,)</f>
        <v>ST04</v>
      </c>
      <c r="I134" s="4" t="str">
        <f>VLOOKUP(F134,'All sensors Installed'!$A$2:$K$1083,11,)</f>
        <v>AC1F09FFFE04E240</v>
      </c>
      <c r="J134" s="4" t="s">
        <v>651</v>
      </c>
      <c r="K134" s="4" t="s">
        <v>644</v>
      </c>
      <c r="L134" s="4" t="str">
        <f>VLOOKUP($K134,'Property names'!$A$1:$D$99,2,FALSE)</f>
        <v>The amount of moisture present in the soil, often expressed as a percentage of the maximum amount the soil could hold at a given temperature.</v>
      </c>
      <c r="M134" s="4" t="str">
        <f>VLOOKUP($K134,'Property names'!$A$1:$D$99,3,FALSE)</f>
        <v>Percentage</v>
      </c>
      <c r="N134" s="4" t="str">
        <f>VLOOKUP($K134,'Property names'!$A$1:$D$99,4,FALSE)</f>
        <v>%</v>
      </c>
      <c r="O134" s="4" t="str">
        <f t="shared" si="4"/>
        <v>_I009_soil_moisture_2</v>
      </c>
      <c r="P134" s="4" t="str">
        <f t="shared" si="5"/>
        <v>The datastream containing mesures of field  by sensor I009 which measures Soil Moisture.</v>
      </c>
    </row>
    <row r="135" spans="1:16" ht="12.75">
      <c r="A135" s="4" t="s">
        <v>560</v>
      </c>
      <c r="C135" s="4" t="s">
        <v>667</v>
      </c>
      <c r="F135" s="4" t="s">
        <v>103</v>
      </c>
      <c r="G135" s="143" t="s">
        <v>619</v>
      </c>
      <c r="H135" s="4" t="str">
        <f>VLOOKUP(F135,'All sensors Installed'!$A$2:$K$1083,6,)</f>
        <v>ST04</v>
      </c>
      <c r="I135" s="4" t="str">
        <f>VLOOKUP(F135,'All sensors Installed'!$A$2:$K$1083,11,)</f>
        <v>AC1F09FFFE04E240</v>
      </c>
      <c r="J135" s="4" t="s">
        <v>652</v>
      </c>
      <c r="K135" s="4" t="s">
        <v>644</v>
      </c>
      <c r="L135" s="4" t="str">
        <f>VLOOKUP($K135,'Property names'!$A$1:$D$99,2,FALSE)</f>
        <v>The amount of moisture present in the soil, often expressed as a percentage of the maximum amount the soil could hold at a given temperature.</v>
      </c>
      <c r="M135" s="4" t="str">
        <f>VLOOKUP($K135,'Property names'!$A$1:$D$99,3,FALSE)</f>
        <v>Percentage</v>
      </c>
      <c r="N135" s="4" t="str">
        <f>VLOOKUP($K135,'Property names'!$A$1:$D$99,4,FALSE)</f>
        <v>%</v>
      </c>
      <c r="O135" s="4" t="str">
        <f t="shared" si="4"/>
        <v>_I009_soil_moisture_3</v>
      </c>
      <c r="P135" s="4" t="str">
        <f t="shared" si="5"/>
        <v>The datastream containing mesures of field  by sensor I009 which measures Soil Moisture.</v>
      </c>
    </row>
    <row r="136" spans="1:16" ht="12.75">
      <c r="A136" s="4" t="s">
        <v>560</v>
      </c>
      <c r="C136" s="4" t="s">
        <v>667</v>
      </c>
      <c r="F136" s="4" t="s">
        <v>103</v>
      </c>
      <c r="G136" s="143" t="s">
        <v>619</v>
      </c>
      <c r="H136" s="4" t="str">
        <f>VLOOKUP(F136,'All sensors Installed'!$A$2:$K$1083,6,)</f>
        <v>ST04</v>
      </c>
      <c r="I136" s="4" t="str">
        <f>VLOOKUP(F136,'All sensors Installed'!$A$2:$K$1083,11,)</f>
        <v>AC1F09FFFE04E240</v>
      </c>
      <c r="J136" s="4" t="s">
        <v>653</v>
      </c>
      <c r="K136" s="4" t="s">
        <v>644</v>
      </c>
      <c r="L136" s="4" t="str">
        <f>VLOOKUP($K136,'Property names'!$A$1:$D$99,2,FALSE)</f>
        <v>The amount of moisture present in the soil, often expressed as a percentage of the maximum amount the soil could hold at a given temperature.</v>
      </c>
      <c r="M136" s="4" t="str">
        <f>VLOOKUP($K136,'Property names'!$A$1:$D$99,3,FALSE)</f>
        <v>Percentage</v>
      </c>
      <c r="N136" s="4" t="str">
        <f>VLOOKUP($K136,'Property names'!$A$1:$D$99,4,FALSE)</f>
        <v>%</v>
      </c>
      <c r="O136" s="4" t="str">
        <f t="shared" si="4"/>
        <v>_I009_soil_moisture_4</v>
      </c>
      <c r="P136" s="4" t="str">
        <f t="shared" si="5"/>
        <v>The datastream containing mesures of field  by sensor I009 which measures Soil Moisture.</v>
      </c>
    </row>
    <row r="137" spans="1:16" ht="12.75">
      <c r="A137" s="4" t="s">
        <v>560</v>
      </c>
      <c r="C137" s="4" t="s">
        <v>667</v>
      </c>
      <c r="F137" s="4" t="s">
        <v>103</v>
      </c>
      <c r="G137" s="143" t="s">
        <v>619</v>
      </c>
      <c r="H137" s="4" t="str">
        <f>VLOOKUP(F137,'All sensors Installed'!$A$2:$K$1083,6,)</f>
        <v>ST04</v>
      </c>
      <c r="I137" s="4" t="str">
        <f>VLOOKUP(F137,'All sensors Installed'!$A$2:$K$1083,11,)</f>
        <v>AC1F09FFFE04E240</v>
      </c>
      <c r="J137" s="4" t="s">
        <v>654</v>
      </c>
      <c r="K137" s="4" t="s">
        <v>644</v>
      </c>
      <c r="L137" s="4" t="str">
        <f>VLOOKUP($K137,'Property names'!$A$1:$D$99,2,FALSE)</f>
        <v>The amount of moisture present in the soil, often expressed as a percentage of the maximum amount the soil could hold at a given temperature.</v>
      </c>
      <c r="M137" s="4" t="str">
        <f>VLOOKUP($K137,'Property names'!$A$1:$D$99,3,FALSE)</f>
        <v>Percentage</v>
      </c>
      <c r="N137" s="4" t="str">
        <f>VLOOKUP($K137,'Property names'!$A$1:$D$99,4,FALSE)</f>
        <v>%</v>
      </c>
      <c r="O137" s="4" t="str">
        <f t="shared" si="4"/>
        <v>_I009_soil_moisture_5</v>
      </c>
      <c r="P137" s="4" t="str">
        <f t="shared" si="5"/>
        <v>The datastream containing mesures of field  by sensor I009 which measures Soil Moisture.</v>
      </c>
    </row>
    <row r="138" spans="1:16" ht="12.75">
      <c r="A138" s="4" t="s">
        <v>560</v>
      </c>
      <c r="C138" s="4" t="s">
        <v>667</v>
      </c>
      <c r="F138" s="4" t="s">
        <v>103</v>
      </c>
      <c r="G138" s="143" t="s">
        <v>619</v>
      </c>
      <c r="H138" s="4" t="str">
        <f>VLOOKUP(F138,'All sensors Installed'!$A$2:$K$1083,6,)</f>
        <v>ST04</v>
      </c>
      <c r="I138" s="4" t="str">
        <f>VLOOKUP(F138,'All sensors Installed'!$A$2:$K$1083,11,)</f>
        <v>AC1F09FFFE04E240</v>
      </c>
      <c r="J138" s="4" t="s">
        <v>655</v>
      </c>
      <c r="K138" s="4" t="s">
        <v>644</v>
      </c>
      <c r="L138" s="4" t="str">
        <f>VLOOKUP($K138,'Property names'!$A$1:$D$99,2,FALSE)</f>
        <v>The amount of moisture present in the soil, often expressed as a percentage of the maximum amount the soil could hold at a given temperature.</v>
      </c>
      <c r="M138" s="4" t="str">
        <f>VLOOKUP($K138,'Property names'!$A$1:$D$99,3,FALSE)</f>
        <v>Percentage</v>
      </c>
      <c r="N138" s="4" t="str">
        <f>VLOOKUP($K138,'Property names'!$A$1:$D$99,4,FALSE)</f>
        <v>%</v>
      </c>
      <c r="O138" s="4" t="str">
        <f t="shared" si="4"/>
        <v>_I009_soil_moisture_6</v>
      </c>
      <c r="P138" s="4" t="str">
        <f t="shared" si="5"/>
        <v>The datastream containing mesures of field  by sensor I009 which measures Soil Moisture.</v>
      </c>
    </row>
    <row r="139" spans="1:16" ht="12.75">
      <c r="A139" s="4" t="s">
        <v>560</v>
      </c>
      <c r="C139" s="4" t="s">
        <v>667</v>
      </c>
      <c r="F139" s="4" t="s">
        <v>103</v>
      </c>
      <c r="G139" s="143" t="s">
        <v>619</v>
      </c>
      <c r="H139" s="4" t="str">
        <f>VLOOKUP(F139,'All sensors Installed'!$A$2:$K$1083,6,)</f>
        <v>ST04</v>
      </c>
      <c r="I139" s="4" t="str">
        <f>VLOOKUP(F139,'All sensors Installed'!$A$2:$K$1083,11,)</f>
        <v>AC1F09FFFE04E240</v>
      </c>
      <c r="J139" s="4" t="s">
        <v>656</v>
      </c>
      <c r="K139" s="4" t="s">
        <v>638</v>
      </c>
      <c r="L139" s="4" t="str">
        <f>VLOOKUP($K139,'Property names'!$A$1:$D$99,2,FALSE)</f>
        <v>The measure of the hotness or coldness of the air.</v>
      </c>
      <c r="M139" s="4" t="str">
        <f>VLOOKUP($K139,'Property names'!$A$1:$D$99,3,FALSE)</f>
        <v>Degrees Celsius</v>
      </c>
      <c r="N139" s="4" t="str">
        <f>VLOOKUP($K139,'Property names'!$A$1:$D$99,4,FALSE)</f>
        <v>ºC</v>
      </c>
      <c r="O139" s="4" t="str">
        <f t="shared" si="4"/>
        <v>_I009_ambient_temperature</v>
      </c>
      <c r="P139" s="4" t="str">
        <f t="shared" si="5"/>
        <v>The datastream containing mesures of field  by sensor I009 which measures Air Temperature.</v>
      </c>
    </row>
    <row r="140" spans="1:16" ht="12.75">
      <c r="A140" s="4" t="s">
        <v>560</v>
      </c>
      <c r="C140" s="4" t="s">
        <v>667</v>
      </c>
      <c r="F140" s="4" t="s">
        <v>103</v>
      </c>
      <c r="G140" s="143" t="s">
        <v>619</v>
      </c>
      <c r="H140" s="4" t="str">
        <f>VLOOKUP(F140,'All sensors Installed'!$A$2:$K$1083,6,)</f>
        <v>ST04</v>
      </c>
      <c r="I140" s="4" t="str">
        <f>VLOOKUP(F140,'All sensors Installed'!$A$2:$K$1083,11,)</f>
        <v>AC1F09FFFE04E240</v>
      </c>
      <c r="J140" s="4" t="s">
        <v>657</v>
      </c>
      <c r="K140" s="4" t="s">
        <v>646</v>
      </c>
      <c r="L140" s="4" t="str">
        <f>VLOOKUP($K140,'Property names'!$A$1:$D$99,2,FALSE)</f>
        <v>The measure of temperature of the soil.</v>
      </c>
      <c r="M140" s="4" t="str">
        <f>VLOOKUP($K140,'Property names'!$A$1:$D$99,3,FALSE)</f>
        <v>Degrees Celsius</v>
      </c>
      <c r="N140" s="4" t="str">
        <f>VLOOKUP($K140,'Property names'!$A$1:$D$99,4,FALSE)</f>
        <v>ºC</v>
      </c>
      <c r="O140" s="4" t="str">
        <f t="shared" si="4"/>
        <v>_I009_soil_temperature_1</v>
      </c>
      <c r="P140" s="4" t="str">
        <f t="shared" si="5"/>
        <v>The datastream containing mesures of field  by sensor I009 which measures Soil Temperature.</v>
      </c>
    </row>
    <row r="141" spans="1:16" ht="12.75">
      <c r="A141" s="4" t="s">
        <v>560</v>
      </c>
      <c r="C141" s="4" t="s">
        <v>667</v>
      </c>
      <c r="F141" s="4" t="s">
        <v>103</v>
      </c>
      <c r="G141" s="143" t="s">
        <v>619</v>
      </c>
      <c r="H141" s="4" t="str">
        <f>VLOOKUP(F141,'All sensors Installed'!$A$2:$K$1083,6,)</f>
        <v>ST04</v>
      </c>
      <c r="I141" s="4" t="str">
        <f>VLOOKUP(F141,'All sensors Installed'!$A$2:$K$1083,11,)</f>
        <v>AC1F09FFFE04E240</v>
      </c>
      <c r="J141" s="4" t="s">
        <v>658</v>
      </c>
      <c r="K141" s="4" t="s">
        <v>646</v>
      </c>
      <c r="L141" s="4" t="str">
        <f>VLOOKUP($K141,'Property names'!$A$1:$D$99,2,FALSE)</f>
        <v>The measure of temperature of the soil.</v>
      </c>
      <c r="M141" s="4" t="str">
        <f>VLOOKUP($K141,'Property names'!$A$1:$D$99,3,FALSE)</f>
        <v>Degrees Celsius</v>
      </c>
      <c r="N141" s="4" t="str">
        <f>VLOOKUP($K141,'Property names'!$A$1:$D$99,4,FALSE)</f>
        <v>ºC</v>
      </c>
      <c r="O141" s="4" t="str">
        <f t="shared" si="4"/>
        <v>_I009_soil_temperature_2</v>
      </c>
      <c r="P141" s="4" t="str">
        <f t="shared" si="5"/>
        <v>The datastream containing mesures of field  by sensor I009 which measures Soil Temperature.</v>
      </c>
    </row>
    <row r="142" spans="1:16" ht="12.75">
      <c r="A142" s="4" t="s">
        <v>560</v>
      </c>
      <c r="C142" s="4" t="s">
        <v>667</v>
      </c>
      <c r="F142" s="4" t="s">
        <v>103</v>
      </c>
      <c r="G142" s="143" t="s">
        <v>619</v>
      </c>
      <c r="H142" s="4" t="str">
        <f>VLOOKUP(F142,'All sensors Installed'!$A$2:$K$1083,6,)</f>
        <v>ST04</v>
      </c>
      <c r="I142" s="4" t="str">
        <f>VLOOKUP(F142,'All sensors Installed'!$A$2:$K$1083,11,)</f>
        <v>AC1F09FFFE04E240</v>
      </c>
      <c r="J142" s="4" t="s">
        <v>659</v>
      </c>
      <c r="K142" s="4" t="s">
        <v>646</v>
      </c>
      <c r="L142" s="4" t="str">
        <f>VLOOKUP($K142,'Property names'!$A$1:$D$99,2,FALSE)</f>
        <v>The measure of temperature of the soil.</v>
      </c>
      <c r="M142" s="4" t="str">
        <f>VLOOKUP($K142,'Property names'!$A$1:$D$99,3,FALSE)</f>
        <v>Degrees Celsius</v>
      </c>
      <c r="N142" s="4" t="str">
        <f>VLOOKUP($K142,'Property names'!$A$1:$D$99,4,FALSE)</f>
        <v>ºC</v>
      </c>
      <c r="O142" s="4" t="str">
        <f t="shared" si="4"/>
        <v>_I009_soil_temperature_3</v>
      </c>
      <c r="P142" s="4" t="str">
        <f t="shared" si="5"/>
        <v>The datastream containing mesures of field  by sensor I009 which measures Soil Temperature.</v>
      </c>
    </row>
    <row r="143" spans="1:16" ht="12.75">
      <c r="A143" s="4" t="s">
        <v>560</v>
      </c>
      <c r="C143" s="4" t="s">
        <v>667</v>
      </c>
      <c r="F143" s="4" t="s">
        <v>103</v>
      </c>
      <c r="G143" s="143" t="s">
        <v>619</v>
      </c>
      <c r="H143" s="4" t="str">
        <f>VLOOKUP(F143,'All sensors Installed'!$A$2:$K$1083,6,)</f>
        <v>ST04</v>
      </c>
      <c r="I143" s="4" t="str">
        <f>VLOOKUP(F143,'All sensors Installed'!$A$2:$K$1083,11,)</f>
        <v>AC1F09FFFE04E240</v>
      </c>
      <c r="J143" s="4" t="s">
        <v>660</v>
      </c>
      <c r="K143" s="4" t="s">
        <v>646</v>
      </c>
      <c r="L143" s="4" t="str">
        <f>VLOOKUP($K143,'Property names'!$A$1:$D$99,2,FALSE)</f>
        <v>The measure of temperature of the soil.</v>
      </c>
      <c r="M143" s="4" t="str">
        <f>VLOOKUP($K143,'Property names'!$A$1:$D$99,3,FALSE)</f>
        <v>Degrees Celsius</v>
      </c>
      <c r="N143" s="4" t="str">
        <f>VLOOKUP($K143,'Property names'!$A$1:$D$99,4,FALSE)</f>
        <v>ºC</v>
      </c>
      <c r="O143" s="4" t="str">
        <f t="shared" si="4"/>
        <v>_I009_soil_temperature_4</v>
      </c>
      <c r="P143" s="4" t="str">
        <f t="shared" si="5"/>
        <v>The datastream containing mesures of field  by sensor I009 which measures Soil Temperature.</v>
      </c>
    </row>
    <row r="144" spans="1:16" ht="12.75">
      <c r="A144" s="4" t="s">
        <v>560</v>
      </c>
      <c r="C144" s="4" t="s">
        <v>667</v>
      </c>
      <c r="F144" s="4" t="s">
        <v>103</v>
      </c>
      <c r="G144" s="143" t="s">
        <v>619</v>
      </c>
      <c r="H144" s="4" t="str">
        <f>VLOOKUP(F144,'All sensors Installed'!$A$2:$K$1083,6,)</f>
        <v>ST04</v>
      </c>
      <c r="I144" s="4" t="str">
        <f>VLOOKUP(F144,'All sensors Installed'!$A$2:$K$1083,11,)</f>
        <v>AC1F09FFFE04E240</v>
      </c>
      <c r="J144" s="4" t="s">
        <v>661</v>
      </c>
      <c r="K144" s="4" t="s">
        <v>646</v>
      </c>
      <c r="L144" s="4" t="str">
        <f>VLOOKUP($K144,'Property names'!$A$1:$D$99,2,FALSE)</f>
        <v>The measure of temperature of the soil.</v>
      </c>
      <c r="M144" s="4" t="str">
        <f>VLOOKUP($K144,'Property names'!$A$1:$D$99,3,FALSE)</f>
        <v>Degrees Celsius</v>
      </c>
      <c r="N144" s="4" t="str">
        <f>VLOOKUP($K144,'Property names'!$A$1:$D$99,4,FALSE)</f>
        <v>ºC</v>
      </c>
      <c r="O144" s="4" t="str">
        <f t="shared" si="4"/>
        <v>_I009_soil_temperature_5</v>
      </c>
      <c r="P144" s="4" t="str">
        <f t="shared" si="5"/>
        <v>The datastream containing mesures of field  by sensor I009 which measures Soil Temperature.</v>
      </c>
    </row>
    <row r="145" spans="1:16" ht="12.75">
      <c r="A145" s="4" t="s">
        <v>560</v>
      </c>
      <c r="C145" s="4" t="s">
        <v>667</v>
      </c>
      <c r="F145" s="4" t="s">
        <v>103</v>
      </c>
      <c r="G145" s="143" t="s">
        <v>619</v>
      </c>
      <c r="H145" s="4" t="str">
        <f>VLOOKUP(F145,'All sensors Installed'!$A$2:$K$1083,6,)</f>
        <v>ST04</v>
      </c>
      <c r="I145" s="4" t="str">
        <f>VLOOKUP(F145,'All sensors Installed'!$A$2:$K$1083,11,)</f>
        <v>AC1F09FFFE04E240</v>
      </c>
      <c r="J145" s="4" t="s">
        <v>662</v>
      </c>
      <c r="K145" s="4" t="s">
        <v>646</v>
      </c>
      <c r="L145" s="4" t="str">
        <f>VLOOKUP($K145,'Property names'!$A$1:$D$99,2,FALSE)</f>
        <v>The measure of temperature of the soil.</v>
      </c>
      <c r="M145" s="4" t="str">
        <f>VLOOKUP($K145,'Property names'!$A$1:$D$99,3,FALSE)</f>
        <v>Degrees Celsius</v>
      </c>
      <c r="N145" s="4" t="str">
        <f>VLOOKUP($K145,'Property names'!$A$1:$D$99,4,FALSE)</f>
        <v>ºC</v>
      </c>
      <c r="O145" s="4" t="str">
        <f t="shared" si="4"/>
        <v>_I009_soil_temperature_6</v>
      </c>
      <c r="P145" s="4" t="str">
        <f t="shared" si="5"/>
        <v>The datastream containing mesures of field  by sensor I009 which measures Soil Temperature.</v>
      </c>
    </row>
    <row r="146" spans="1:16" ht="12.75">
      <c r="A146" s="4" t="s">
        <v>560</v>
      </c>
      <c r="C146" s="4" t="s">
        <v>667</v>
      </c>
      <c r="F146" s="4" t="s">
        <v>105</v>
      </c>
      <c r="G146" s="143" t="s">
        <v>619</v>
      </c>
      <c r="H146" s="4" t="str">
        <f>VLOOKUP(F146,'All sensors Installed'!$A$2:$K$1083,6,)</f>
        <v>ST04</v>
      </c>
      <c r="I146" s="4" t="str">
        <f>VLOOKUP(F146,'All sensors Installed'!$A$2:$K$1083,11,)</f>
        <v>AC1F09FFFE04E312</v>
      </c>
      <c r="J146" s="4" t="s">
        <v>650</v>
      </c>
      <c r="K146" s="4" t="s">
        <v>644</v>
      </c>
      <c r="L146" s="4" t="str">
        <f>VLOOKUP($K146,'Property names'!$A$1:$D$99,2,FALSE)</f>
        <v>The amount of moisture present in the soil, often expressed as a percentage of the maximum amount the soil could hold at a given temperature.</v>
      </c>
      <c r="M146" s="4" t="str">
        <f>VLOOKUP($K146,'Property names'!$A$1:$D$99,3,FALSE)</f>
        <v>Percentage</v>
      </c>
      <c r="N146" s="4" t="str">
        <f>VLOOKUP($K146,'Property names'!$A$1:$D$99,4,FALSE)</f>
        <v>%</v>
      </c>
      <c r="O146" s="4" t="str">
        <f t="shared" si="4"/>
        <v>_I010_soil_moisture_1</v>
      </c>
      <c r="P146" s="4" t="str">
        <f t="shared" si="5"/>
        <v>The datastream containing mesures of field  by sensor I010 which measures Soil Moisture.</v>
      </c>
    </row>
    <row r="147" spans="1:16" ht="12.75">
      <c r="A147" s="4" t="s">
        <v>560</v>
      </c>
      <c r="C147" s="4" t="s">
        <v>667</v>
      </c>
      <c r="F147" s="4" t="s">
        <v>105</v>
      </c>
      <c r="G147" s="143" t="s">
        <v>619</v>
      </c>
      <c r="H147" s="4" t="str">
        <f>VLOOKUP(F147,'All sensors Installed'!$A$2:$K$1083,6,)</f>
        <v>ST04</v>
      </c>
      <c r="I147" s="4" t="str">
        <f>VLOOKUP(F147,'All sensors Installed'!$A$2:$K$1083,11,)</f>
        <v>AC1F09FFFE04E312</v>
      </c>
      <c r="J147" s="4" t="s">
        <v>651</v>
      </c>
      <c r="K147" s="4" t="s">
        <v>644</v>
      </c>
      <c r="L147" s="4" t="str">
        <f>VLOOKUP($K147,'Property names'!$A$1:$D$99,2,FALSE)</f>
        <v>The amount of moisture present in the soil, often expressed as a percentage of the maximum amount the soil could hold at a given temperature.</v>
      </c>
      <c r="M147" s="4" t="str">
        <f>VLOOKUP($K147,'Property names'!$A$1:$D$99,3,FALSE)</f>
        <v>Percentage</v>
      </c>
      <c r="N147" s="4" t="str">
        <f>VLOOKUP($K147,'Property names'!$A$1:$D$99,4,FALSE)</f>
        <v>%</v>
      </c>
      <c r="O147" s="4" t="str">
        <f t="shared" si="4"/>
        <v>_I010_soil_moisture_2</v>
      </c>
      <c r="P147" s="4" t="str">
        <f t="shared" si="5"/>
        <v>The datastream containing mesures of field  by sensor I010 which measures Soil Moisture.</v>
      </c>
    </row>
    <row r="148" spans="1:16" ht="12.75">
      <c r="A148" s="4" t="s">
        <v>560</v>
      </c>
      <c r="C148" s="4" t="s">
        <v>667</v>
      </c>
      <c r="F148" s="4" t="s">
        <v>105</v>
      </c>
      <c r="G148" s="143" t="s">
        <v>619</v>
      </c>
      <c r="H148" s="4" t="str">
        <f>VLOOKUP(F148,'All sensors Installed'!$A$2:$K$1083,6,)</f>
        <v>ST04</v>
      </c>
      <c r="I148" s="4" t="str">
        <f>VLOOKUP(F148,'All sensors Installed'!$A$2:$K$1083,11,)</f>
        <v>AC1F09FFFE04E312</v>
      </c>
      <c r="J148" s="4" t="s">
        <v>652</v>
      </c>
      <c r="K148" s="4" t="s">
        <v>644</v>
      </c>
      <c r="L148" s="4" t="str">
        <f>VLOOKUP($K148,'Property names'!$A$1:$D$99,2,FALSE)</f>
        <v>The amount of moisture present in the soil, often expressed as a percentage of the maximum amount the soil could hold at a given temperature.</v>
      </c>
      <c r="M148" s="4" t="str">
        <f>VLOOKUP($K148,'Property names'!$A$1:$D$99,3,FALSE)</f>
        <v>Percentage</v>
      </c>
      <c r="N148" s="4" t="str">
        <f>VLOOKUP($K148,'Property names'!$A$1:$D$99,4,FALSE)</f>
        <v>%</v>
      </c>
      <c r="O148" s="4" t="str">
        <f t="shared" si="4"/>
        <v>_I010_soil_moisture_3</v>
      </c>
      <c r="P148" s="4" t="str">
        <f t="shared" si="5"/>
        <v>The datastream containing mesures of field  by sensor I010 which measures Soil Moisture.</v>
      </c>
    </row>
    <row r="149" spans="1:16" ht="12.75">
      <c r="A149" s="4" t="s">
        <v>560</v>
      </c>
      <c r="C149" s="4" t="s">
        <v>667</v>
      </c>
      <c r="F149" s="4" t="s">
        <v>105</v>
      </c>
      <c r="G149" s="143" t="s">
        <v>619</v>
      </c>
      <c r="H149" s="4" t="str">
        <f>VLOOKUP(F149,'All sensors Installed'!$A$2:$K$1083,6,)</f>
        <v>ST04</v>
      </c>
      <c r="I149" s="4" t="str">
        <f>VLOOKUP(F149,'All sensors Installed'!$A$2:$K$1083,11,)</f>
        <v>AC1F09FFFE04E312</v>
      </c>
      <c r="J149" s="4" t="s">
        <v>653</v>
      </c>
      <c r="K149" s="4" t="s">
        <v>644</v>
      </c>
      <c r="L149" s="4" t="str">
        <f>VLOOKUP($K149,'Property names'!$A$1:$D$99,2,FALSE)</f>
        <v>The amount of moisture present in the soil, often expressed as a percentage of the maximum amount the soil could hold at a given temperature.</v>
      </c>
      <c r="M149" s="4" t="str">
        <f>VLOOKUP($K149,'Property names'!$A$1:$D$99,3,FALSE)</f>
        <v>Percentage</v>
      </c>
      <c r="N149" s="4" t="str">
        <f>VLOOKUP($K149,'Property names'!$A$1:$D$99,4,FALSE)</f>
        <v>%</v>
      </c>
      <c r="O149" s="4" t="str">
        <f t="shared" si="4"/>
        <v>_I010_soil_moisture_4</v>
      </c>
      <c r="P149" s="4" t="str">
        <f t="shared" si="5"/>
        <v>The datastream containing mesures of field  by sensor I010 which measures Soil Moisture.</v>
      </c>
    </row>
    <row r="150" spans="1:16" ht="12.75">
      <c r="A150" s="4" t="s">
        <v>560</v>
      </c>
      <c r="C150" s="4" t="s">
        <v>667</v>
      </c>
      <c r="F150" s="4" t="s">
        <v>105</v>
      </c>
      <c r="G150" s="143" t="s">
        <v>619</v>
      </c>
      <c r="H150" s="4" t="str">
        <f>VLOOKUP(F150,'All sensors Installed'!$A$2:$K$1083,6,)</f>
        <v>ST04</v>
      </c>
      <c r="I150" s="4" t="str">
        <f>VLOOKUP(F150,'All sensors Installed'!$A$2:$K$1083,11,)</f>
        <v>AC1F09FFFE04E312</v>
      </c>
      <c r="J150" s="4" t="s">
        <v>654</v>
      </c>
      <c r="K150" s="4" t="s">
        <v>644</v>
      </c>
      <c r="L150" s="4" t="str">
        <f>VLOOKUP($K150,'Property names'!$A$1:$D$99,2,FALSE)</f>
        <v>The amount of moisture present in the soil, often expressed as a percentage of the maximum amount the soil could hold at a given temperature.</v>
      </c>
      <c r="M150" s="4" t="str">
        <f>VLOOKUP($K150,'Property names'!$A$1:$D$99,3,FALSE)</f>
        <v>Percentage</v>
      </c>
      <c r="N150" s="4" t="str">
        <f>VLOOKUP($K150,'Property names'!$A$1:$D$99,4,FALSE)</f>
        <v>%</v>
      </c>
      <c r="O150" s="4" t="str">
        <f t="shared" si="4"/>
        <v>_I010_soil_moisture_5</v>
      </c>
      <c r="P150" s="4" t="str">
        <f t="shared" si="5"/>
        <v>The datastream containing mesures of field  by sensor I010 which measures Soil Moisture.</v>
      </c>
    </row>
    <row r="151" spans="1:16" ht="12.75">
      <c r="A151" s="4" t="s">
        <v>560</v>
      </c>
      <c r="C151" s="4" t="s">
        <v>667</v>
      </c>
      <c r="F151" s="4" t="s">
        <v>105</v>
      </c>
      <c r="G151" s="143" t="s">
        <v>619</v>
      </c>
      <c r="H151" s="4" t="str">
        <f>VLOOKUP(F151,'All sensors Installed'!$A$2:$K$1083,6,)</f>
        <v>ST04</v>
      </c>
      <c r="I151" s="4" t="str">
        <f>VLOOKUP(F151,'All sensors Installed'!$A$2:$K$1083,11,)</f>
        <v>AC1F09FFFE04E312</v>
      </c>
      <c r="J151" s="4" t="s">
        <v>655</v>
      </c>
      <c r="K151" s="4" t="s">
        <v>644</v>
      </c>
      <c r="L151" s="4" t="str">
        <f>VLOOKUP($K151,'Property names'!$A$1:$D$99,2,FALSE)</f>
        <v>The amount of moisture present in the soil, often expressed as a percentage of the maximum amount the soil could hold at a given temperature.</v>
      </c>
      <c r="M151" s="4" t="str">
        <f>VLOOKUP($K151,'Property names'!$A$1:$D$99,3,FALSE)</f>
        <v>Percentage</v>
      </c>
      <c r="N151" s="4" t="str">
        <f>VLOOKUP($K151,'Property names'!$A$1:$D$99,4,FALSE)</f>
        <v>%</v>
      </c>
      <c r="O151" s="4" t="str">
        <f t="shared" si="4"/>
        <v>_I010_soil_moisture_6</v>
      </c>
      <c r="P151" s="4" t="str">
        <f t="shared" si="5"/>
        <v>The datastream containing mesures of field  by sensor I010 which measures Soil Moisture.</v>
      </c>
    </row>
    <row r="152" spans="1:16" ht="12.75">
      <c r="A152" s="4" t="s">
        <v>560</v>
      </c>
      <c r="C152" s="4" t="s">
        <v>667</v>
      </c>
      <c r="F152" s="4" t="s">
        <v>105</v>
      </c>
      <c r="G152" s="143" t="s">
        <v>619</v>
      </c>
      <c r="H152" s="4" t="str">
        <f>VLOOKUP(F152,'All sensors Installed'!$A$2:$K$1083,6,)</f>
        <v>ST04</v>
      </c>
      <c r="I152" s="4" t="str">
        <f>VLOOKUP(F152,'All sensors Installed'!$A$2:$K$1083,11,)</f>
        <v>AC1F09FFFE04E312</v>
      </c>
      <c r="J152" s="4" t="s">
        <v>656</v>
      </c>
      <c r="K152" s="4" t="s">
        <v>638</v>
      </c>
      <c r="L152" s="4" t="str">
        <f>VLOOKUP($K152,'Property names'!$A$1:$D$99,2,FALSE)</f>
        <v>The measure of the hotness or coldness of the air.</v>
      </c>
      <c r="M152" s="4" t="str">
        <f>VLOOKUP($K152,'Property names'!$A$1:$D$99,3,FALSE)</f>
        <v>Degrees Celsius</v>
      </c>
      <c r="N152" s="4" t="str">
        <f>VLOOKUP($K152,'Property names'!$A$1:$D$99,4,FALSE)</f>
        <v>ºC</v>
      </c>
      <c r="O152" s="4" t="str">
        <f t="shared" si="4"/>
        <v>_I010_ambient_temperature</v>
      </c>
      <c r="P152" s="4" t="str">
        <f t="shared" si="5"/>
        <v>The datastream containing mesures of field  by sensor I010 which measures Air Temperature.</v>
      </c>
    </row>
    <row r="153" spans="1:16" ht="12.75">
      <c r="A153" s="4" t="s">
        <v>560</v>
      </c>
      <c r="C153" s="4" t="s">
        <v>667</v>
      </c>
      <c r="F153" s="4" t="s">
        <v>105</v>
      </c>
      <c r="G153" s="143" t="s">
        <v>619</v>
      </c>
      <c r="H153" s="4" t="str">
        <f>VLOOKUP(F153,'All sensors Installed'!$A$2:$K$1083,6,)</f>
        <v>ST04</v>
      </c>
      <c r="I153" s="4" t="str">
        <f>VLOOKUP(F153,'All sensors Installed'!$A$2:$K$1083,11,)</f>
        <v>AC1F09FFFE04E312</v>
      </c>
      <c r="J153" s="4" t="s">
        <v>657</v>
      </c>
      <c r="K153" s="4" t="s">
        <v>646</v>
      </c>
      <c r="L153" s="4" t="str">
        <f>VLOOKUP($K153,'Property names'!$A$1:$D$99,2,FALSE)</f>
        <v>The measure of temperature of the soil.</v>
      </c>
      <c r="M153" s="4" t="str">
        <f>VLOOKUP($K153,'Property names'!$A$1:$D$99,3,FALSE)</f>
        <v>Degrees Celsius</v>
      </c>
      <c r="N153" s="4" t="str">
        <f>VLOOKUP($K153,'Property names'!$A$1:$D$99,4,FALSE)</f>
        <v>ºC</v>
      </c>
      <c r="O153" s="4" t="str">
        <f t="shared" si="4"/>
        <v>_I010_soil_temperature_1</v>
      </c>
      <c r="P153" s="4" t="str">
        <f t="shared" si="5"/>
        <v>The datastream containing mesures of field  by sensor I010 which measures Soil Temperature.</v>
      </c>
    </row>
    <row r="154" spans="1:16" ht="12.75">
      <c r="A154" s="4" t="s">
        <v>560</v>
      </c>
      <c r="C154" s="4" t="s">
        <v>667</v>
      </c>
      <c r="F154" s="4" t="s">
        <v>105</v>
      </c>
      <c r="G154" s="143" t="s">
        <v>619</v>
      </c>
      <c r="H154" s="4" t="str">
        <f>VLOOKUP(F154,'All sensors Installed'!$A$2:$K$1083,6,)</f>
        <v>ST04</v>
      </c>
      <c r="I154" s="4" t="str">
        <f>VLOOKUP(F154,'All sensors Installed'!$A$2:$K$1083,11,)</f>
        <v>AC1F09FFFE04E312</v>
      </c>
      <c r="J154" s="4" t="s">
        <v>658</v>
      </c>
      <c r="K154" s="4" t="s">
        <v>646</v>
      </c>
      <c r="L154" s="4" t="str">
        <f>VLOOKUP($K154,'Property names'!$A$1:$D$99,2,FALSE)</f>
        <v>The measure of temperature of the soil.</v>
      </c>
      <c r="M154" s="4" t="str">
        <f>VLOOKUP($K154,'Property names'!$A$1:$D$99,3,FALSE)</f>
        <v>Degrees Celsius</v>
      </c>
      <c r="N154" s="4" t="str">
        <f>VLOOKUP($K154,'Property names'!$A$1:$D$99,4,FALSE)</f>
        <v>ºC</v>
      </c>
      <c r="O154" s="4" t="str">
        <f t="shared" si="4"/>
        <v>_I010_soil_temperature_2</v>
      </c>
      <c r="P154" s="4" t="str">
        <f t="shared" si="5"/>
        <v>The datastream containing mesures of field  by sensor I010 which measures Soil Temperature.</v>
      </c>
    </row>
    <row r="155" spans="1:16" ht="12.75">
      <c r="A155" s="4" t="s">
        <v>560</v>
      </c>
      <c r="C155" s="4" t="s">
        <v>667</v>
      </c>
      <c r="F155" s="4" t="s">
        <v>105</v>
      </c>
      <c r="G155" s="143" t="s">
        <v>619</v>
      </c>
      <c r="H155" s="4" t="str">
        <f>VLOOKUP(F155,'All sensors Installed'!$A$2:$K$1083,6,)</f>
        <v>ST04</v>
      </c>
      <c r="I155" s="4" t="str">
        <f>VLOOKUP(F155,'All sensors Installed'!$A$2:$K$1083,11,)</f>
        <v>AC1F09FFFE04E312</v>
      </c>
      <c r="J155" s="4" t="s">
        <v>659</v>
      </c>
      <c r="K155" s="4" t="s">
        <v>646</v>
      </c>
      <c r="L155" s="4" t="str">
        <f>VLOOKUP($K155,'Property names'!$A$1:$D$99,2,FALSE)</f>
        <v>The measure of temperature of the soil.</v>
      </c>
      <c r="M155" s="4" t="str">
        <f>VLOOKUP($K155,'Property names'!$A$1:$D$99,3,FALSE)</f>
        <v>Degrees Celsius</v>
      </c>
      <c r="N155" s="4" t="str">
        <f>VLOOKUP($K155,'Property names'!$A$1:$D$99,4,FALSE)</f>
        <v>ºC</v>
      </c>
      <c r="O155" s="4" t="str">
        <f t="shared" si="4"/>
        <v>_I010_soil_temperature_3</v>
      </c>
      <c r="P155" s="4" t="str">
        <f t="shared" si="5"/>
        <v>The datastream containing mesures of field  by sensor I010 which measures Soil Temperature.</v>
      </c>
    </row>
    <row r="156" spans="1:16" ht="12.75">
      <c r="A156" s="4" t="s">
        <v>560</v>
      </c>
      <c r="C156" s="4" t="s">
        <v>667</v>
      </c>
      <c r="F156" s="4" t="s">
        <v>105</v>
      </c>
      <c r="G156" s="143" t="s">
        <v>619</v>
      </c>
      <c r="H156" s="4" t="str">
        <f>VLOOKUP(F156,'All sensors Installed'!$A$2:$K$1083,6,)</f>
        <v>ST04</v>
      </c>
      <c r="I156" s="4" t="str">
        <f>VLOOKUP(F156,'All sensors Installed'!$A$2:$K$1083,11,)</f>
        <v>AC1F09FFFE04E312</v>
      </c>
      <c r="J156" s="4" t="s">
        <v>660</v>
      </c>
      <c r="K156" s="4" t="s">
        <v>646</v>
      </c>
      <c r="L156" s="4" t="str">
        <f>VLOOKUP($K156,'Property names'!$A$1:$D$99,2,FALSE)</f>
        <v>The measure of temperature of the soil.</v>
      </c>
      <c r="M156" s="4" t="str">
        <f>VLOOKUP($K156,'Property names'!$A$1:$D$99,3,FALSE)</f>
        <v>Degrees Celsius</v>
      </c>
      <c r="N156" s="4" t="str">
        <f>VLOOKUP($K156,'Property names'!$A$1:$D$99,4,FALSE)</f>
        <v>ºC</v>
      </c>
      <c r="O156" s="4" t="str">
        <f t="shared" si="4"/>
        <v>_I010_soil_temperature_4</v>
      </c>
      <c r="P156" s="4" t="str">
        <f t="shared" si="5"/>
        <v>The datastream containing mesures of field  by sensor I010 which measures Soil Temperature.</v>
      </c>
    </row>
    <row r="157" spans="1:16" ht="12.75">
      <c r="A157" s="4" t="s">
        <v>560</v>
      </c>
      <c r="C157" s="4" t="s">
        <v>667</v>
      </c>
      <c r="F157" s="4" t="s">
        <v>105</v>
      </c>
      <c r="G157" s="143" t="s">
        <v>619</v>
      </c>
      <c r="H157" s="4" t="str">
        <f>VLOOKUP(F157,'All sensors Installed'!$A$2:$K$1083,6,)</f>
        <v>ST04</v>
      </c>
      <c r="I157" s="4" t="str">
        <f>VLOOKUP(F157,'All sensors Installed'!$A$2:$K$1083,11,)</f>
        <v>AC1F09FFFE04E312</v>
      </c>
      <c r="J157" s="4" t="s">
        <v>661</v>
      </c>
      <c r="K157" s="4" t="s">
        <v>646</v>
      </c>
      <c r="L157" s="4" t="str">
        <f>VLOOKUP($K157,'Property names'!$A$1:$D$99,2,FALSE)</f>
        <v>The measure of temperature of the soil.</v>
      </c>
      <c r="M157" s="4" t="str">
        <f>VLOOKUP($K157,'Property names'!$A$1:$D$99,3,FALSE)</f>
        <v>Degrees Celsius</v>
      </c>
      <c r="N157" s="4" t="str">
        <f>VLOOKUP($K157,'Property names'!$A$1:$D$99,4,FALSE)</f>
        <v>ºC</v>
      </c>
      <c r="O157" s="4" t="str">
        <f t="shared" si="4"/>
        <v>_I010_soil_temperature_5</v>
      </c>
      <c r="P157" s="4" t="str">
        <f t="shared" si="5"/>
        <v>The datastream containing mesures of field  by sensor I010 which measures Soil Temperature.</v>
      </c>
    </row>
    <row r="158" spans="1:16" ht="12.75">
      <c r="A158" s="4" t="s">
        <v>560</v>
      </c>
      <c r="C158" s="4" t="s">
        <v>667</v>
      </c>
      <c r="F158" s="4" t="s">
        <v>105</v>
      </c>
      <c r="G158" s="143" t="s">
        <v>619</v>
      </c>
      <c r="H158" s="4" t="str">
        <f>VLOOKUP(F158,'All sensors Installed'!$A$2:$K$1083,6,)</f>
        <v>ST04</v>
      </c>
      <c r="I158" s="4" t="str">
        <f>VLOOKUP(F158,'All sensors Installed'!$A$2:$K$1083,11,)</f>
        <v>AC1F09FFFE04E312</v>
      </c>
      <c r="J158" s="4" t="s">
        <v>662</v>
      </c>
      <c r="K158" s="4" t="s">
        <v>646</v>
      </c>
      <c r="L158" s="4" t="str">
        <f>VLOOKUP($K158,'Property names'!$A$1:$D$99,2,FALSE)</f>
        <v>The measure of temperature of the soil.</v>
      </c>
      <c r="M158" s="4" t="str">
        <f>VLOOKUP($K158,'Property names'!$A$1:$D$99,3,FALSE)</f>
        <v>Degrees Celsius</v>
      </c>
      <c r="N158" s="4" t="str">
        <f>VLOOKUP($K158,'Property names'!$A$1:$D$99,4,FALSE)</f>
        <v>ºC</v>
      </c>
      <c r="O158" s="4" t="str">
        <f t="shared" si="4"/>
        <v>_I010_soil_temperature_6</v>
      </c>
      <c r="P158" s="4" t="str">
        <f t="shared" si="5"/>
        <v>The datastream containing mesures of field  by sensor I010 which measures Soil Temperature.</v>
      </c>
    </row>
    <row r="159" spans="1:16" ht="12.75">
      <c r="G159" s="4"/>
      <c r="L159" s="4"/>
      <c r="M159" s="4"/>
      <c r="N159" s="4"/>
      <c r="P159" s="4"/>
    </row>
    <row r="160" spans="1:16" ht="12.75">
      <c r="A160" s="4" t="s">
        <v>560</v>
      </c>
      <c r="C160" s="4" t="s">
        <v>667</v>
      </c>
      <c r="F160" s="4" t="s">
        <v>107</v>
      </c>
      <c r="G160" s="4" t="s">
        <v>673</v>
      </c>
      <c r="J160" s="4" t="s">
        <v>674</v>
      </c>
      <c r="K160" s="4"/>
      <c r="L160" s="4" t="e">
        <f>VLOOKUP($K160,'Property names'!$A$1:$D$99,2,FALSE)</f>
        <v>#N/A</v>
      </c>
      <c r="M160" s="4" t="e">
        <f>VLOOKUP($K160,'Property names'!$A$1:$D$99,3,FALSE)</f>
        <v>#N/A</v>
      </c>
      <c r="N160" s="4" t="e">
        <f>VLOOKUP($K160,'Property names'!$A$1:$D$99,4,FALSE)</f>
        <v>#N/A</v>
      </c>
      <c r="P160" s="4"/>
    </row>
    <row r="161" spans="1:16" ht="12.75">
      <c r="G161" s="4"/>
      <c r="J161" s="4" t="s">
        <v>675</v>
      </c>
      <c r="K161" s="4"/>
      <c r="L161" s="4" t="e">
        <f>VLOOKUP($K161,'Property names'!$A$1:$D$99,2,FALSE)</f>
        <v>#N/A</v>
      </c>
      <c r="M161" s="4" t="e">
        <f>VLOOKUP($K161,'Property names'!$A$1:$D$99,3,FALSE)</f>
        <v>#N/A</v>
      </c>
      <c r="N161" s="4" t="e">
        <f>VLOOKUP($K161,'Property names'!$A$1:$D$99,4,FALSE)</f>
        <v>#N/A</v>
      </c>
      <c r="P161" s="4"/>
    </row>
    <row r="162" spans="1:16" ht="12.75">
      <c r="G162" s="4"/>
      <c r="J162" s="4" t="s">
        <v>676</v>
      </c>
      <c r="K162" s="4"/>
      <c r="L162" s="4" t="e">
        <f>VLOOKUP($K162,'Property names'!$A$1:$D$99,2,FALSE)</f>
        <v>#N/A</v>
      </c>
      <c r="M162" s="4" t="e">
        <f>VLOOKUP($K162,'Property names'!$A$1:$D$99,3,FALSE)</f>
        <v>#N/A</v>
      </c>
      <c r="N162" s="4" t="e">
        <f>VLOOKUP($K162,'Property names'!$A$1:$D$99,4,FALSE)</f>
        <v>#N/A</v>
      </c>
      <c r="P162" s="4"/>
    </row>
    <row r="163" spans="1:16" ht="12.75">
      <c r="G163" s="4"/>
      <c r="J163" s="4" t="s">
        <v>677</v>
      </c>
      <c r="K163" s="4"/>
      <c r="L163" s="4" t="e">
        <f>VLOOKUP($K163,'Property names'!$A$1:$D$99,2,FALSE)</f>
        <v>#N/A</v>
      </c>
      <c r="M163" s="4" t="e">
        <f>VLOOKUP($K163,'Property names'!$A$1:$D$99,3,FALSE)</f>
        <v>#N/A</v>
      </c>
      <c r="N163" s="4" t="e">
        <f>VLOOKUP($K163,'Property names'!$A$1:$D$99,4,FALSE)</f>
        <v>#N/A</v>
      </c>
      <c r="P163" s="4"/>
    </row>
    <row r="164" spans="1:16" ht="12.75">
      <c r="G164" s="4"/>
      <c r="J164" s="4" t="s">
        <v>678</v>
      </c>
      <c r="K164" s="4"/>
      <c r="L164" s="4" t="e">
        <f>VLOOKUP($K164,'Property names'!$A$1:$D$99,2,FALSE)</f>
        <v>#N/A</v>
      </c>
      <c r="M164" s="4" t="e">
        <f>VLOOKUP($K164,'Property names'!$A$1:$D$99,3,FALSE)</f>
        <v>#N/A</v>
      </c>
      <c r="N164" s="4" t="e">
        <f>VLOOKUP($K164,'Property names'!$A$1:$D$99,4,FALSE)</f>
        <v>#N/A</v>
      </c>
      <c r="P164" s="4"/>
    </row>
    <row r="165" spans="1:16" ht="12.75">
      <c r="G165" s="4"/>
      <c r="J165" s="4" t="s">
        <v>679</v>
      </c>
      <c r="K165" s="4"/>
      <c r="L165" s="4" t="e">
        <f>VLOOKUP($K165,'Property names'!$A$1:$D$99,2,FALSE)</f>
        <v>#N/A</v>
      </c>
      <c r="M165" s="4" t="e">
        <f>VLOOKUP($K165,'Property names'!$A$1:$D$99,3,FALSE)</f>
        <v>#N/A</v>
      </c>
      <c r="N165" s="4" t="e">
        <f>VLOOKUP($K165,'Property names'!$A$1:$D$99,4,FALSE)</f>
        <v>#N/A</v>
      </c>
      <c r="P165" s="4"/>
    </row>
    <row r="166" spans="1:16" ht="12.75">
      <c r="G166" s="4"/>
      <c r="J166" s="4" t="s">
        <v>680</v>
      </c>
      <c r="K166" s="4"/>
      <c r="L166" s="4" t="e">
        <f>VLOOKUP($K166,'Property names'!$A$1:$D$99,2,FALSE)</f>
        <v>#N/A</v>
      </c>
      <c r="M166" s="4" t="e">
        <f>VLOOKUP($K166,'Property names'!$A$1:$D$99,3,FALSE)</f>
        <v>#N/A</v>
      </c>
      <c r="N166" s="4" t="e">
        <f>VLOOKUP($K166,'Property names'!$A$1:$D$99,4,FALSE)</f>
        <v>#N/A</v>
      </c>
      <c r="P166" s="4"/>
    </row>
    <row r="167" spans="1:16" ht="12.75">
      <c r="G167" s="4"/>
      <c r="J167" s="4" t="s">
        <v>681</v>
      </c>
      <c r="K167" s="4"/>
      <c r="L167" s="4" t="e">
        <f>VLOOKUP($K167,'Property names'!$A$1:$D$99,2,FALSE)</f>
        <v>#N/A</v>
      </c>
      <c r="M167" s="4" t="e">
        <f>VLOOKUP($K167,'Property names'!$A$1:$D$99,3,FALSE)</f>
        <v>#N/A</v>
      </c>
      <c r="N167" s="4" t="e">
        <f>VLOOKUP($K167,'Property names'!$A$1:$D$99,4,FALSE)</f>
        <v>#N/A</v>
      </c>
      <c r="P167" s="4"/>
    </row>
    <row r="168" spans="1:16" ht="12.75">
      <c r="G168" s="4"/>
      <c r="J168" s="4" t="s">
        <v>682</v>
      </c>
      <c r="K168" s="4"/>
      <c r="L168" s="4" t="e">
        <f>VLOOKUP($K168,'Property names'!$A$1:$D$99,2,FALSE)</f>
        <v>#N/A</v>
      </c>
      <c r="M168" s="4" t="e">
        <f>VLOOKUP($K168,'Property names'!$A$1:$D$99,3,FALSE)</f>
        <v>#N/A</v>
      </c>
      <c r="N168" s="4" t="e">
        <f>VLOOKUP($K168,'Property names'!$A$1:$D$99,4,FALSE)</f>
        <v>#N/A</v>
      </c>
      <c r="P168" s="4"/>
    </row>
    <row r="169" spans="1:16" ht="12.75">
      <c r="G169" s="4"/>
      <c r="J169" s="4" t="s">
        <v>683</v>
      </c>
      <c r="K169" s="4"/>
      <c r="L169" s="4" t="e">
        <f>VLOOKUP($K169,'Property names'!$A$1:$D$99,2,FALSE)</f>
        <v>#N/A</v>
      </c>
      <c r="M169" s="4" t="e">
        <f>VLOOKUP($K169,'Property names'!$A$1:$D$99,3,FALSE)</f>
        <v>#N/A</v>
      </c>
      <c r="N169" s="4" t="e">
        <f>VLOOKUP($K169,'Property names'!$A$1:$D$99,4,FALSE)</f>
        <v>#N/A</v>
      </c>
      <c r="P169" s="4"/>
    </row>
    <row r="170" spans="1:16" ht="12.75">
      <c r="G170" s="4"/>
      <c r="J170" s="4" t="s">
        <v>684</v>
      </c>
      <c r="K170" s="4"/>
      <c r="L170" s="4" t="e">
        <f>VLOOKUP($K170,'Property names'!$A$1:$D$99,2,FALSE)</f>
        <v>#N/A</v>
      </c>
      <c r="M170" s="4" t="e">
        <f>VLOOKUP($K170,'Property names'!$A$1:$D$99,3,FALSE)</f>
        <v>#N/A</v>
      </c>
      <c r="N170" s="4" t="e">
        <f>VLOOKUP($K170,'Property names'!$A$1:$D$99,4,FALSE)</f>
        <v>#N/A</v>
      </c>
      <c r="P170" s="4"/>
    </row>
    <row r="171" spans="1:16" ht="12.75">
      <c r="G171" s="4"/>
      <c r="J171" s="4" t="s">
        <v>685</v>
      </c>
      <c r="K171" s="4"/>
      <c r="L171" s="4" t="e">
        <f>VLOOKUP($K171,'Property names'!$A$1:$D$99,2,FALSE)</f>
        <v>#N/A</v>
      </c>
      <c r="M171" s="4" t="e">
        <f>VLOOKUP($K171,'Property names'!$A$1:$D$99,3,FALSE)</f>
        <v>#N/A</v>
      </c>
      <c r="N171" s="4" t="e">
        <f>VLOOKUP($K171,'Property names'!$A$1:$D$99,4,FALSE)</f>
        <v>#N/A</v>
      </c>
      <c r="P171" s="4"/>
    </row>
    <row r="172" spans="1:16" ht="12.75">
      <c r="G172" s="4"/>
      <c r="J172" s="4" t="s">
        <v>686</v>
      </c>
      <c r="K172" s="4"/>
      <c r="L172" s="4" t="e">
        <f>VLOOKUP($K172,'Property names'!$A$1:$D$99,2,FALSE)</f>
        <v>#N/A</v>
      </c>
      <c r="M172" s="4" t="e">
        <f>VLOOKUP($K172,'Property names'!$A$1:$D$99,3,FALSE)</f>
        <v>#N/A</v>
      </c>
      <c r="N172" s="4" t="e">
        <f>VLOOKUP($K172,'Property names'!$A$1:$D$99,4,FALSE)</f>
        <v>#N/A</v>
      </c>
      <c r="P172" s="4"/>
    </row>
    <row r="173" spans="1:16" ht="12.75">
      <c r="G173" s="4"/>
      <c r="L173" s="4"/>
      <c r="M173" s="4"/>
      <c r="N173" s="4"/>
      <c r="P173" s="4"/>
    </row>
    <row r="174" spans="1:16" ht="12.75">
      <c r="A174" s="4" t="s">
        <v>176</v>
      </c>
      <c r="B174" s="4" t="s">
        <v>687</v>
      </c>
      <c r="C174" s="4" t="s">
        <v>688</v>
      </c>
      <c r="D174" s="4">
        <v>35.617547199999997</v>
      </c>
      <c r="E174" s="4">
        <v>32.190469499999999</v>
      </c>
      <c r="F174" s="4" t="s">
        <v>687</v>
      </c>
      <c r="G174" s="4" t="s">
        <v>689</v>
      </c>
      <c r="H174" s="4" t="s">
        <v>690</v>
      </c>
      <c r="I174" s="4" t="s">
        <v>691</v>
      </c>
      <c r="J174" s="4" t="s">
        <v>638</v>
      </c>
      <c r="K174" s="4" t="s">
        <v>638</v>
      </c>
      <c r="L174" s="4" t="str">
        <f>VLOOKUP($K174,'Property names'!$A$1:$D$99,2,FALSE)</f>
        <v>The measure of the hotness or coldness of the air.</v>
      </c>
      <c r="M174" s="4" t="str">
        <f>VLOOKUP($K174,'Property names'!$A$1:$D$99,3,FALSE)</f>
        <v>Degrees Celsius</v>
      </c>
      <c r="N174" s="4" t="str">
        <f>VLOOKUP($K174,'Property names'!$A$1:$D$99,4,FALSE)</f>
        <v>ºC</v>
      </c>
      <c r="O174" s="4" t="str">
        <f t="shared" ref="O174:O213" si="6">SUBSTITUTE(CONCATENATE(B174,"_",F174,"_",J174)," ","_")</f>
        <v>z6-19947_z6-19947_Air_Temperature</v>
      </c>
      <c r="P174" s="4" t="str">
        <f t="shared" ref="P174:P213" si="7">CONCATENATE("The datastream containing mesures of field ",B174," by sensor ",F174," which measures ",K174,".")</f>
        <v>The datastream containing mesures of field z6-19947 by sensor z6-19947 which measures Air Temperature.</v>
      </c>
    </row>
    <row r="175" spans="1:16" ht="12.75">
      <c r="A175" s="4" t="s">
        <v>176</v>
      </c>
      <c r="B175" s="4" t="s">
        <v>687</v>
      </c>
      <c r="C175" s="4" t="s">
        <v>688</v>
      </c>
      <c r="D175" s="4">
        <v>35.617547199999997</v>
      </c>
      <c r="E175" s="4">
        <v>32.190469499999999</v>
      </c>
      <c r="F175" s="4" t="s">
        <v>687</v>
      </c>
      <c r="G175" s="4" t="s">
        <v>689</v>
      </c>
      <c r="H175" s="4" t="s">
        <v>690</v>
      </c>
      <c r="I175" s="4" t="s">
        <v>691</v>
      </c>
      <c r="J175" s="4" t="s">
        <v>692</v>
      </c>
      <c r="K175" s="4" t="s">
        <v>692</v>
      </c>
      <c r="L175" s="4" t="str">
        <f>VLOOKUP($K175,'Property names'!$A$1:$D$99,2,FALSE)</f>
        <v>The force exerted by the weight of the air above a given point on Earth's surface, which can vary with changes in weather and altitude.</v>
      </c>
      <c r="M175" s="4" t="str">
        <f>VLOOKUP($K175,'Property names'!$A$1:$D$99,3,FALSE)</f>
        <v>Kilopascal</v>
      </c>
      <c r="N175" s="4" t="str">
        <f>VLOOKUP($K175,'Property names'!$A$1:$D$99,4,FALSE)</f>
        <v>kPa</v>
      </c>
      <c r="O175" s="4" t="str">
        <f t="shared" si="6"/>
        <v>z6-19947_z6-19947_Atmospheric_Pressure</v>
      </c>
      <c r="P175" s="4" t="str">
        <f t="shared" si="7"/>
        <v>The datastream containing mesures of field z6-19947 by sensor z6-19947 which measures Atmospheric Pressure.</v>
      </c>
    </row>
    <row r="176" spans="1:16" ht="12.75">
      <c r="A176" s="4" t="s">
        <v>176</v>
      </c>
      <c r="B176" s="4" t="s">
        <v>687</v>
      </c>
      <c r="C176" s="4" t="s">
        <v>688</v>
      </c>
      <c r="D176" s="4">
        <v>35.617547199999997</v>
      </c>
      <c r="E176" s="4">
        <v>32.190469499999999</v>
      </c>
      <c r="F176" s="4" t="s">
        <v>687</v>
      </c>
      <c r="G176" s="4" t="s">
        <v>689</v>
      </c>
      <c r="H176" s="4" t="s">
        <v>690</v>
      </c>
      <c r="I176" s="4" t="s">
        <v>691</v>
      </c>
      <c r="J176" s="4" t="s">
        <v>693</v>
      </c>
      <c r="K176" s="4" t="s">
        <v>647</v>
      </c>
      <c r="L176" s="4" t="str">
        <f>VLOOKUP($K176,'Property names'!$A$1:$D$99,2,FALSE)</f>
        <v>The percentage of battery level associated to the specific sensor.</v>
      </c>
      <c r="M176" s="4" t="str">
        <f>VLOOKUP($K176,'Property names'!$A$1:$D$99,3,FALSE)</f>
        <v>Percentage</v>
      </c>
      <c r="N176" s="4" t="str">
        <f>VLOOKUP($K176,'Property names'!$A$1:$D$99,4,FALSE)</f>
        <v>%</v>
      </c>
      <c r="O176" s="4" t="str">
        <f t="shared" si="6"/>
        <v>z6-19947_z6-19947_Battery_Percent</v>
      </c>
      <c r="P176" s="4" t="str">
        <f t="shared" si="7"/>
        <v>The datastream containing mesures of field z6-19947 by sensor z6-19947 which measures Battery Level.</v>
      </c>
    </row>
    <row r="177" spans="1:16" ht="12.75">
      <c r="A177" s="4" t="s">
        <v>176</v>
      </c>
      <c r="B177" s="4" t="s">
        <v>687</v>
      </c>
      <c r="C177" s="4" t="s">
        <v>688</v>
      </c>
      <c r="D177" s="4">
        <v>35.617547199999997</v>
      </c>
      <c r="E177" s="4">
        <v>32.190469499999999</v>
      </c>
      <c r="F177" s="4" t="s">
        <v>687</v>
      </c>
      <c r="G177" s="4" t="s">
        <v>689</v>
      </c>
      <c r="H177" s="4" t="s">
        <v>690</v>
      </c>
      <c r="I177" s="4" t="s">
        <v>691</v>
      </c>
      <c r="J177" s="4" t="s">
        <v>694</v>
      </c>
      <c r="K177" s="4" t="s">
        <v>694</v>
      </c>
      <c r="L177" s="4" t="str">
        <f>VLOOKUP($K177,'Property names'!$A$1:$D$99,2,FALSE)</f>
        <v>The electrical potential in a battery, indicating its charge level.</v>
      </c>
      <c r="M177" s="4" t="str">
        <f>VLOOKUP($K177,'Property names'!$A$1:$D$99,3,FALSE)</f>
        <v>Millivolts</v>
      </c>
      <c r="N177" s="4" t="str">
        <f>VLOOKUP($K177,'Property names'!$A$1:$D$99,4,FALSE)</f>
        <v>mV</v>
      </c>
      <c r="O177" s="4" t="str">
        <f t="shared" si="6"/>
        <v>z6-19947_z6-19947_Battery_Voltage</v>
      </c>
      <c r="P177" s="4" t="str">
        <f t="shared" si="7"/>
        <v>The datastream containing mesures of field z6-19947 by sensor z6-19947 which measures Battery Voltage.</v>
      </c>
    </row>
    <row r="178" spans="1:16" ht="12.75">
      <c r="A178" s="4" t="s">
        <v>176</v>
      </c>
      <c r="B178" s="4" t="s">
        <v>687</v>
      </c>
      <c r="C178" s="4" t="s">
        <v>688</v>
      </c>
      <c r="D178" s="4">
        <v>35.617547199999997</v>
      </c>
      <c r="E178" s="4">
        <v>32.190469499999999</v>
      </c>
      <c r="F178" s="4" t="s">
        <v>687</v>
      </c>
      <c r="G178" s="4" t="s">
        <v>689</v>
      </c>
      <c r="H178" s="4" t="s">
        <v>690</v>
      </c>
      <c r="I178" s="4" t="s">
        <v>691</v>
      </c>
      <c r="J178" s="4" t="s">
        <v>695</v>
      </c>
      <c r="K178" s="4" t="s">
        <v>695</v>
      </c>
      <c r="L178" s="4" t="str">
        <f>VLOOKUP($K178,'Property names'!$A$1:$D$99,2,FALSE)</f>
        <v>The maximum sudden burst of wind speed.</v>
      </c>
      <c r="M178" s="4" t="str">
        <f>VLOOKUP($K178,'Property names'!$A$1:$D$99,3,FALSE)</f>
        <v>Meters per second</v>
      </c>
      <c r="N178" s="4" t="str">
        <f>VLOOKUP($K178,'Property names'!$A$1:$D$99,4,FALSE)</f>
        <v>m/s</v>
      </c>
      <c r="O178" s="4" t="str">
        <f t="shared" si="6"/>
        <v>z6-19947_z6-19947_Gust_Speed</v>
      </c>
      <c r="P178" s="4" t="str">
        <f t="shared" si="7"/>
        <v>The datastream containing mesures of field z6-19947 by sensor z6-19947 which measures Gust Speed.</v>
      </c>
    </row>
    <row r="179" spans="1:16" ht="12.75">
      <c r="A179" s="4" t="s">
        <v>176</v>
      </c>
      <c r="B179" s="4" t="s">
        <v>687</v>
      </c>
      <c r="C179" s="4" t="s">
        <v>688</v>
      </c>
      <c r="D179" s="4">
        <v>35.617547199999997</v>
      </c>
      <c r="E179" s="4">
        <v>32.190469499999999</v>
      </c>
      <c r="F179" s="4" t="s">
        <v>687</v>
      </c>
      <c r="G179" s="4" t="s">
        <v>689</v>
      </c>
      <c r="H179" s="4" t="s">
        <v>690</v>
      </c>
      <c r="I179" s="4" t="s">
        <v>691</v>
      </c>
      <c r="J179" s="4" t="s">
        <v>696</v>
      </c>
      <c r="K179" s="4" t="s">
        <v>696</v>
      </c>
      <c r="L179" s="4" t="str">
        <f>VLOOKUP($K179,'Property names'!$A$1:$D$99,2,FALSE)</f>
        <v>The occurrence of electrical discharges in the atmosphere, typically during thunderstorms.</v>
      </c>
      <c r="M179" s="4" t="str">
        <f>VLOOKUP($K179,'Property names'!$A$1:$D$99,3,FALSE)</f>
        <v>N/A</v>
      </c>
      <c r="N179" s="4" t="str">
        <f>VLOOKUP($K179,'Property names'!$A$1:$D$99,4,FALSE)</f>
        <v>N/A</v>
      </c>
      <c r="O179" s="4" t="str">
        <f t="shared" si="6"/>
        <v>z6-19947_z6-19947_Lightning_Activity</v>
      </c>
      <c r="P179" s="4" t="str">
        <f t="shared" si="7"/>
        <v>The datastream containing mesures of field z6-19947 by sensor z6-19947 which measures Lightning Activity.</v>
      </c>
    </row>
    <row r="180" spans="1:16" ht="12.75">
      <c r="A180" s="4" t="s">
        <v>176</v>
      </c>
      <c r="B180" s="4" t="s">
        <v>687</v>
      </c>
      <c r="C180" s="4" t="s">
        <v>688</v>
      </c>
      <c r="D180" s="4">
        <v>35.617547199999997</v>
      </c>
      <c r="E180" s="4">
        <v>32.190469499999999</v>
      </c>
      <c r="F180" s="4" t="s">
        <v>687</v>
      </c>
      <c r="G180" s="4" t="s">
        <v>689</v>
      </c>
      <c r="H180" s="4" t="s">
        <v>690</v>
      </c>
      <c r="I180" s="4" t="s">
        <v>691</v>
      </c>
      <c r="J180" s="4" t="s">
        <v>697</v>
      </c>
      <c r="K180" s="4" t="s">
        <v>697</v>
      </c>
      <c r="L180" s="4" t="str">
        <f>VLOOKUP($K180,'Property names'!$A$1:$D$99,2,FALSE)</f>
        <v>The distance from a location to the nearest lightning strike.</v>
      </c>
      <c r="M180" s="4" t="str">
        <f>VLOOKUP($K180,'Property names'!$A$1:$D$99,3,FALSE)</f>
        <v>Kilometers</v>
      </c>
      <c r="N180" s="4" t="str">
        <f>VLOOKUP($K180,'Property names'!$A$1:$D$99,4,FALSE)</f>
        <v>km</v>
      </c>
      <c r="O180" s="4" t="str">
        <f t="shared" si="6"/>
        <v>z6-19947_z6-19947_Lightning_Distance</v>
      </c>
      <c r="P180" s="4" t="str">
        <f t="shared" si="7"/>
        <v>The datastream containing mesures of field z6-19947 by sensor z6-19947 which measures Lightning Distance.</v>
      </c>
    </row>
    <row r="181" spans="1:16" ht="12.75">
      <c r="A181" s="4" t="s">
        <v>176</v>
      </c>
      <c r="B181" s="4" t="s">
        <v>687</v>
      </c>
      <c r="C181" s="4" t="s">
        <v>688</v>
      </c>
      <c r="D181" s="4">
        <v>35.617547199999997</v>
      </c>
      <c r="E181" s="4">
        <v>32.190469499999999</v>
      </c>
      <c r="F181" s="4" t="s">
        <v>687</v>
      </c>
      <c r="G181" s="4" t="s">
        <v>689</v>
      </c>
      <c r="H181" s="4" t="s">
        <v>690</v>
      </c>
      <c r="I181" s="4" t="s">
        <v>691</v>
      </c>
      <c r="J181" s="4" t="s">
        <v>698</v>
      </c>
      <c r="K181" s="4" t="s">
        <v>698</v>
      </c>
      <c r="L181" s="4" t="str">
        <f>VLOOKUP($K181,'Property names'!$A$1:$D$99,2,FALSE)</f>
        <v>The temperature measured by a data logger or recording device.</v>
      </c>
      <c r="M181" s="4" t="str">
        <f>VLOOKUP($K181,'Property names'!$A$1:$D$99,3,FALSE)</f>
        <v>Degrees Celsius</v>
      </c>
      <c r="N181" s="4" t="str">
        <f>VLOOKUP($K181,'Property names'!$A$1:$D$99,4,FALSE)</f>
        <v>ºC</v>
      </c>
      <c r="O181" s="4" t="str">
        <f t="shared" si="6"/>
        <v>z6-19947_z6-19947_Logger_Temperature</v>
      </c>
      <c r="P181" s="4" t="str">
        <f t="shared" si="7"/>
        <v>The datastream containing mesures of field z6-19947 by sensor z6-19947 which measures Logger Temperature.</v>
      </c>
    </row>
    <row r="182" spans="1:16" ht="12.75">
      <c r="A182" s="4" t="s">
        <v>176</v>
      </c>
      <c r="B182" s="4" t="s">
        <v>687</v>
      </c>
      <c r="C182" s="4" t="s">
        <v>688</v>
      </c>
      <c r="D182" s="4">
        <v>35.617547199999997</v>
      </c>
      <c r="E182" s="4">
        <v>32.190469499999999</v>
      </c>
      <c r="F182" s="4" t="s">
        <v>687</v>
      </c>
      <c r="G182" s="4" t="s">
        <v>689</v>
      </c>
      <c r="H182" s="4" t="s">
        <v>690</v>
      </c>
      <c r="I182" s="4" t="s">
        <v>691</v>
      </c>
      <c r="J182" s="4" t="s">
        <v>699</v>
      </c>
      <c r="K182" s="4" t="s">
        <v>700</v>
      </c>
      <c r="L182" s="4" t="str">
        <f>VLOOKUP($K182,'Property names'!$A$1:$D$99,2,FALSE)</f>
        <v>The highest rate at which rain or other forms of precipitation fall in a given period.</v>
      </c>
      <c r="M182" s="4" t="str">
        <f>VLOOKUP($K182,'Property names'!$A$1:$D$99,3,FALSE)</f>
        <v>Millimeters per hour</v>
      </c>
      <c r="N182" s="4" t="str">
        <f>VLOOKUP($K182,'Property names'!$A$1:$D$99,4,FALSE)</f>
        <v>mm/h</v>
      </c>
      <c r="O182" s="4" t="str">
        <f t="shared" si="6"/>
        <v>z6-19947_z6-19947_Max_Precip_Rate</v>
      </c>
      <c r="P182" s="4" t="str">
        <f t="shared" si="7"/>
        <v>The datastream containing mesures of field z6-19947 by sensor z6-19947 which measures Max Precipitation Rate.</v>
      </c>
    </row>
    <row r="183" spans="1:16" ht="12.75">
      <c r="A183" s="4" t="s">
        <v>176</v>
      </c>
      <c r="B183" s="4" t="s">
        <v>687</v>
      </c>
      <c r="C183" s="4" t="s">
        <v>688</v>
      </c>
      <c r="D183" s="4">
        <v>35.617547199999997</v>
      </c>
      <c r="E183" s="4">
        <v>32.190469499999999</v>
      </c>
      <c r="F183" s="4" t="s">
        <v>687</v>
      </c>
      <c r="G183" s="4" t="s">
        <v>689</v>
      </c>
      <c r="H183" s="4" t="s">
        <v>690</v>
      </c>
      <c r="I183" s="4" t="s">
        <v>691</v>
      </c>
      <c r="J183" s="4" t="s">
        <v>701</v>
      </c>
      <c r="K183" s="4" t="s">
        <v>701</v>
      </c>
      <c r="L183" s="4" t="str">
        <f>VLOOKUP($K183,'Property names'!$A$1:$D$99,2,FALSE)</f>
        <v>Any form of water, liquid or solid, falling from the sky, such as rain, snow, or sleet.</v>
      </c>
      <c r="M183" s="4" t="str">
        <f>VLOOKUP($K183,'Property names'!$A$1:$D$99,3,FALSE)</f>
        <v>Millimeters</v>
      </c>
      <c r="N183" s="4" t="str">
        <f>VLOOKUP($K183,'Property names'!$A$1:$D$99,4,FALSE)</f>
        <v>mm</v>
      </c>
      <c r="O183" s="4" t="str">
        <f t="shared" si="6"/>
        <v>z6-19947_z6-19947_Precipitation</v>
      </c>
      <c r="P183" s="4" t="str">
        <f t="shared" si="7"/>
        <v>The datastream containing mesures of field z6-19947 by sensor z6-19947 which measures Precipitation.</v>
      </c>
    </row>
    <row r="184" spans="1:16" ht="12.75">
      <c r="A184" s="4" t="s">
        <v>176</v>
      </c>
      <c r="B184" s="4" t="s">
        <v>687</v>
      </c>
      <c r="C184" s="4" t="s">
        <v>688</v>
      </c>
      <c r="D184" s="4">
        <v>35.617547199999997</v>
      </c>
      <c r="E184" s="4">
        <v>32.190469499999999</v>
      </c>
      <c r="F184" s="4" t="s">
        <v>687</v>
      </c>
      <c r="G184" s="4" t="s">
        <v>689</v>
      </c>
      <c r="H184" s="4" t="s">
        <v>690</v>
      </c>
      <c r="I184" s="4" t="s">
        <v>691</v>
      </c>
      <c r="J184" s="4" t="s">
        <v>702</v>
      </c>
      <c r="K184" s="4" t="s">
        <v>702</v>
      </c>
      <c r="L184" s="4" t="str">
        <f>VLOOKUP($K184,'Property names'!$A$1:$D$99,2,FALSE)</f>
        <v>The temperature at which a relative humidity sensor operates.</v>
      </c>
      <c r="M184" s="4" t="str">
        <f>VLOOKUP($K184,'Property names'!$A$1:$D$99,3,FALSE)</f>
        <v>Degrees Celsius</v>
      </c>
      <c r="N184" s="4" t="str">
        <f>VLOOKUP($K184,'Property names'!$A$1:$D$99,4,FALSE)</f>
        <v>ºC</v>
      </c>
      <c r="O184" s="4" t="str">
        <f t="shared" si="6"/>
        <v>z6-19947_z6-19947_RH_Sensor_Temp</v>
      </c>
      <c r="P184" s="4" t="str">
        <f t="shared" si="7"/>
        <v>The datastream containing mesures of field z6-19947 by sensor z6-19947 which measures RH Sensor Temp.</v>
      </c>
    </row>
    <row r="185" spans="1:16" ht="12.75">
      <c r="A185" s="4" t="s">
        <v>176</v>
      </c>
      <c r="B185" s="4" t="s">
        <v>687</v>
      </c>
      <c r="C185" s="4" t="s">
        <v>688</v>
      </c>
      <c r="D185" s="4">
        <v>35.617547199999997</v>
      </c>
      <c r="E185" s="4">
        <v>32.190469499999999</v>
      </c>
      <c r="F185" s="4" t="s">
        <v>687</v>
      </c>
      <c r="G185" s="4" t="s">
        <v>689</v>
      </c>
      <c r="H185" s="4" t="s">
        <v>690</v>
      </c>
      <c r="I185" s="4" t="s">
        <v>691</v>
      </c>
      <c r="J185" s="4" t="s">
        <v>703</v>
      </c>
      <c r="K185" s="4" t="s">
        <v>703</v>
      </c>
      <c r="L185" s="4" t="str">
        <f>VLOOKUP($K185,'Property names'!$A$1:$D$99,2,FALSE)</f>
        <v>A standard pressure value used as a basis for comparison in meteorology.</v>
      </c>
      <c r="M185" s="4" t="str">
        <f>VLOOKUP($K185,'Property names'!$A$1:$D$99,3,FALSE)</f>
        <v>Kilopascal</v>
      </c>
      <c r="N185" s="4" t="str">
        <f>VLOOKUP($K185,'Property names'!$A$1:$D$99,4,FALSE)</f>
        <v>kPa</v>
      </c>
      <c r="O185" s="4" t="str">
        <f t="shared" si="6"/>
        <v>z6-19947_z6-19947_Reference_Pressure</v>
      </c>
      <c r="P185" s="4" t="str">
        <f t="shared" si="7"/>
        <v>The datastream containing mesures of field z6-19947 by sensor z6-19947 which measures Reference Pressure.</v>
      </c>
    </row>
    <row r="186" spans="1:16" ht="12.75">
      <c r="A186" s="4" t="s">
        <v>176</v>
      </c>
      <c r="B186" s="4" t="s">
        <v>687</v>
      </c>
      <c r="C186" s="4" t="s">
        <v>688</v>
      </c>
      <c r="D186" s="4">
        <v>35.617547199999997</v>
      </c>
      <c r="E186" s="4">
        <v>32.190469499999999</v>
      </c>
      <c r="F186" s="4" t="s">
        <v>687</v>
      </c>
      <c r="G186" s="4" t="s">
        <v>689</v>
      </c>
      <c r="H186" s="4" t="s">
        <v>690</v>
      </c>
      <c r="I186" s="4" t="s">
        <v>691</v>
      </c>
      <c r="J186" s="4" t="s">
        <v>704</v>
      </c>
      <c r="K186" s="4" t="s">
        <v>704</v>
      </c>
      <c r="L186" s="4" t="str">
        <f>VLOOKUP($K186,'Property names'!$A$1:$D$99,2,FALSE)</f>
        <v>Energy from the sun in the form of electromagnetic waves.</v>
      </c>
      <c r="M186" s="4" t="str">
        <f>VLOOKUP($K186,'Property names'!$A$1:$D$99,3,FALSE)</f>
        <v>Watts per square meter</v>
      </c>
      <c r="N186" s="4" t="str">
        <f>VLOOKUP($K186,'Property names'!$A$1:$D$99,4,FALSE)</f>
        <v>W/m²</v>
      </c>
      <c r="O186" s="4" t="str">
        <f t="shared" si="6"/>
        <v>z6-19947_z6-19947_Solar_Radiation</v>
      </c>
      <c r="P186" s="4" t="str">
        <f t="shared" si="7"/>
        <v>The datastream containing mesures of field z6-19947 by sensor z6-19947 which measures Solar Radiation.</v>
      </c>
    </row>
    <row r="187" spans="1:16" ht="12.75">
      <c r="A187" s="4" t="s">
        <v>176</v>
      </c>
      <c r="B187" s="4" t="s">
        <v>687</v>
      </c>
      <c r="C187" s="4" t="s">
        <v>688</v>
      </c>
      <c r="D187" s="4">
        <v>35.617547199999997</v>
      </c>
      <c r="E187" s="4">
        <v>32.190469499999999</v>
      </c>
      <c r="F187" s="4" t="s">
        <v>687</v>
      </c>
      <c r="G187" s="4" t="s">
        <v>689</v>
      </c>
      <c r="H187" s="4" t="s">
        <v>690</v>
      </c>
      <c r="I187" s="4" t="s">
        <v>691</v>
      </c>
      <c r="J187" s="4" t="s">
        <v>705</v>
      </c>
      <c r="K187" s="4" t="s">
        <v>705</v>
      </c>
      <c r="L187" s="4" t="str">
        <f>VLOOKUP($K187,'Property names'!$A$1:$D$99,2,FALSE)</f>
        <v>The measure of the hotness or coldness of something.</v>
      </c>
      <c r="M187" s="4" t="str">
        <f>VLOOKUP($K187,'Property names'!$A$1:$D$99,3,FALSE)</f>
        <v>Degrees Celsius</v>
      </c>
      <c r="N187" s="4" t="str">
        <f>VLOOKUP($K187,'Property names'!$A$1:$D$99,4,FALSE)</f>
        <v>ºC</v>
      </c>
      <c r="O187" s="4" t="str">
        <f t="shared" si="6"/>
        <v>z6-19947_z6-19947_Temperature</v>
      </c>
      <c r="P187" s="4" t="str">
        <f t="shared" si="7"/>
        <v>The datastream containing mesures of field z6-19947 by sensor z6-19947 which measures Temperature.</v>
      </c>
    </row>
    <row r="188" spans="1:16" ht="12.75">
      <c r="A188" s="4" t="s">
        <v>176</v>
      </c>
      <c r="B188" s="4" t="s">
        <v>687</v>
      </c>
      <c r="C188" s="4" t="s">
        <v>688</v>
      </c>
      <c r="D188" s="4">
        <v>35.617547199999997</v>
      </c>
      <c r="E188" s="4">
        <v>32.190469499999999</v>
      </c>
      <c r="F188" s="4" t="s">
        <v>687</v>
      </c>
      <c r="G188" s="4" t="s">
        <v>689</v>
      </c>
      <c r="H188" s="4" t="s">
        <v>690</v>
      </c>
      <c r="I188" s="4" t="s">
        <v>691</v>
      </c>
      <c r="J188" s="4" t="s">
        <v>706</v>
      </c>
      <c r="K188" s="4" t="s">
        <v>706</v>
      </c>
      <c r="L188" s="4" t="str">
        <f>VLOOKUP($K188,'Property names'!$A$1:$D$99,2,FALSE)</f>
        <v>The difference between the amount of moisture in the air and the maximum amount of moisture the air can hold at a given temperature.</v>
      </c>
      <c r="M188" s="4" t="str">
        <f>VLOOKUP($K188,'Property names'!$A$1:$D$99,3,FALSE)</f>
        <v>Kilopascal</v>
      </c>
      <c r="N188" s="4" t="str">
        <f>VLOOKUP($K188,'Property names'!$A$1:$D$99,4,FALSE)</f>
        <v>kPa</v>
      </c>
      <c r="O188" s="4" t="str">
        <f t="shared" si="6"/>
        <v>z6-19947_z6-19947_VPD</v>
      </c>
      <c r="P188" s="4" t="str">
        <f t="shared" si="7"/>
        <v>The datastream containing mesures of field z6-19947 by sensor z6-19947 which measures VPD.</v>
      </c>
    </row>
    <row r="189" spans="1:16" ht="12.75">
      <c r="A189" s="4" t="s">
        <v>176</v>
      </c>
      <c r="B189" s="4" t="s">
        <v>687</v>
      </c>
      <c r="C189" s="4" t="s">
        <v>688</v>
      </c>
      <c r="D189" s="4">
        <v>35.617547199999997</v>
      </c>
      <c r="E189" s="4">
        <v>32.190469499999999</v>
      </c>
      <c r="F189" s="4" t="s">
        <v>687</v>
      </c>
      <c r="G189" s="4" t="s">
        <v>689</v>
      </c>
      <c r="H189" s="4" t="s">
        <v>690</v>
      </c>
      <c r="I189" s="4" t="s">
        <v>691</v>
      </c>
      <c r="J189" s="4" t="s">
        <v>707</v>
      </c>
      <c r="K189" s="4" t="s">
        <v>707</v>
      </c>
      <c r="L189" s="4" t="str">
        <f>VLOOKUP($K189,'Property names'!$A$1:$D$99,2,FALSE)</f>
        <v>The pressure exerted by water vapor in the air.</v>
      </c>
      <c r="M189" s="4" t="str">
        <f>VLOOKUP($K189,'Property names'!$A$1:$D$99,3,FALSE)</f>
        <v>Kilopascal</v>
      </c>
      <c r="N189" s="4" t="str">
        <f>VLOOKUP($K189,'Property names'!$A$1:$D$99,4,FALSE)</f>
        <v>kPa</v>
      </c>
      <c r="O189" s="4" t="str">
        <f t="shared" si="6"/>
        <v>z6-19947_z6-19947_Vapor_Pressure</v>
      </c>
      <c r="P189" s="4" t="str">
        <f t="shared" si="7"/>
        <v>The datastream containing mesures of field z6-19947 by sensor z6-19947 which measures Vapor Pressure.</v>
      </c>
    </row>
    <row r="190" spans="1:16" ht="12.75">
      <c r="A190" s="4" t="s">
        <v>176</v>
      </c>
      <c r="B190" s="4" t="s">
        <v>687</v>
      </c>
      <c r="C190" s="4" t="s">
        <v>688</v>
      </c>
      <c r="D190" s="4">
        <v>35.617547199999997</v>
      </c>
      <c r="E190" s="4">
        <v>32.190469499999999</v>
      </c>
      <c r="F190" s="4" t="s">
        <v>687</v>
      </c>
      <c r="G190" s="4" t="s">
        <v>689</v>
      </c>
      <c r="H190" s="4" t="s">
        <v>690</v>
      </c>
      <c r="I190" s="4" t="s">
        <v>691</v>
      </c>
      <c r="J190" s="4" t="s">
        <v>708</v>
      </c>
      <c r="K190" s="4" t="s">
        <v>708</v>
      </c>
      <c r="L190" s="4" t="str">
        <f>VLOOKUP($K190,'Property names'!$A$1:$D$99,2,FALSE)</f>
        <v>The compass direction from which the wind is blowing.</v>
      </c>
      <c r="M190" s="4" t="str">
        <f>VLOOKUP($K190,'Property names'!$A$1:$D$99,3,FALSE)</f>
        <v>Degrees</v>
      </c>
      <c r="N190" s="4" t="str">
        <f>VLOOKUP($K190,'Property names'!$A$1:$D$99,4,FALSE)</f>
        <v>º</v>
      </c>
      <c r="O190" s="4" t="str">
        <f t="shared" si="6"/>
        <v>z6-19947_z6-19947_Wind_Direction</v>
      </c>
      <c r="P190" s="4" t="str">
        <f t="shared" si="7"/>
        <v>The datastream containing mesures of field z6-19947 by sensor z6-19947 which measures Wind Direction.</v>
      </c>
    </row>
    <row r="191" spans="1:16" ht="12.75">
      <c r="A191" s="4" t="s">
        <v>176</v>
      </c>
      <c r="B191" s="4" t="s">
        <v>687</v>
      </c>
      <c r="C191" s="4" t="s">
        <v>688</v>
      </c>
      <c r="D191" s="4">
        <v>35.617547199999997</v>
      </c>
      <c r="E191" s="4">
        <v>32.190469499999999</v>
      </c>
      <c r="F191" s="4" t="s">
        <v>687</v>
      </c>
      <c r="G191" s="4" t="s">
        <v>689</v>
      </c>
      <c r="H191" s="4" t="s">
        <v>690</v>
      </c>
      <c r="I191" s="4" t="s">
        <v>691</v>
      </c>
      <c r="J191" s="4" t="s">
        <v>709</v>
      </c>
      <c r="K191" s="4" t="s">
        <v>709</v>
      </c>
      <c r="L191" s="4" t="str">
        <f>VLOOKUP($K191,'Property names'!$A$1:$D$99,2,FALSE)</f>
        <v>The rate at which the air is moving horizontally, often measured in miles per hour or meters per second.</v>
      </c>
      <c r="M191" s="4" t="str">
        <f>VLOOKUP($K191,'Property names'!$A$1:$D$99,3,FALSE)</f>
        <v>Meters per second</v>
      </c>
      <c r="N191" s="4" t="str">
        <f>VLOOKUP($K191,'Property names'!$A$1:$D$99,4,FALSE)</f>
        <v>m/s</v>
      </c>
      <c r="O191" s="4" t="str">
        <f t="shared" si="6"/>
        <v>z6-19947_z6-19947_Wind_Speed</v>
      </c>
      <c r="P191" s="4" t="str">
        <f t="shared" si="7"/>
        <v>The datastream containing mesures of field z6-19947 by sensor z6-19947 which measures Wind Speed.</v>
      </c>
    </row>
    <row r="192" spans="1:16" ht="12.75">
      <c r="A192" s="4" t="s">
        <v>176</v>
      </c>
      <c r="B192" s="4" t="s">
        <v>687</v>
      </c>
      <c r="C192" s="4" t="s">
        <v>688</v>
      </c>
      <c r="D192" s="4">
        <v>35.617547199999997</v>
      </c>
      <c r="E192" s="4">
        <v>32.190469499999999</v>
      </c>
      <c r="F192" s="4" t="s">
        <v>687</v>
      </c>
      <c r="G192" s="4" t="s">
        <v>689</v>
      </c>
      <c r="H192" s="4" t="s">
        <v>690</v>
      </c>
      <c r="I192" s="4" t="s">
        <v>691</v>
      </c>
      <c r="J192" s="4" t="s">
        <v>710</v>
      </c>
      <c r="K192" s="4" t="s">
        <v>710</v>
      </c>
      <c r="L192" s="4" t="str">
        <f>VLOOKUP($K192,'Property names'!$A$1:$D$99,2,FALSE)</f>
        <v>The position or value along the horizontal axis of a graph or coordinate system.</v>
      </c>
      <c r="M192" s="4" t="str">
        <f>VLOOKUP($K192,'Property names'!$A$1:$D$99,3,FALSE)</f>
        <v>Degrees</v>
      </c>
      <c r="N192" s="4" t="str">
        <f>VLOOKUP($K192,'Property names'!$A$1:$D$99,4,FALSE)</f>
        <v>º</v>
      </c>
      <c r="O192" s="4" t="str">
        <f t="shared" si="6"/>
        <v>z6-19947_z6-19947_X-axis_Level</v>
      </c>
      <c r="P192" s="4" t="str">
        <f t="shared" si="7"/>
        <v>The datastream containing mesures of field z6-19947 by sensor z6-19947 which measures X-axis Level.</v>
      </c>
    </row>
    <row r="193" spans="1:16" ht="12.75">
      <c r="A193" s="4" t="s">
        <v>176</v>
      </c>
      <c r="B193" s="4" t="s">
        <v>687</v>
      </c>
      <c r="C193" s="4" t="s">
        <v>688</v>
      </c>
      <c r="D193" s="4">
        <v>35.617547199999997</v>
      </c>
      <c r="E193" s="4">
        <v>32.190469499999999</v>
      </c>
      <c r="F193" s="4" t="s">
        <v>687</v>
      </c>
      <c r="G193" s="4" t="s">
        <v>689</v>
      </c>
      <c r="H193" s="4" t="s">
        <v>690</v>
      </c>
      <c r="I193" s="4" t="s">
        <v>691</v>
      </c>
      <c r="J193" s="4" t="s">
        <v>711</v>
      </c>
      <c r="K193" s="4" t="s">
        <v>711</v>
      </c>
      <c r="L193" s="4" t="str">
        <f>VLOOKUP($K193,'Property names'!$A$1:$D$99,2,FALSE)</f>
        <v>The position or value along the vertical axis of a graph or coordinate system.</v>
      </c>
      <c r="M193" s="4" t="str">
        <f>VLOOKUP($K193,'Property names'!$A$1:$D$99,3,FALSE)</f>
        <v>Degrees</v>
      </c>
      <c r="N193" s="4" t="str">
        <f>VLOOKUP($K193,'Property names'!$A$1:$D$99,4,FALSE)</f>
        <v>º</v>
      </c>
      <c r="O193" s="4" t="str">
        <f t="shared" si="6"/>
        <v>z6-19947_z6-19947_Y-axis_Level</v>
      </c>
      <c r="P193" s="4" t="str">
        <f t="shared" si="7"/>
        <v>The datastream containing mesures of field z6-19947 by sensor z6-19947 which measures Y-axis Level.</v>
      </c>
    </row>
    <row r="194" spans="1:16" ht="12.75">
      <c r="A194" s="4" t="s">
        <v>176</v>
      </c>
      <c r="B194" s="4" t="s">
        <v>712</v>
      </c>
      <c r="C194" s="4" t="s">
        <v>688</v>
      </c>
      <c r="D194" s="4">
        <v>35.5688222</v>
      </c>
      <c r="E194" s="4">
        <v>31.9277582</v>
      </c>
      <c r="F194" s="4" t="s">
        <v>712</v>
      </c>
      <c r="G194" s="4" t="s">
        <v>689</v>
      </c>
      <c r="H194" s="4" t="s">
        <v>690</v>
      </c>
      <c r="I194" s="4" t="s">
        <v>691</v>
      </c>
      <c r="J194" s="4" t="s">
        <v>638</v>
      </c>
      <c r="K194" s="4" t="s">
        <v>638</v>
      </c>
      <c r="L194" s="4" t="str">
        <f>VLOOKUP($K194,'Property names'!$A$1:$D$99,2,FALSE)</f>
        <v>The measure of the hotness or coldness of the air.</v>
      </c>
      <c r="M194" s="4" t="str">
        <f>VLOOKUP($K194,'Property names'!$A$1:$D$99,3,FALSE)</f>
        <v>Degrees Celsius</v>
      </c>
      <c r="N194" s="4" t="str">
        <f>VLOOKUP($K194,'Property names'!$A$1:$D$99,4,FALSE)</f>
        <v>ºC</v>
      </c>
      <c r="O194" s="4" t="str">
        <f t="shared" si="6"/>
        <v>z6-19948_z6-19948_Air_Temperature</v>
      </c>
      <c r="P194" s="4" t="str">
        <f t="shared" si="7"/>
        <v>The datastream containing mesures of field z6-19948 by sensor z6-19948 which measures Air Temperature.</v>
      </c>
    </row>
    <row r="195" spans="1:16" ht="12.75">
      <c r="A195" s="4" t="s">
        <v>176</v>
      </c>
      <c r="B195" s="4" t="s">
        <v>712</v>
      </c>
      <c r="C195" s="4" t="s">
        <v>688</v>
      </c>
      <c r="D195" s="4">
        <v>35.5688222</v>
      </c>
      <c r="E195" s="4">
        <v>31.9277582</v>
      </c>
      <c r="F195" s="4" t="s">
        <v>712</v>
      </c>
      <c r="G195" s="4" t="s">
        <v>689</v>
      </c>
      <c r="H195" s="4" t="s">
        <v>690</v>
      </c>
      <c r="I195" s="4" t="s">
        <v>691</v>
      </c>
      <c r="J195" s="4" t="s">
        <v>692</v>
      </c>
      <c r="K195" s="4" t="s">
        <v>692</v>
      </c>
      <c r="L195" s="4" t="str">
        <f>VLOOKUP($K195,'Property names'!$A$1:$D$99,2,FALSE)</f>
        <v>The force exerted by the weight of the air above a given point on Earth's surface, which can vary with changes in weather and altitude.</v>
      </c>
      <c r="M195" s="4" t="str">
        <f>VLOOKUP($K195,'Property names'!$A$1:$D$99,3,FALSE)</f>
        <v>Kilopascal</v>
      </c>
      <c r="N195" s="4" t="str">
        <f>VLOOKUP($K195,'Property names'!$A$1:$D$99,4,FALSE)</f>
        <v>kPa</v>
      </c>
      <c r="O195" s="4" t="str">
        <f t="shared" si="6"/>
        <v>z6-19948_z6-19948_Atmospheric_Pressure</v>
      </c>
      <c r="P195" s="4" t="str">
        <f t="shared" si="7"/>
        <v>The datastream containing mesures of field z6-19948 by sensor z6-19948 which measures Atmospheric Pressure.</v>
      </c>
    </row>
    <row r="196" spans="1:16" ht="12.75">
      <c r="A196" s="4" t="s">
        <v>176</v>
      </c>
      <c r="B196" s="4" t="s">
        <v>712</v>
      </c>
      <c r="C196" s="4" t="s">
        <v>688</v>
      </c>
      <c r="D196" s="4">
        <v>35.5688222</v>
      </c>
      <c r="E196" s="4">
        <v>31.9277582</v>
      </c>
      <c r="F196" s="4" t="s">
        <v>712</v>
      </c>
      <c r="G196" s="4" t="s">
        <v>689</v>
      </c>
      <c r="H196" s="4" t="s">
        <v>690</v>
      </c>
      <c r="I196" s="4" t="s">
        <v>691</v>
      </c>
      <c r="J196" s="4" t="s">
        <v>693</v>
      </c>
      <c r="K196" s="4" t="s">
        <v>647</v>
      </c>
      <c r="L196" s="4" t="str">
        <f>VLOOKUP($K196,'Property names'!$A$1:$D$99,2,FALSE)</f>
        <v>The percentage of battery level associated to the specific sensor.</v>
      </c>
      <c r="M196" s="4" t="str">
        <f>VLOOKUP($K196,'Property names'!$A$1:$D$99,3,FALSE)</f>
        <v>Percentage</v>
      </c>
      <c r="N196" s="4" t="str">
        <f>VLOOKUP($K196,'Property names'!$A$1:$D$99,4,FALSE)</f>
        <v>%</v>
      </c>
      <c r="O196" s="4" t="str">
        <f t="shared" si="6"/>
        <v>z6-19948_z6-19948_Battery_Percent</v>
      </c>
      <c r="P196" s="4" t="str">
        <f t="shared" si="7"/>
        <v>The datastream containing mesures of field z6-19948 by sensor z6-19948 which measures Battery Level.</v>
      </c>
    </row>
    <row r="197" spans="1:16" ht="12.75">
      <c r="A197" s="4" t="s">
        <v>176</v>
      </c>
      <c r="B197" s="4" t="s">
        <v>712</v>
      </c>
      <c r="C197" s="4" t="s">
        <v>688</v>
      </c>
      <c r="D197" s="4">
        <v>35.5688222</v>
      </c>
      <c r="E197" s="4">
        <v>31.9277582</v>
      </c>
      <c r="F197" s="4" t="s">
        <v>712</v>
      </c>
      <c r="G197" s="4" t="s">
        <v>689</v>
      </c>
      <c r="H197" s="4" t="s">
        <v>690</v>
      </c>
      <c r="I197" s="4" t="s">
        <v>691</v>
      </c>
      <c r="J197" s="4" t="s">
        <v>694</v>
      </c>
      <c r="K197" s="4" t="s">
        <v>694</v>
      </c>
      <c r="L197" s="4" t="str">
        <f>VLOOKUP($K197,'Property names'!$A$1:$D$99,2,FALSE)</f>
        <v>The electrical potential in a battery, indicating its charge level.</v>
      </c>
      <c r="M197" s="4" t="str">
        <f>VLOOKUP($K197,'Property names'!$A$1:$D$99,3,FALSE)</f>
        <v>Millivolts</v>
      </c>
      <c r="N197" s="4" t="str">
        <f>VLOOKUP($K197,'Property names'!$A$1:$D$99,4,FALSE)</f>
        <v>mV</v>
      </c>
      <c r="O197" s="4" t="str">
        <f t="shared" si="6"/>
        <v>z6-19948_z6-19948_Battery_Voltage</v>
      </c>
      <c r="P197" s="4" t="str">
        <f t="shared" si="7"/>
        <v>The datastream containing mesures of field z6-19948 by sensor z6-19948 which measures Battery Voltage.</v>
      </c>
    </row>
    <row r="198" spans="1:16" ht="12.75">
      <c r="A198" s="4" t="s">
        <v>176</v>
      </c>
      <c r="B198" s="4" t="s">
        <v>712</v>
      </c>
      <c r="C198" s="4" t="s">
        <v>688</v>
      </c>
      <c r="D198" s="4">
        <v>35.5688222</v>
      </c>
      <c r="E198" s="4">
        <v>31.9277582</v>
      </c>
      <c r="F198" s="4" t="s">
        <v>712</v>
      </c>
      <c r="G198" s="4" t="s">
        <v>689</v>
      </c>
      <c r="H198" s="4" t="s">
        <v>690</v>
      </c>
      <c r="I198" s="4" t="s">
        <v>691</v>
      </c>
      <c r="J198" s="4" t="s">
        <v>695</v>
      </c>
      <c r="K198" s="4" t="s">
        <v>695</v>
      </c>
      <c r="L198" s="4" t="str">
        <f>VLOOKUP($K198,'Property names'!$A$1:$D$99,2,FALSE)</f>
        <v>The maximum sudden burst of wind speed.</v>
      </c>
      <c r="M198" s="4" t="str">
        <f>VLOOKUP($K198,'Property names'!$A$1:$D$99,3,FALSE)</f>
        <v>Meters per second</v>
      </c>
      <c r="N198" s="4" t="str">
        <f>VLOOKUP($K198,'Property names'!$A$1:$D$99,4,FALSE)</f>
        <v>m/s</v>
      </c>
      <c r="O198" s="4" t="str">
        <f t="shared" si="6"/>
        <v>z6-19948_z6-19948_Gust_Speed</v>
      </c>
      <c r="P198" s="4" t="str">
        <f t="shared" si="7"/>
        <v>The datastream containing mesures of field z6-19948 by sensor z6-19948 which measures Gust Speed.</v>
      </c>
    </row>
    <row r="199" spans="1:16" ht="12.75">
      <c r="A199" s="4" t="s">
        <v>176</v>
      </c>
      <c r="B199" s="4" t="s">
        <v>712</v>
      </c>
      <c r="C199" s="4" t="s">
        <v>688</v>
      </c>
      <c r="D199" s="4">
        <v>35.5688222</v>
      </c>
      <c r="E199" s="4">
        <v>31.9277582</v>
      </c>
      <c r="F199" s="4" t="s">
        <v>712</v>
      </c>
      <c r="G199" s="4" t="s">
        <v>689</v>
      </c>
      <c r="H199" s="4" t="s">
        <v>690</v>
      </c>
      <c r="I199" s="4" t="s">
        <v>691</v>
      </c>
      <c r="J199" s="4" t="s">
        <v>696</v>
      </c>
      <c r="K199" s="4" t="s">
        <v>696</v>
      </c>
      <c r="L199" s="4" t="str">
        <f>VLOOKUP($K199,'Property names'!$A$1:$D$99,2,FALSE)</f>
        <v>The occurrence of electrical discharges in the atmosphere, typically during thunderstorms.</v>
      </c>
      <c r="M199" s="4" t="str">
        <f>VLOOKUP($K199,'Property names'!$A$1:$D$99,3,FALSE)</f>
        <v>N/A</v>
      </c>
      <c r="N199" s="4" t="str">
        <f>VLOOKUP($K199,'Property names'!$A$1:$D$99,4,FALSE)</f>
        <v>N/A</v>
      </c>
      <c r="O199" s="4" t="str">
        <f t="shared" si="6"/>
        <v>z6-19948_z6-19948_Lightning_Activity</v>
      </c>
      <c r="P199" s="4" t="str">
        <f t="shared" si="7"/>
        <v>The datastream containing mesures of field z6-19948 by sensor z6-19948 which measures Lightning Activity.</v>
      </c>
    </row>
    <row r="200" spans="1:16" ht="12.75">
      <c r="A200" s="4" t="s">
        <v>176</v>
      </c>
      <c r="B200" s="4" t="s">
        <v>712</v>
      </c>
      <c r="C200" s="4" t="s">
        <v>688</v>
      </c>
      <c r="D200" s="4">
        <v>35.5688222</v>
      </c>
      <c r="E200" s="4">
        <v>31.9277582</v>
      </c>
      <c r="F200" s="4" t="s">
        <v>712</v>
      </c>
      <c r="G200" s="4" t="s">
        <v>689</v>
      </c>
      <c r="H200" s="4" t="s">
        <v>690</v>
      </c>
      <c r="I200" s="4" t="s">
        <v>691</v>
      </c>
      <c r="J200" s="4" t="s">
        <v>697</v>
      </c>
      <c r="K200" s="4" t="s">
        <v>697</v>
      </c>
      <c r="L200" s="4" t="str">
        <f>VLOOKUP($K200,'Property names'!$A$1:$D$99,2,FALSE)</f>
        <v>The distance from a location to the nearest lightning strike.</v>
      </c>
      <c r="M200" s="4" t="str">
        <f>VLOOKUP($K200,'Property names'!$A$1:$D$99,3,FALSE)</f>
        <v>Kilometers</v>
      </c>
      <c r="N200" s="4" t="str">
        <f>VLOOKUP($K200,'Property names'!$A$1:$D$99,4,FALSE)</f>
        <v>km</v>
      </c>
      <c r="O200" s="4" t="str">
        <f t="shared" si="6"/>
        <v>z6-19948_z6-19948_Lightning_Distance</v>
      </c>
      <c r="P200" s="4" t="str">
        <f t="shared" si="7"/>
        <v>The datastream containing mesures of field z6-19948 by sensor z6-19948 which measures Lightning Distance.</v>
      </c>
    </row>
    <row r="201" spans="1:16" ht="12.75">
      <c r="A201" s="4" t="s">
        <v>176</v>
      </c>
      <c r="B201" s="4" t="s">
        <v>712</v>
      </c>
      <c r="C201" s="4" t="s">
        <v>688</v>
      </c>
      <c r="D201" s="4">
        <v>35.5688222</v>
      </c>
      <c r="E201" s="4">
        <v>31.9277582</v>
      </c>
      <c r="F201" s="4" t="s">
        <v>712</v>
      </c>
      <c r="G201" s="4" t="s">
        <v>689</v>
      </c>
      <c r="H201" s="4" t="s">
        <v>690</v>
      </c>
      <c r="I201" s="4" t="s">
        <v>691</v>
      </c>
      <c r="J201" s="4" t="s">
        <v>698</v>
      </c>
      <c r="K201" s="4" t="s">
        <v>698</v>
      </c>
      <c r="L201" s="4" t="str">
        <f>VLOOKUP($K201,'Property names'!$A$1:$D$99,2,FALSE)</f>
        <v>The temperature measured by a data logger or recording device.</v>
      </c>
      <c r="M201" s="4" t="str">
        <f>VLOOKUP($K201,'Property names'!$A$1:$D$99,3,FALSE)</f>
        <v>Degrees Celsius</v>
      </c>
      <c r="N201" s="4" t="str">
        <f>VLOOKUP($K201,'Property names'!$A$1:$D$99,4,FALSE)</f>
        <v>ºC</v>
      </c>
      <c r="O201" s="4" t="str">
        <f t="shared" si="6"/>
        <v>z6-19948_z6-19948_Logger_Temperature</v>
      </c>
      <c r="P201" s="4" t="str">
        <f t="shared" si="7"/>
        <v>The datastream containing mesures of field z6-19948 by sensor z6-19948 which measures Logger Temperature.</v>
      </c>
    </row>
    <row r="202" spans="1:16" ht="12.75">
      <c r="A202" s="4" t="s">
        <v>176</v>
      </c>
      <c r="B202" s="4" t="s">
        <v>712</v>
      </c>
      <c r="C202" s="4" t="s">
        <v>688</v>
      </c>
      <c r="D202" s="4">
        <v>35.5688222</v>
      </c>
      <c r="E202" s="4">
        <v>31.9277582</v>
      </c>
      <c r="F202" s="4" t="s">
        <v>712</v>
      </c>
      <c r="G202" s="4" t="s">
        <v>689</v>
      </c>
      <c r="H202" s="4" t="s">
        <v>690</v>
      </c>
      <c r="I202" s="4" t="s">
        <v>691</v>
      </c>
      <c r="J202" s="4" t="s">
        <v>699</v>
      </c>
      <c r="K202" s="4" t="s">
        <v>700</v>
      </c>
      <c r="L202" s="4" t="str">
        <f>VLOOKUP($K202,'Property names'!$A$1:$D$99,2,FALSE)</f>
        <v>The highest rate at which rain or other forms of precipitation fall in a given period.</v>
      </c>
      <c r="M202" s="4" t="str">
        <f>VLOOKUP($K202,'Property names'!$A$1:$D$99,3,FALSE)</f>
        <v>Millimeters per hour</v>
      </c>
      <c r="N202" s="4" t="str">
        <f>VLOOKUP($K202,'Property names'!$A$1:$D$99,4,FALSE)</f>
        <v>mm/h</v>
      </c>
      <c r="O202" s="4" t="str">
        <f t="shared" si="6"/>
        <v>z6-19948_z6-19948_Max_Precip_Rate</v>
      </c>
      <c r="P202" s="4" t="str">
        <f t="shared" si="7"/>
        <v>The datastream containing mesures of field z6-19948 by sensor z6-19948 which measures Max Precipitation Rate.</v>
      </c>
    </row>
    <row r="203" spans="1:16" ht="12.75">
      <c r="A203" s="4" t="s">
        <v>176</v>
      </c>
      <c r="B203" s="4" t="s">
        <v>712</v>
      </c>
      <c r="C203" s="4" t="s">
        <v>688</v>
      </c>
      <c r="D203" s="4">
        <v>35.5688222</v>
      </c>
      <c r="E203" s="4">
        <v>31.9277582</v>
      </c>
      <c r="F203" s="4" t="s">
        <v>712</v>
      </c>
      <c r="G203" s="4" t="s">
        <v>689</v>
      </c>
      <c r="H203" s="4" t="s">
        <v>690</v>
      </c>
      <c r="I203" s="4" t="s">
        <v>691</v>
      </c>
      <c r="J203" s="4" t="s">
        <v>701</v>
      </c>
      <c r="K203" s="4" t="s">
        <v>701</v>
      </c>
      <c r="L203" s="4" t="str">
        <f>VLOOKUP($K203,'Property names'!$A$1:$D$99,2,FALSE)</f>
        <v>Any form of water, liquid or solid, falling from the sky, such as rain, snow, or sleet.</v>
      </c>
      <c r="M203" s="4" t="str">
        <f>VLOOKUP($K203,'Property names'!$A$1:$D$99,3,FALSE)</f>
        <v>Millimeters</v>
      </c>
      <c r="N203" s="4" t="str">
        <f>VLOOKUP($K203,'Property names'!$A$1:$D$99,4,FALSE)</f>
        <v>mm</v>
      </c>
      <c r="O203" s="4" t="str">
        <f t="shared" si="6"/>
        <v>z6-19948_z6-19948_Precipitation</v>
      </c>
      <c r="P203" s="4" t="str">
        <f t="shared" si="7"/>
        <v>The datastream containing mesures of field z6-19948 by sensor z6-19948 which measures Precipitation.</v>
      </c>
    </row>
    <row r="204" spans="1:16" ht="12.75">
      <c r="A204" s="4" t="s">
        <v>176</v>
      </c>
      <c r="B204" s="4" t="s">
        <v>712</v>
      </c>
      <c r="C204" s="4" t="s">
        <v>688</v>
      </c>
      <c r="D204" s="4">
        <v>35.5688222</v>
      </c>
      <c r="E204" s="4">
        <v>31.9277582</v>
      </c>
      <c r="F204" s="4" t="s">
        <v>712</v>
      </c>
      <c r="G204" s="4" t="s">
        <v>689</v>
      </c>
      <c r="H204" s="4" t="s">
        <v>690</v>
      </c>
      <c r="I204" s="4" t="s">
        <v>691</v>
      </c>
      <c r="J204" s="4" t="s">
        <v>702</v>
      </c>
      <c r="K204" s="4" t="s">
        <v>702</v>
      </c>
      <c r="L204" s="4" t="str">
        <f>VLOOKUP($K204,'Property names'!$A$1:$D$99,2,FALSE)</f>
        <v>The temperature at which a relative humidity sensor operates.</v>
      </c>
      <c r="M204" s="4" t="str">
        <f>VLOOKUP($K204,'Property names'!$A$1:$D$99,3,FALSE)</f>
        <v>Degrees Celsius</v>
      </c>
      <c r="N204" s="4" t="str">
        <f>VLOOKUP($K204,'Property names'!$A$1:$D$99,4,FALSE)</f>
        <v>ºC</v>
      </c>
      <c r="O204" s="4" t="str">
        <f t="shared" si="6"/>
        <v>z6-19948_z6-19948_RH_Sensor_Temp</v>
      </c>
      <c r="P204" s="4" t="str">
        <f t="shared" si="7"/>
        <v>The datastream containing mesures of field z6-19948 by sensor z6-19948 which measures RH Sensor Temp.</v>
      </c>
    </row>
    <row r="205" spans="1:16" ht="12.75">
      <c r="A205" s="4" t="s">
        <v>176</v>
      </c>
      <c r="B205" s="4" t="s">
        <v>712</v>
      </c>
      <c r="C205" s="4" t="s">
        <v>688</v>
      </c>
      <c r="D205" s="4">
        <v>35.5688222</v>
      </c>
      <c r="E205" s="4">
        <v>31.9277582</v>
      </c>
      <c r="F205" s="4" t="s">
        <v>712</v>
      </c>
      <c r="G205" s="4" t="s">
        <v>689</v>
      </c>
      <c r="H205" s="4" t="s">
        <v>690</v>
      </c>
      <c r="I205" s="4" t="s">
        <v>691</v>
      </c>
      <c r="J205" s="4" t="s">
        <v>703</v>
      </c>
      <c r="K205" s="4" t="s">
        <v>703</v>
      </c>
      <c r="L205" s="4" t="str">
        <f>VLOOKUP($K205,'Property names'!$A$1:$D$99,2,FALSE)</f>
        <v>A standard pressure value used as a basis for comparison in meteorology.</v>
      </c>
      <c r="M205" s="4" t="str">
        <f>VLOOKUP($K205,'Property names'!$A$1:$D$99,3,FALSE)</f>
        <v>Kilopascal</v>
      </c>
      <c r="N205" s="4" t="str">
        <f>VLOOKUP($K205,'Property names'!$A$1:$D$99,4,FALSE)</f>
        <v>kPa</v>
      </c>
      <c r="O205" s="4" t="str">
        <f t="shared" si="6"/>
        <v>z6-19948_z6-19948_Reference_Pressure</v>
      </c>
      <c r="P205" s="4" t="str">
        <f t="shared" si="7"/>
        <v>The datastream containing mesures of field z6-19948 by sensor z6-19948 which measures Reference Pressure.</v>
      </c>
    </row>
    <row r="206" spans="1:16" ht="12.75">
      <c r="A206" s="4" t="s">
        <v>176</v>
      </c>
      <c r="B206" s="4" t="s">
        <v>712</v>
      </c>
      <c r="C206" s="4" t="s">
        <v>688</v>
      </c>
      <c r="D206" s="4">
        <v>35.5688222</v>
      </c>
      <c r="E206" s="4">
        <v>31.9277582</v>
      </c>
      <c r="F206" s="4" t="s">
        <v>712</v>
      </c>
      <c r="G206" s="4" t="s">
        <v>689</v>
      </c>
      <c r="H206" s="4" t="s">
        <v>690</v>
      </c>
      <c r="I206" s="4" t="s">
        <v>691</v>
      </c>
      <c r="J206" s="4" t="s">
        <v>704</v>
      </c>
      <c r="K206" s="4" t="s">
        <v>704</v>
      </c>
      <c r="L206" s="4" t="str">
        <f>VLOOKUP($K206,'Property names'!$A$1:$D$99,2,FALSE)</f>
        <v>Energy from the sun in the form of electromagnetic waves.</v>
      </c>
      <c r="M206" s="4" t="str">
        <f>VLOOKUP($K206,'Property names'!$A$1:$D$99,3,FALSE)</f>
        <v>Watts per square meter</v>
      </c>
      <c r="N206" s="4" t="str">
        <f>VLOOKUP($K206,'Property names'!$A$1:$D$99,4,FALSE)</f>
        <v>W/m²</v>
      </c>
      <c r="O206" s="4" t="str">
        <f t="shared" si="6"/>
        <v>z6-19948_z6-19948_Solar_Radiation</v>
      </c>
      <c r="P206" s="4" t="str">
        <f t="shared" si="7"/>
        <v>The datastream containing mesures of field z6-19948 by sensor z6-19948 which measures Solar Radiation.</v>
      </c>
    </row>
    <row r="207" spans="1:16" ht="12.75">
      <c r="A207" s="4" t="s">
        <v>176</v>
      </c>
      <c r="B207" s="4" t="s">
        <v>712</v>
      </c>
      <c r="C207" s="4" t="s">
        <v>688</v>
      </c>
      <c r="D207" s="4">
        <v>35.5688222</v>
      </c>
      <c r="E207" s="4">
        <v>31.9277582</v>
      </c>
      <c r="F207" s="4" t="s">
        <v>712</v>
      </c>
      <c r="G207" s="4" t="s">
        <v>689</v>
      </c>
      <c r="H207" s="4" t="s">
        <v>690</v>
      </c>
      <c r="I207" s="4" t="s">
        <v>691</v>
      </c>
      <c r="J207" s="4" t="s">
        <v>705</v>
      </c>
      <c r="K207" s="4" t="s">
        <v>705</v>
      </c>
      <c r="L207" s="4" t="str">
        <f>VLOOKUP($K207,'Property names'!$A$1:$D$99,2,FALSE)</f>
        <v>The measure of the hotness or coldness of something.</v>
      </c>
      <c r="M207" s="4" t="str">
        <f>VLOOKUP($K207,'Property names'!$A$1:$D$99,3,FALSE)</f>
        <v>Degrees Celsius</v>
      </c>
      <c r="N207" s="4" t="str">
        <f>VLOOKUP($K207,'Property names'!$A$1:$D$99,4,FALSE)</f>
        <v>ºC</v>
      </c>
      <c r="O207" s="4" t="str">
        <f t="shared" si="6"/>
        <v>z6-19948_z6-19948_Temperature</v>
      </c>
      <c r="P207" s="4" t="str">
        <f t="shared" si="7"/>
        <v>The datastream containing mesures of field z6-19948 by sensor z6-19948 which measures Temperature.</v>
      </c>
    </row>
    <row r="208" spans="1:16" ht="12.75">
      <c r="A208" s="4" t="s">
        <v>176</v>
      </c>
      <c r="B208" s="4" t="s">
        <v>712</v>
      </c>
      <c r="C208" s="4" t="s">
        <v>688</v>
      </c>
      <c r="D208" s="4">
        <v>35.5688222</v>
      </c>
      <c r="E208" s="4">
        <v>31.9277582</v>
      </c>
      <c r="F208" s="4" t="s">
        <v>712</v>
      </c>
      <c r="G208" s="4" t="s">
        <v>689</v>
      </c>
      <c r="H208" s="4" t="s">
        <v>690</v>
      </c>
      <c r="I208" s="4" t="s">
        <v>691</v>
      </c>
      <c r="J208" s="4" t="s">
        <v>706</v>
      </c>
      <c r="K208" s="4" t="s">
        <v>706</v>
      </c>
      <c r="L208" s="4" t="str">
        <f>VLOOKUP($K208,'Property names'!$A$1:$D$99,2,FALSE)</f>
        <v>The difference between the amount of moisture in the air and the maximum amount of moisture the air can hold at a given temperature.</v>
      </c>
      <c r="M208" s="4" t="str">
        <f>VLOOKUP($K208,'Property names'!$A$1:$D$99,3,FALSE)</f>
        <v>Kilopascal</v>
      </c>
      <c r="N208" s="4" t="str">
        <f>VLOOKUP($K208,'Property names'!$A$1:$D$99,4,FALSE)</f>
        <v>kPa</v>
      </c>
      <c r="O208" s="4" t="str">
        <f t="shared" si="6"/>
        <v>z6-19948_z6-19948_VPD</v>
      </c>
      <c r="P208" s="4" t="str">
        <f t="shared" si="7"/>
        <v>The datastream containing mesures of field z6-19948 by sensor z6-19948 which measures VPD.</v>
      </c>
    </row>
    <row r="209" spans="1:16" ht="12.75">
      <c r="A209" s="4" t="s">
        <v>176</v>
      </c>
      <c r="B209" s="4" t="s">
        <v>712</v>
      </c>
      <c r="C209" s="4" t="s">
        <v>688</v>
      </c>
      <c r="D209" s="4">
        <v>35.5688222</v>
      </c>
      <c r="E209" s="4">
        <v>31.9277582</v>
      </c>
      <c r="F209" s="4" t="s">
        <v>712</v>
      </c>
      <c r="G209" s="4" t="s">
        <v>689</v>
      </c>
      <c r="H209" s="4" t="s">
        <v>690</v>
      </c>
      <c r="I209" s="4" t="s">
        <v>691</v>
      </c>
      <c r="J209" s="4" t="s">
        <v>707</v>
      </c>
      <c r="K209" s="4" t="s">
        <v>707</v>
      </c>
      <c r="L209" s="4" t="str">
        <f>VLOOKUP($K209,'Property names'!$A$1:$D$99,2,FALSE)</f>
        <v>The pressure exerted by water vapor in the air.</v>
      </c>
      <c r="M209" s="4" t="str">
        <f>VLOOKUP($K209,'Property names'!$A$1:$D$99,3,FALSE)</f>
        <v>Kilopascal</v>
      </c>
      <c r="N209" s="4" t="str">
        <f>VLOOKUP($K209,'Property names'!$A$1:$D$99,4,FALSE)</f>
        <v>kPa</v>
      </c>
      <c r="O209" s="4" t="str">
        <f t="shared" si="6"/>
        <v>z6-19948_z6-19948_Vapor_Pressure</v>
      </c>
      <c r="P209" s="4" t="str">
        <f t="shared" si="7"/>
        <v>The datastream containing mesures of field z6-19948 by sensor z6-19948 which measures Vapor Pressure.</v>
      </c>
    </row>
    <row r="210" spans="1:16" ht="12.75">
      <c r="A210" s="4" t="s">
        <v>176</v>
      </c>
      <c r="B210" s="4" t="s">
        <v>712</v>
      </c>
      <c r="C210" s="4" t="s">
        <v>688</v>
      </c>
      <c r="D210" s="4">
        <v>35.5688222</v>
      </c>
      <c r="E210" s="4">
        <v>31.9277582</v>
      </c>
      <c r="F210" s="4" t="s">
        <v>712</v>
      </c>
      <c r="G210" s="4" t="s">
        <v>689</v>
      </c>
      <c r="H210" s="4" t="s">
        <v>690</v>
      </c>
      <c r="I210" s="4" t="s">
        <v>691</v>
      </c>
      <c r="J210" s="4" t="s">
        <v>708</v>
      </c>
      <c r="K210" s="4" t="s">
        <v>708</v>
      </c>
      <c r="L210" s="4" t="str">
        <f>VLOOKUP($K210,'Property names'!$A$1:$D$99,2,FALSE)</f>
        <v>The compass direction from which the wind is blowing.</v>
      </c>
      <c r="M210" s="4" t="str">
        <f>VLOOKUP($K210,'Property names'!$A$1:$D$99,3,FALSE)</f>
        <v>Degrees</v>
      </c>
      <c r="N210" s="4" t="str">
        <f>VLOOKUP($K210,'Property names'!$A$1:$D$99,4,FALSE)</f>
        <v>º</v>
      </c>
      <c r="O210" s="4" t="str">
        <f t="shared" si="6"/>
        <v>z6-19948_z6-19948_Wind_Direction</v>
      </c>
      <c r="P210" s="4" t="str">
        <f t="shared" si="7"/>
        <v>The datastream containing mesures of field z6-19948 by sensor z6-19948 which measures Wind Direction.</v>
      </c>
    </row>
    <row r="211" spans="1:16" ht="12.75">
      <c r="A211" s="4" t="s">
        <v>176</v>
      </c>
      <c r="B211" s="4" t="s">
        <v>712</v>
      </c>
      <c r="C211" s="4" t="s">
        <v>688</v>
      </c>
      <c r="D211" s="4">
        <v>35.5688222</v>
      </c>
      <c r="E211" s="4">
        <v>31.9277582</v>
      </c>
      <c r="F211" s="4" t="s">
        <v>712</v>
      </c>
      <c r="G211" s="4" t="s">
        <v>689</v>
      </c>
      <c r="H211" s="4" t="s">
        <v>690</v>
      </c>
      <c r="I211" s="4" t="s">
        <v>691</v>
      </c>
      <c r="J211" s="4" t="s">
        <v>709</v>
      </c>
      <c r="K211" s="4" t="s">
        <v>709</v>
      </c>
      <c r="L211" s="4" t="str">
        <f>VLOOKUP($K211,'Property names'!$A$1:$D$99,2,FALSE)</f>
        <v>The rate at which the air is moving horizontally, often measured in miles per hour or meters per second.</v>
      </c>
      <c r="M211" s="4" t="str">
        <f>VLOOKUP($K211,'Property names'!$A$1:$D$99,3,FALSE)</f>
        <v>Meters per second</v>
      </c>
      <c r="N211" s="4" t="str">
        <f>VLOOKUP($K211,'Property names'!$A$1:$D$99,4,FALSE)</f>
        <v>m/s</v>
      </c>
      <c r="O211" s="4" t="str">
        <f t="shared" si="6"/>
        <v>z6-19948_z6-19948_Wind_Speed</v>
      </c>
      <c r="P211" s="4" t="str">
        <f t="shared" si="7"/>
        <v>The datastream containing mesures of field z6-19948 by sensor z6-19948 which measures Wind Speed.</v>
      </c>
    </row>
    <row r="212" spans="1:16" ht="12.75">
      <c r="A212" s="4" t="s">
        <v>176</v>
      </c>
      <c r="B212" s="4" t="s">
        <v>712</v>
      </c>
      <c r="C212" s="4" t="s">
        <v>688</v>
      </c>
      <c r="D212" s="4">
        <v>35.5688222</v>
      </c>
      <c r="E212" s="4">
        <v>31.9277582</v>
      </c>
      <c r="F212" s="4" t="s">
        <v>712</v>
      </c>
      <c r="G212" s="4" t="s">
        <v>689</v>
      </c>
      <c r="H212" s="4" t="s">
        <v>690</v>
      </c>
      <c r="I212" s="4" t="s">
        <v>691</v>
      </c>
      <c r="J212" s="4" t="s">
        <v>710</v>
      </c>
      <c r="K212" s="4" t="s">
        <v>710</v>
      </c>
      <c r="L212" s="4" t="str">
        <f>VLOOKUP($K212,'Property names'!$A$1:$D$99,2,FALSE)</f>
        <v>The position or value along the horizontal axis of a graph or coordinate system.</v>
      </c>
      <c r="M212" s="4" t="str">
        <f>VLOOKUP($K212,'Property names'!$A$1:$D$99,3,FALSE)</f>
        <v>Degrees</v>
      </c>
      <c r="N212" s="4" t="str">
        <f>VLOOKUP($K212,'Property names'!$A$1:$D$99,4,FALSE)</f>
        <v>º</v>
      </c>
      <c r="O212" s="4" t="str">
        <f t="shared" si="6"/>
        <v>z6-19948_z6-19948_X-axis_Level</v>
      </c>
      <c r="P212" s="4" t="str">
        <f t="shared" si="7"/>
        <v>The datastream containing mesures of field z6-19948 by sensor z6-19948 which measures X-axis Level.</v>
      </c>
    </row>
    <row r="213" spans="1:16" ht="12.75">
      <c r="A213" s="4" t="s">
        <v>176</v>
      </c>
      <c r="B213" s="4" t="s">
        <v>712</v>
      </c>
      <c r="C213" s="4" t="s">
        <v>688</v>
      </c>
      <c r="D213" s="4">
        <v>35.5688222</v>
      </c>
      <c r="E213" s="4">
        <v>31.9277582</v>
      </c>
      <c r="F213" s="4" t="s">
        <v>712</v>
      </c>
      <c r="G213" s="4" t="s">
        <v>689</v>
      </c>
      <c r="H213" s="4" t="s">
        <v>690</v>
      </c>
      <c r="I213" s="4" t="s">
        <v>691</v>
      </c>
      <c r="J213" s="4" t="s">
        <v>711</v>
      </c>
      <c r="K213" s="4" t="s">
        <v>711</v>
      </c>
      <c r="L213" s="4" t="str">
        <f>VLOOKUP($K213,'Property names'!$A$1:$D$99,2,FALSE)</f>
        <v>The position or value along the vertical axis of a graph or coordinate system.</v>
      </c>
      <c r="M213" s="4" t="str">
        <f>VLOOKUP($K213,'Property names'!$A$1:$D$99,3,FALSE)</f>
        <v>Degrees</v>
      </c>
      <c r="N213" s="4" t="str">
        <f>VLOOKUP($K213,'Property names'!$A$1:$D$99,4,FALSE)</f>
        <v>º</v>
      </c>
      <c r="O213" s="4" t="str">
        <f t="shared" si="6"/>
        <v>z6-19948_z6-19948_Y-axis_Level</v>
      </c>
      <c r="P213" s="4" t="str">
        <f t="shared" si="7"/>
        <v>The datastream containing mesures of field z6-19948 by sensor z6-19948 which measures Y-axis Level.</v>
      </c>
    </row>
    <row r="214" spans="1:16" ht="12.75">
      <c r="G214" s="4"/>
      <c r="L214" s="4"/>
      <c r="M214" s="4"/>
      <c r="N214" s="4"/>
      <c r="O214" s="4"/>
    </row>
    <row r="215" spans="1:16" ht="12.75">
      <c r="A215" s="4" t="s">
        <v>301</v>
      </c>
      <c r="B215" s="4" t="s">
        <v>713</v>
      </c>
      <c r="C215" s="4" t="s">
        <v>714</v>
      </c>
      <c r="D215" s="4">
        <v>36.046433999999998</v>
      </c>
      <c r="E215" s="4">
        <v>34.009472000000002</v>
      </c>
      <c r="F215" s="4" t="s">
        <v>713</v>
      </c>
      <c r="G215" s="4" t="s">
        <v>715</v>
      </c>
      <c r="H215" s="4" t="s">
        <v>690</v>
      </c>
      <c r="I215" s="4" t="s">
        <v>691</v>
      </c>
      <c r="J215" s="4" t="s">
        <v>716</v>
      </c>
      <c r="K215" s="4" t="s">
        <v>708</v>
      </c>
      <c r="L215" s="4" t="str">
        <f>VLOOKUP($K215,'Property names'!$A$1:$D$99,2,FALSE)</f>
        <v>The compass direction from which the wind is blowing.</v>
      </c>
      <c r="M215" s="4" t="str">
        <f>VLOOKUP($K215,'Property names'!$A$1:$D$99,3,FALSE)</f>
        <v>Degrees</v>
      </c>
      <c r="N215" s="4" t="str">
        <f>VLOOKUP($K215,'Property names'!$A$1:$D$99,4,FALSE)</f>
        <v>º</v>
      </c>
      <c r="O215" s="4" t="str">
        <f t="shared" ref="O215:O460" si="8">SUBSTITUTE(CONCATENATE(B215,"_",F215,"_",J215)," ","_")</f>
        <v>000008DD_000008DD_Wind_direction_avg</v>
      </c>
      <c r="P215" s="4" t="str">
        <f t="shared" ref="P215:P460" si="9">CONCATENATE("The datastream containing mesures of field ",B215," by sensor ",F215," which measures ",K215,".")</f>
        <v>The datastream containing mesures of field 000008DD by sensor 000008DD which measures Wind Direction.</v>
      </c>
    </row>
    <row r="216" spans="1:16" ht="12.75">
      <c r="A216" s="4" t="s">
        <v>301</v>
      </c>
      <c r="B216" s="4" t="s">
        <v>713</v>
      </c>
      <c r="C216" s="4" t="s">
        <v>714</v>
      </c>
      <c r="D216" s="4">
        <v>36.046433999999998</v>
      </c>
      <c r="E216" s="4">
        <v>34.009472000000002</v>
      </c>
      <c r="F216" s="4" t="s">
        <v>713</v>
      </c>
      <c r="G216" s="4" t="s">
        <v>715</v>
      </c>
      <c r="H216" s="4" t="s">
        <v>690</v>
      </c>
      <c r="I216" s="4" t="s">
        <v>691</v>
      </c>
      <c r="J216" s="4" t="s">
        <v>717</v>
      </c>
      <c r="K216" s="4" t="s">
        <v>708</v>
      </c>
      <c r="L216" s="4" t="str">
        <f>VLOOKUP($K216,'Property names'!$A$1:$D$99,2,FALSE)</f>
        <v>The compass direction from which the wind is blowing.</v>
      </c>
      <c r="M216" s="4" t="str">
        <f>VLOOKUP($K216,'Property names'!$A$1:$D$99,3,FALSE)</f>
        <v>Degrees</v>
      </c>
      <c r="N216" s="4" t="str">
        <f>VLOOKUP($K216,'Property names'!$A$1:$D$99,4,FALSE)</f>
        <v>º</v>
      </c>
      <c r="O216" s="4" t="str">
        <f t="shared" si="8"/>
        <v>000008DD_000008DD_Wind_direction_last</v>
      </c>
      <c r="P216" s="4" t="str">
        <f t="shared" si="9"/>
        <v>The datastream containing mesures of field 000008DD by sensor 000008DD which measures Wind Direction.</v>
      </c>
    </row>
    <row r="217" spans="1:16" ht="12.75">
      <c r="A217" s="4" t="s">
        <v>301</v>
      </c>
      <c r="B217" s="4" t="s">
        <v>713</v>
      </c>
      <c r="C217" s="4" t="s">
        <v>714</v>
      </c>
      <c r="D217" s="4">
        <v>36.046433999999998</v>
      </c>
      <c r="E217" s="4">
        <v>34.009472000000002</v>
      </c>
      <c r="F217" s="4" t="s">
        <v>713</v>
      </c>
      <c r="G217" s="4" t="s">
        <v>715</v>
      </c>
      <c r="H217" s="4" t="s">
        <v>690</v>
      </c>
      <c r="I217" s="4" t="s">
        <v>691</v>
      </c>
      <c r="J217" s="4" t="s">
        <v>718</v>
      </c>
      <c r="K217" s="4" t="s">
        <v>701</v>
      </c>
      <c r="L217" s="4" t="str">
        <f>VLOOKUP($K217,'Property names'!$A$1:$D$99,2,FALSE)</f>
        <v>Any form of water, liquid or solid, falling from the sky, such as rain, snow, or sleet.</v>
      </c>
      <c r="M217" s="4" t="str">
        <f>VLOOKUP($K217,'Property names'!$A$1:$D$99,3,FALSE)</f>
        <v>Millimeters</v>
      </c>
      <c r="N217" s="4" t="str">
        <f>VLOOKUP($K217,'Property names'!$A$1:$D$99,4,FALSE)</f>
        <v>mm</v>
      </c>
      <c r="O217" s="4" t="str">
        <f t="shared" si="8"/>
        <v>000008DD_000008DD_Precipitation_sum</v>
      </c>
      <c r="P217" s="4" t="str">
        <f t="shared" si="9"/>
        <v>The datastream containing mesures of field 000008DD by sensor 000008DD which measures Precipitation.</v>
      </c>
    </row>
    <row r="218" spans="1:16" ht="12.75">
      <c r="A218" s="4" t="s">
        <v>301</v>
      </c>
      <c r="B218" s="4" t="s">
        <v>713</v>
      </c>
      <c r="C218" s="4" t="s">
        <v>714</v>
      </c>
      <c r="D218" s="4">
        <v>36.046433999999998</v>
      </c>
      <c r="E218" s="4">
        <v>34.009472000000002</v>
      </c>
      <c r="F218" s="4" t="s">
        <v>713</v>
      </c>
      <c r="G218" s="4" t="s">
        <v>715</v>
      </c>
      <c r="H218" s="4" t="s">
        <v>690</v>
      </c>
      <c r="I218" s="4" t="s">
        <v>691</v>
      </c>
      <c r="J218" s="4" t="s">
        <v>719</v>
      </c>
      <c r="K218" s="4" t="s">
        <v>709</v>
      </c>
      <c r="L218" s="4" t="str">
        <f>VLOOKUP($K218,'Property names'!$A$1:$D$99,2,FALSE)</f>
        <v>The rate at which the air is moving horizontally, often measured in miles per hour or meters per second.</v>
      </c>
      <c r="M218" s="4" t="str">
        <f>VLOOKUP($K218,'Property names'!$A$1:$D$99,3,FALSE)</f>
        <v>Meters per second</v>
      </c>
      <c r="N218" s="4" t="str">
        <f>VLOOKUP($K218,'Property names'!$A$1:$D$99,4,FALSE)</f>
        <v>m/s</v>
      </c>
      <c r="O218" s="4" t="str">
        <f t="shared" si="8"/>
        <v>000008DD_000008DD_Wind_speed_avg</v>
      </c>
      <c r="P218" s="4" t="str">
        <f t="shared" si="9"/>
        <v>The datastream containing mesures of field 000008DD by sensor 000008DD which measures Wind Speed.</v>
      </c>
    </row>
    <row r="219" spans="1:16" ht="12.75">
      <c r="A219" s="4" t="s">
        <v>301</v>
      </c>
      <c r="B219" s="4" t="s">
        <v>713</v>
      </c>
      <c r="C219" s="4" t="s">
        <v>714</v>
      </c>
      <c r="D219" s="4">
        <v>36.046433999999998</v>
      </c>
      <c r="E219" s="4">
        <v>34.009472000000002</v>
      </c>
      <c r="F219" s="4" t="s">
        <v>713</v>
      </c>
      <c r="G219" s="4" t="s">
        <v>715</v>
      </c>
      <c r="H219" s="4" t="s">
        <v>690</v>
      </c>
      <c r="I219" s="4" t="s">
        <v>691</v>
      </c>
      <c r="J219" s="4" t="s">
        <v>720</v>
      </c>
      <c r="K219" s="4" t="s">
        <v>709</v>
      </c>
      <c r="L219" s="4" t="str">
        <f>VLOOKUP($K219,'Property names'!$A$1:$D$99,2,FALSE)</f>
        <v>The rate at which the air is moving horizontally, often measured in miles per hour or meters per second.</v>
      </c>
      <c r="M219" s="4" t="str">
        <f>VLOOKUP($K219,'Property names'!$A$1:$D$99,3,FALSE)</f>
        <v>Meters per second</v>
      </c>
      <c r="N219" s="4" t="str">
        <f>VLOOKUP($K219,'Property names'!$A$1:$D$99,4,FALSE)</f>
        <v>m/s</v>
      </c>
      <c r="O219" s="4" t="str">
        <f t="shared" si="8"/>
        <v>000008DD_000008DD_Wind_speed_max</v>
      </c>
      <c r="P219" s="4" t="str">
        <f t="shared" si="9"/>
        <v>The datastream containing mesures of field 000008DD by sensor 000008DD which measures Wind Speed.</v>
      </c>
    </row>
    <row r="220" spans="1:16" ht="12.75">
      <c r="A220" s="4" t="s">
        <v>301</v>
      </c>
      <c r="B220" s="4" t="s">
        <v>713</v>
      </c>
      <c r="C220" s="4" t="s">
        <v>714</v>
      </c>
      <c r="D220" s="4">
        <v>36.046433999999998</v>
      </c>
      <c r="E220" s="4">
        <v>34.009472000000002</v>
      </c>
      <c r="F220" s="4" t="s">
        <v>713</v>
      </c>
      <c r="G220" s="4" t="s">
        <v>715</v>
      </c>
      <c r="H220" s="4" t="s">
        <v>690</v>
      </c>
      <c r="I220" s="4" t="s">
        <v>691</v>
      </c>
      <c r="J220" s="4" t="s">
        <v>721</v>
      </c>
      <c r="K220" s="4" t="s">
        <v>647</v>
      </c>
      <c r="L220" s="4" t="str">
        <f>VLOOKUP($K220,'Property names'!$A$1:$D$99,2,FALSE)</f>
        <v>The percentage of battery level associated to the specific sensor.</v>
      </c>
      <c r="M220" s="4" t="str">
        <f>VLOOKUP($K220,'Property names'!$A$1:$D$99,3,FALSE)</f>
        <v>Percentage</v>
      </c>
      <c r="N220" s="4" t="str">
        <f>VLOOKUP($K220,'Property names'!$A$1:$D$99,4,FALSE)</f>
        <v>%</v>
      </c>
      <c r="O220" s="4" t="str">
        <f t="shared" si="8"/>
        <v>000008DD_000008DD_Battery_last</v>
      </c>
      <c r="P220" s="4" t="str">
        <f t="shared" si="9"/>
        <v>The datastream containing mesures of field 000008DD by sensor 000008DD which measures Battery Level.</v>
      </c>
    </row>
    <row r="221" spans="1:16" ht="12.75">
      <c r="A221" s="4" t="s">
        <v>301</v>
      </c>
      <c r="B221" s="4" t="s">
        <v>713</v>
      </c>
      <c r="C221" s="4" t="s">
        <v>714</v>
      </c>
      <c r="D221" s="4">
        <v>36.046433999999998</v>
      </c>
      <c r="E221" s="4">
        <v>34.009472000000002</v>
      </c>
      <c r="F221" s="4" t="s">
        <v>713</v>
      </c>
      <c r="G221" s="4" t="s">
        <v>715</v>
      </c>
      <c r="H221" s="4" t="s">
        <v>690</v>
      </c>
      <c r="I221" s="4" t="s">
        <v>691</v>
      </c>
      <c r="J221" s="4" t="s">
        <v>722</v>
      </c>
      <c r="K221" s="4" t="s">
        <v>723</v>
      </c>
      <c r="L221" s="4" t="str">
        <f>VLOOKUP($K221,'Property names'!$A$1:$D$99,2,FALSE)</f>
        <v>The presence of moisture on the surface of plant leaves, often indicating favorable conditions for disease development.</v>
      </c>
      <c r="M221" s="4" t="str">
        <f>VLOOKUP($K221,'Property names'!$A$1:$D$99,3,FALSE)</f>
        <v>-</v>
      </c>
      <c r="N221" s="4" t="str">
        <f>VLOOKUP($K221,'Property names'!$A$1:$D$99,4,FALSE)</f>
        <v>-</v>
      </c>
      <c r="O221" s="4" t="str">
        <f t="shared" si="8"/>
        <v>000008DD_000008DD_Leaf_Wetness_time</v>
      </c>
      <c r="P221" s="4" t="str">
        <f t="shared" si="9"/>
        <v>The datastream containing mesures of field 000008DD by sensor 000008DD which measures Leaf Wetness.</v>
      </c>
    </row>
    <row r="222" spans="1:16" ht="12.75">
      <c r="A222" s="4" t="s">
        <v>301</v>
      </c>
      <c r="B222" s="4" t="s">
        <v>713</v>
      </c>
      <c r="C222" s="4" t="s">
        <v>714</v>
      </c>
      <c r="D222" s="4">
        <v>36.046433999999998</v>
      </c>
      <c r="E222" s="4">
        <v>34.009472000000002</v>
      </c>
      <c r="F222" s="4" t="s">
        <v>713</v>
      </c>
      <c r="G222" s="4" t="s">
        <v>715</v>
      </c>
      <c r="H222" s="4" t="s">
        <v>690</v>
      </c>
      <c r="I222" s="4" t="s">
        <v>691</v>
      </c>
      <c r="J222" s="4" t="s">
        <v>724</v>
      </c>
      <c r="K222" s="4" t="s">
        <v>638</v>
      </c>
      <c r="L222" s="4" t="str">
        <f>VLOOKUP($K222,'Property names'!$A$1:$D$99,2,FALSE)</f>
        <v>The measure of the hotness or coldness of the air.</v>
      </c>
      <c r="M222" s="4" t="str">
        <f>VLOOKUP($K222,'Property names'!$A$1:$D$99,3,FALSE)</f>
        <v>Degrees Celsius</v>
      </c>
      <c r="N222" s="4" t="str">
        <f>VLOOKUP($K222,'Property names'!$A$1:$D$99,4,FALSE)</f>
        <v>ºC</v>
      </c>
      <c r="O222" s="4" t="str">
        <f t="shared" si="8"/>
        <v>000008DD_000008DD_HC_Air_temperature_avg</v>
      </c>
      <c r="P222" s="4" t="str">
        <f t="shared" si="9"/>
        <v>The datastream containing mesures of field 000008DD by sensor 000008DD which measures Air Temperature.</v>
      </c>
    </row>
    <row r="223" spans="1:16" ht="12.75">
      <c r="A223" s="4" t="s">
        <v>301</v>
      </c>
      <c r="B223" s="4" t="s">
        <v>713</v>
      </c>
      <c r="C223" s="4" t="s">
        <v>714</v>
      </c>
      <c r="D223" s="4">
        <v>36.046433999999998</v>
      </c>
      <c r="E223" s="4">
        <v>34.009472000000002</v>
      </c>
      <c r="F223" s="4" t="s">
        <v>713</v>
      </c>
      <c r="G223" s="4" t="s">
        <v>715</v>
      </c>
      <c r="H223" s="4" t="s">
        <v>690</v>
      </c>
      <c r="I223" s="4" t="s">
        <v>691</v>
      </c>
      <c r="J223" s="4" t="s">
        <v>725</v>
      </c>
      <c r="K223" s="4" t="s">
        <v>638</v>
      </c>
      <c r="L223" s="4" t="str">
        <f>VLOOKUP($K223,'Property names'!$A$1:$D$99,2,FALSE)</f>
        <v>The measure of the hotness or coldness of the air.</v>
      </c>
      <c r="M223" s="4" t="str">
        <f>VLOOKUP($K223,'Property names'!$A$1:$D$99,3,FALSE)</f>
        <v>Degrees Celsius</v>
      </c>
      <c r="N223" s="4" t="str">
        <f>VLOOKUP($K223,'Property names'!$A$1:$D$99,4,FALSE)</f>
        <v>ºC</v>
      </c>
      <c r="O223" s="4" t="str">
        <f t="shared" si="8"/>
        <v>000008DD_000008DD_HC_Air_temperature_max</v>
      </c>
      <c r="P223" s="4" t="str">
        <f t="shared" si="9"/>
        <v>The datastream containing mesures of field 000008DD by sensor 000008DD which measures Air Temperature.</v>
      </c>
    </row>
    <row r="224" spans="1:16" ht="12.75">
      <c r="A224" s="4" t="s">
        <v>301</v>
      </c>
      <c r="B224" s="4" t="s">
        <v>713</v>
      </c>
      <c r="C224" s="4" t="s">
        <v>714</v>
      </c>
      <c r="D224" s="4">
        <v>36.046433999999998</v>
      </c>
      <c r="E224" s="4">
        <v>34.009472000000002</v>
      </c>
      <c r="F224" s="4" t="s">
        <v>713</v>
      </c>
      <c r="G224" s="4" t="s">
        <v>715</v>
      </c>
      <c r="H224" s="4" t="s">
        <v>690</v>
      </c>
      <c r="I224" s="4" t="s">
        <v>691</v>
      </c>
      <c r="J224" s="4" t="s">
        <v>726</v>
      </c>
      <c r="K224" s="4" t="s">
        <v>638</v>
      </c>
      <c r="L224" s="4" t="str">
        <f>VLOOKUP($K224,'Property names'!$A$1:$D$99,2,FALSE)</f>
        <v>The measure of the hotness or coldness of the air.</v>
      </c>
      <c r="M224" s="4" t="str">
        <f>VLOOKUP($K224,'Property names'!$A$1:$D$99,3,FALSE)</f>
        <v>Degrees Celsius</v>
      </c>
      <c r="N224" s="4" t="str">
        <f>VLOOKUP($K224,'Property names'!$A$1:$D$99,4,FALSE)</f>
        <v>ºC</v>
      </c>
      <c r="O224" s="4" t="str">
        <f t="shared" si="8"/>
        <v>000008DD_000008DD_HC_Air_temperature_min</v>
      </c>
      <c r="P224" s="4" t="str">
        <f t="shared" si="9"/>
        <v>The datastream containing mesures of field 000008DD by sensor 000008DD which measures Air Temperature.</v>
      </c>
    </row>
    <row r="225" spans="1:16" ht="12.75">
      <c r="A225" s="4" t="s">
        <v>301</v>
      </c>
      <c r="B225" s="4" t="s">
        <v>713</v>
      </c>
      <c r="C225" s="4" t="s">
        <v>714</v>
      </c>
      <c r="D225" s="4">
        <v>36.046433999999998</v>
      </c>
      <c r="E225" s="4">
        <v>34.009472000000002</v>
      </c>
      <c r="F225" s="4" t="s">
        <v>713</v>
      </c>
      <c r="G225" s="4" t="s">
        <v>715</v>
      </c>
      <c r="H225" s="4" t="s">
        <v>690</v>
      </c>
      <c r="I225" s="4" t="s">
        <v>691</v>
      </c>
      <c r="J225" s="4" t="s">
        <v>727</v>
      </c>
      <c r="K225" s="4" t="s">
        <v>640</v>
      </c>
      <c r="L225" s="4" t="str">
        <f>VLOOKUP($K225,'Property names'!$A$1:$D$99,2,FALSE)</f>
        <v>The amount of moisture or water vapor present in the air, often expressed as a percentage of the maximum amount the air could hold at a given temperature.</v>
      </c>
      <c r="M225" s="4" t="str">
        <f>VLOOKUP($K225,'Property names'!$A$1:$D$99,3,FALSE)</f>
        <v>Percentage</v>
      </c>
      <c r="N225" s="4" t="str">
        <f>VLOOKUP($K225,'Property names'!$A$1:$D$99,4,FALSE)</f>
        <v>%</v>
      </c>
      <c r="O225" s="4" t="str">
        <f t="shared" si="8"/>
        <v>000008DD_000008DD_HC_Relative_humidity_avg</v>
      </c>
      <c r="P225" s="4" t="str">
        <f t="shared" si="9"/>
        <v>The datastream containing mesures of field 000008DD by sensor 000008DD which measures Air Humidity.</v>
      </c>
    </row>
    <row r="226" spans="1:16" ht="12.75">
      <c r="A226" s="4" t="s">
        <v>301</v>
      </c>
      <c r="B226" s="4" t="s">
        <v>713</v>
      </c>
      <c r="C226" s="4" t="s">
        <v>714</v>
      </c>
      <c r="D226" s="4">
        <v>36.046433999999998</v>
      </c>
      <c r="E226" s="4">
        <v>34.009472000000002</v>
      </c>
      <c r="F226" s="4" t="s">
        <v>713</v>
      </c>
      <c r="G226" s="4" t="s">
        <v>715</v>
      </c>
      <c r="H226" s="4" t="s">
        <v>690</v>
      </c>
      <c r="I226" s="4" t="s">
        <v>691</v>
      </c>
      <c r="J226" s="4" t="s">
        <v>728</v>
      </c>
      <c r="K226" s="4" t="s">
        <v>640</v>
      </c>
      <c r="L226" s="4" t="str">
        <f>VLOOKUP($K226,'Property names'!$A$1:$D$99,2,FALSE)</f>
        <v>The amount of moisture or water vapor present in the air, often expressed as a percentage of the maximum amount the air could hold at a given temperature.</v>
      </c>
      <c r="M226" s="4" t="str">
        <f>VLOOKUP($K226,'Property names'!$A$1:$D$99,3,FALSE)</f>
        <v>Percentage</v>
      </c>
      <c r="N226" s="4" t="str">
        <f>VLOOKUP($K226,'Property names'!$A$1:$D$99,4,FALSE)</f>
        <v>%</v>
      </c>
      <c r="O226" s="4" t="str">
        <f t="shared" si="8"/>
        <v>000008DD_000008DD_HC_Relative_humidity_max</v>
      </c>
      <c r="P226" s="4" t="str">
        <f t="shared" si="9"/>
        <v>The datastream containing mesures of field 000008DD by sensor 000008DD which measures Air Humidity.</v>
      </c>
    </row>
    <row r="227" spans="1:16" ht="12.75">
      <c r="A227" s="4" t="s">
        <v>301</v>
      </c>
      <c r="B227" s="4" t="s">
        <v>713</v>
      </c>
      <c r="C227" s="4" t="s">
        <v>714</v>
      </c>
      <c r="D227" s="4">
        <v>36.046433999999998</v>
      </c>
      <c r="E227" s="4">
        <v>34.009472000000002</v>
      </c>
      <c r="F227" s="4" t="s">
        <v>713</v>
      </c>
      <c r="G227" s="4" t="s">
        <v>715</v>
      </c>
      <c r="H227" s="4" t="s">
        <v>690</v>
      </c>
      <c r="I227" s="4" t="s">
        <v>691</v>
      </c>
      <c r="J227" s="4" t="s">
        <v>729</v>
      </c>
      <c r="K227" s="4" t="s">
        <v>640</v>
      </c>
      <c r="L227" s="4" t="str">
        <f>VLOOKUP($K227,'Property names'!$A$1:$D$99,2,FALSE)</f>
        <v>The amount of moisture or water vapor present in the air, often expressed as a percentage of the maximum amount the air could hold at a given temperature.</v>
      </c>
      <c r="M227" s="4" t="str">
        <f>VLOOKUP($K227,'Property names'!$A$1:$D$99,3,FALSE)</f>
        <v>Percentage</v>
      </c>
      <c r="N227" s="4" t="str">
        <f>VLOOKUP($K227,'Property names'!$A$1:$D$99,4,FALSE)</f>
        <v>%</v>
      </c>
      <c r="O227" s="4" t="str">
        <f t="shared" si="8"/>
        <v>000008DD_000008DD_HC_Relative_humidity_min</v>
      </c>
      <c r="P227" s="4" t="str">
        <f t="shared" si="9"/>
        <v>The datastream containing mesures of field 000008DD by sensor 000008DD which measures Air Humidity.</v>
      </c>
    </row>
    <row r="228" spans="1:16" ht="12.75">
      <c r="A228" s="4" t="s">
        <v>301</v>
      </c>
      <c r="B228" s="4" t="s">
        <v>713</v>
      </c>
      <c r="C228" s="4" t="s">
        <v>714</v>
      </c>
      <c r="D228" s="4">
        <v>36.046433999999998</v>
      </c>
      <c r="E228" s="4">
        <v>34.009472000000002</v>
      </c>
      <c r="F228" s="4" t="s">
        <v>713</v>
      </c>
      <c r="G228" s="4" t="s">
        <v>715</v>
      </c>
      <c r="H228" s="4" t="s">
        <v>690</v>
      </c>
      <c r="I228" s="4" t="s">
        <v>691</v>
      </c>
      <c r="J228" s="4" t="s">
        <v>730</v>
      </c>
      <c r="K228" s="4" t="s">
        <v>731</v>
      </c>
      <c r="L228" s="4" t="str">
        <f>VLOOKUP($K228,'Property names'!$A$1:$D$99,2,FALSE)</f>
        <v>The temperature at which air becomes saturated with moisture, leading to the formation of dew or condensation.</v>
      </c>
      <c r="M228" s="4" t="str">
        <f>VLOOKUP($K228,'Property names'!$A$1:$D$99,3,FALSE)</f>
        <v>Degrees Celsius</v>
      </c>
      <c r="N228" s="4" t="str">
        <f>VLOOKUP($K228,'Property names'!$A$1:$D$99,4,FALSE)</f>
        <v>ºC</v>
      </c>
      <c r="O228" s="4" t="str">
        <f t="shared" si="8"/>
        <v>000008DD_000008DD_Dew_Point_avg</v>
      </c>
      <c r="P228" s="4" t="str">
        <f t="shared" si="9"/>
        <v>The datastream containing mesures of field 000008DD by sensor 000008DD which measures Dew Point.</v>
      </c>
    </row>
    <row r="229" spans="1:16" ht="12.75">
      <c r="A229" s="4" t="s">
        <v>301</v>
      </c>
      <c r="B229" s="4" t="s">
        <v>713</v>
      </c>
      <c r="C229" s="4" t="s">
        <v>714</v>
      </c>
      <c r="D229" s="4">
        <v>36.046433999999998</v>
      </c>
      <c r="E229" s="4">
        <v>34.009472000000002</v>
      </c>
      <c r="F229" s="4" t="s">
        <v>713</v>
      </c>
      <c r="G229" s="4" t="s">
        <v>715</v>
      </c>
      <c r="H229" s="4" t="s">
        <v>690</v>
      </c>
      <c r="I229" s="4" t="s">
        <v>691</v>
      </c>
      <c r="J229" s="4" t="s">
        <v>732</v>
      </c>
      <c r="K229" s="4" t="s">
        <v>731</v>
      </c>
      <c r="L229" s="4" t="str">
        <f>VLOOKUP($K229,'Property names'!$A$1:$D$99,2,FALSE)</f>
        <v>The temperature at which air becomes saturated with moisture, leading to the formation of dew or condensation.</v>
      </c>
      <c r="M229" s="4" t="str">
        <f>VLOOKUP($K229,'Property names'!$A$1:$D$99,3,FALSE)</f>
        <v>Degrees Celsius</v>
      </c>
      <c r="N229" s="4" t="str">
        <f>VLOOKUP($K229,'Property names'!$A$1:$D$99,4,FALSE)</f>
        <v>ºC</v>
      </c>
      <c r="O229" s="4" t="str">
        <f t="shared" si="8"/>
        <v>000008DD_000008DD_Dew_Point_min</v>
      </c>
      <c r="P229" s="4" t="str">
        <f t="shared" si="9"/>
        <v>The datastream containing mesures of field 000008DD by sensor 000008DD which measures Dew Point.</v>
      </c>
    </row>
    <row r="230" spans="1:16" ht="12.75">
      <c r="A230" s="4" t="s">
        <v>301</v>
      </c>
      <c r="B230" s="4" t="s">
        <v>713</v>
      </c>
      <c r="C230" s="4" t="s">
        <v>714</v>
      </c>
      <c r="D230" s="4">
        <v>36.046433999999998</v>
      </c>
      <c r="E230" s="4">
        <v>34.009472000000002</v>
      </c>
      <c r="F230" s="4" t="s">
        <v>713</v>
      </c>
      <c r="G230" s="4" t="s">
        <v>715</v>
      </c>
      <c r="H230" s="4" t="s">
        <v>690</v>
      </c>
      <c r="I230" s="4" t="s">
        <v>691</v>
      </c>
      <c r="J230" s="4" t="s">
        <v>733</v>
      </c>
      <c r="K230" s="4" t="s">
        <v>692</v>
      </c>
      <c r="L230" s="4" t="str">
        <f>VLOOKUP($K230,'Property names'!$A$1:$D$99,2,FALSE)</f>
        <v>The force exerted by the weight of the air above a given point on Earth's surface, which can vary with changes in weather and altitude.</v>
      </c>
      <c r="M230" s="4" t="str">
        <f>VLOOKUP($K230,'Property names'!$A$1:$D$99,3,FALSE)</f>
        <v>Kilopascal</v>
      </c>
      <c r="N230" s="4" t="str">
        <f>VLOOKUP($K230,'Property names'!$A$1:$D$99,4,FALSE)</f>
        <v>kPa</v>
      </c>
      <c r="O230" s="4" t="str">
        <f t="shared" si="8"/>
        <v>000008DD_000008DD_Air_pressure_avg</v>
      </c>
      <c r="P230" s="4" t="str">
        <f t="shared" si="9"/>
        <v>The datastream containing mesures of field 000008DD by sensor 000008DD which measures Atmospheric Pressure.</v>
      </c>
    </row>
    <row r="231" spans="1:16" ht="12.75">
      <c r="A231" s="4" t="s">
        <v>301</v>
      </c>
      <c r="B231" s="4" t="s">
        <v>713</v>
      </c>
      <c r="C231" s="4" t="s">
        <v>714</v>
      </c>
      <c r="D231" s="4">
        <v>36.046433999999998</v>
      </c>
      <c r="E231" s="4">
        <v>34.009472000000002</v>
      </c>
      <c r="F231" s="4" t="s">
        <v>713</v>
      </c>
      <c r="G231" s="4" t="s">
        <v>715</v>
      </c>
      <c r="H231" s="4" t="s">
        <v>690</v>
      </c>
      <c r="I231" s="4" t="s">
        <v>691</v>
      </c>
      <c r="J231" s="4" t="s">
        <v>734</v>
      </c>
      <c r="K231" s="4" t="s">
        <v>692</v>
      </c>
      <c r="L231" s="4" t="str">
        <f>VLOOKUP($K231,'Property names'!$A$1:$D$99,2,FALSE)</f>
        <v>The force exerted by the weight of the air above a given point on Earth's surface, which can vary with changes in weather and altitude.</v>
      </c>
      <c r="M231" s="4" t="str">
        <f>VLOOKUP($K231,'Property names'!$A$1:$D$99,3,FALSE)</f>
        <v>Kilopascal</v>
      </c>
      <c r="N231" s="4" t="str">
        <f>VLOOKUP($K231,'Property names'!$A$1:$D$99,4,FALSE)</f>
        <v>kPa</v>
      </c>
      <c r="O231" s="4" t="str">
        <f t="shared" si="8"/>
        <v>000008DD_000008DD_Air_pressure_max</v>
      </c>
      <c r="P231" s="4" t="str">
        <f t="shared" si="9"/>
        <v>The datastream containing mesures of field 000008DD by sensor 000008DD which measures Atmospheric Pressure.</v>
      </c>
    </row>
    <row r="232" spans="1:16" ht="12.75">
      <c r="A232" s="4" t="s">
        <v>301</v>
      </c>
      <c r="B232" s="4" t="s">
        <v>713</v>
      </c>
      <c r="C232" s="4" t="s">
        <v>714</v>
      </c>
      <c r="D232" s="4">
        <v>36.046433999999998</v>
      </c>
      <c r="E232" s="4">
        <v>34.009472000000002</v>
      </c>
      <c r="F232" s="4" t="s">
        <v>713</v>
      </c>
      <c r="G232" s="4" t="s">
        <v>715</v>
      </c>
      <c r="H232" s="4" t="s">
        <v>690</v>
      </c>
      <c r="I232" s="4" t="s">
        <v>691</v>
      </c>
      <c r="J232" s="4" t="s">
        <v>735</v>
      </c>
      <c r="K232" s="4" t="s">
        <v>692</v>
      </c>
      <c r="L232" s="4" t="str">
        <f>VLOOKUP($K232,'Property names'!$A$1:$D$99,2,FALSE)</f>
        <v>The force exerted by the weight of the air above a given point on Earth's surface, which can vary with changes in weather and altitude.</v>
      </c>
      <c r="M232" s="4" t="str">
        <f>VLOOKUP($K232,'Property names'!$A$1:$D$99,3,FALSE)</f>
        <v>Kilopascal</v>
      </c>
      <c r="N232" s="4" t="str">
        <f>VLOOKUP($K232,'Property names'!$A$1:$D$99,4,FALSE)</f>
        <v>kPa</v>
      </c>
      <c r="O232" s="4" t="str">
        <f t="shared" si="8"/>
        <v>000008DD_000008DD_Air_pressure_min</v>
      </c>
      <c r="P232" s="4" t="str">
        <f t="shared" si="9"/>
        <v>The datastream containing mesures of field 000008DD by sensor 000008DD which measures Atmospheric Pressure.</v>
      </c>
    </row>
    <row r="233" spans="1:16" ht="12.75">
      <c r="A233" s="4" t="s">
        <v>301</v>
      </c>
      <c r="B233" s="4" t="s">
        <v>713</v>
      </c>
      <c r="C233" s="4" t="s">
        <v>714</v>
      </c>
      <c r="D233" s="4">
        <v>36.046433999999998</v>
      </c>
      <c r="E233" s="4">
        <v>34.009472000000002</v>
      </c>
      <c r="F233" s="4" t="s">
        <v>713</v>
      </c>
      <c r="G233" s="4" t="s">
        <v>715</v>
      </c>
      <c r="H233" s="4" t="s">
        <v>690</v>
      </c>
      <c r="I233" s="4" t="s">
        <v>691</v>
      </c>
      <c r="J233" s="4" t="s">
        <v>736</v>
      </c>
      <c r="K233" s="4" t="s">
        <v>708</v>
      </c>
      <c r="L233" s="4" t="str">
        <f>VLOOKUP($K233,'Property names'!$A$1:$D$99,2,FALSE)</f>
        <v>The compass direction from which the wind is blowing.</v>
      </c>
      <c r="M233" s="4" t="str">
        <f>VLOOKUP($K233,'Property names'!$A$1:$D$99,3,FALSE)</f>
        <v>Degrees</v>
      </c>
      <c r="N233" s="4" t="str">
        <f>VLOOKUP($K233,'Property names'!$A$1:$D$99,4,FALSE)</f>
        <v>º</v>
      </c>
      <c r="O233" s="4" t="str">
        <f t="shared" si="8"/>
        <v>000008DD_000008DD_Wind_orientation</v>
      </c>
      <c r="P233" s="4" t="str">
        <f t="shared" si="9"/>
        <v>The datastream containing mesures of field 000008DD by sensor 000008DD which measures Wind Direction.</v>
      </c>
    </row>
    <row r="234" spans="1:16" ht="12.75">
      <c r="A234" s="4" t="s">
        <v>301</v>
      </c>
      <c r="B234" s="4" t="s">
        <v>713</v>
      </c>
      <c r="C234" s="4" t="s">
        <v>714</v>
      </c>
      <c r="D234" s="4">
        <v>36.046433999999998</v>
      </c>
      <c r="E234" s="4">
        <v>34.009472000000002</v>
      </c>
      <c r="F234" s="4" t="s">
        <v>713</v>
      </c>
      <c r="G234" s="4" t="s">
        <v>715</v>
      </c>
      <c r="H234" s="4" t="s">
        <v>690</v>
      </c>
      <c r="I234" s="4" t="s">
        <v>691</v>
      </c>
      <c r="J234" s="4" t="s">
        <v>737</v>
      </c>
      <c r="K234" s="4" t="s">
        <v>737</v>
      </c>
      <c r="L234" s="4" t="str">
        <f>VLOOKUP($K234,'Property names'!$A$1:$D$99,2,FALSE)</f>
        <v>The point in time at the middle of the night, commonly defined as 12:00 AM.</v>
      </c>
      <c r="M234" s="4" t="str">
        <f>VLOOKUP($K234,'Property names'!$A$1:$D$99,3,FALSE)</f>
        <v>-</v>
      </c>
      <c r="N234" s="4" t="str">
        <f>VLOOKUP($K234,'Property names'!$A$1:$D$99,4,FALSE)</f>
        <v>-</v>
      </c>
      <c r="O234" s="4" t="str">
        <f t="shared" si="8"/>
        <v>000008DD_000008DD_Midnight</v>
      </c>
      <c r="P234" s="4" t="str">
        <f t="shared" si="9"/>
        <v>The datastream containing mesures of field 000008DD by sensor 000008DD which measures Midnight.</v>
      </c>
    </row>
    <row r="235" spans="1:16" ht="12.75">
      <c r="A235" s="4" t="s">
        <v>301</v>
      </c>
      <c r="B235" s="148" t="s">
        <v>738</v>
      </c>
      <c r="C235" s="4" t="s">
        <v>714</v>
      </c>
      <c r="D235" s="4">
        <v>35.667451</v>
      </c>
      <c r="E235" s="4">
        <v>33.540317999999999</v>
      </c>
      <c r="F235" s="148" t="s">
        <v>738</v>
      </c>
      <c r="G235" s="4" t="s">
        <v>715</v>
      </c>
      <c r="H235" s="4" t="s">
        <v>690</v>
      </c>
      <c r="I235" s="4" t="s">
        <v>691</v>
      </c>
      <c r="J235" s="4" t="s">
        <v>739</v>
      </c>
      <c r="K235" s="4" t="s">
        <v>740</v>
      </c>
      <c r="L235" s="4" t="str">
        <f>VLOOKUP($K235,'Property names'!$A$1:$D$99,2,FALSE)</f>
        <v>A device that converts sunlight into electricity by harnessing the photovoltaic effect.</v>
      </c>
      <c r="M235" s="4" t="str">
        <f>VLOOKUP($K235,'Property names'!$A$1:$D$99,3,FALSE)</f>
        <v>-</v>
      </c>
      <c r="N235" s="4" t="str">
        <f>VLOOKUP($K235,'Property names'!$A$1:$D$99,4,FALSE)</f>
        <v>-</v>
      </c>
      <c r="O235" s="4" t="str">
        <f t="shared" si="8"/>
        <v>000008E0_000008E0_Solar_Panel_last</v>
      </c>
      <c r="P235" s="4" t="str">
        <f t="shared" si="9"/>
        <v>The datastream containing mesures of field 000008E0 by sensor 000008E0 which measures Solar Panel.</v>
      </c>
    </row>
    <row r="236" spans="1:16" ht="12.75">
      <c r="A236" s="4" t="s">
        <v>301</v>
      </c>
      <c r="B236" s="148" t="s">
        <v>738</v>
      </c>
      <c r="C236" s="4" t="s">
        <v>714</v>
      </c>
      <c r="D236" s="4">
        <v>35.667451</v>
      </c>
      <c r="E236" s="4">
        <v>33.540317999999999</v>
      </c>
      <c r="F236" s="148" t="s">
        <v>738</v>
      </c>
      <c r="G236" s="4" t="s">
        <v>715</v>
      </c>
      <c r="H236" s="4" t="s">
        <v>690</v>
      </c>
      <c r="I236" s="4" t="s">
        <v>691</v>
      </c>
      <c r="J236" s="4" t="s">
        <v>718</v>
      </c>
      <c r="K236" s="4" t="s">
        <v>701</v>
      </c>
      <c r="L236" s="4" t="str">
        <f>VLOOKUP($K236,'Property names'!$A$1:$D$99,2,FALSE)</f>
        <v>Any form of water, liquid or solid, falling from the sky, such as rain, snow, or sleet.</v>
      </c>
      <c r="M236" s="4" t="str">
        <f>VLOOKUP($K236,'Property names'!$A$1:$D$99,3,FALSE)</f>
        <v>Millimeters</v>
      </c>
      <c r="N236" s="4" t="str">
        <f>VLOOKUP($K236,'Property names'!$A$1:$D$99,4,FALSE)</f>
        <v>mm</v>
      </c>
      <c r="O236" s="4" t="str">
        <f t="shared" si="8"/>
        <v>000008E0_000008E0_Precipitation_sum</v>
      </c>
      <c r="P236" s="4" t="str">
        <f t="shared" si="9"/>
        <v>The datastream containing mesures of field 000008E0 by sensor 000008E0 which measures Precipitation.</v>
      </c>
    </row>
    <row r="237" spans="1:16" ht="12.75">
      <c r="A237" s="4" t="s">
        <v>301</v>
      </c>
      <c r="B237" s="148" t="s">
        <v>738</v>
      </c>
      <c r="C237" s="4" t="s">
        <v>714</v>
      </c>
      <c r="D237" s="4">
        <v>35.667451</v>
      </c>
      <c r="E237" s="4">
        <v>33.540317999999999</v>
      </c>
      <c r="F237" s="148" t="s">
        <v>738</v>
      </c>
      <c r="G237" s="4" t="s">
        <v>715</v>
      </c>
      <c r="H237" s="4" t="s">
        <v>690</v>
      </c>
      <c r="I237" s="4" t="s">
        <v>691</v>
      </c>
      <c r="J237" s="4" t="s">
        <v>721</v>
      </c>
      <c r="K237" s="4" t="s">
        <v>647</v>
      </c>
      <c r="L237" s="4" t="str">
        <f>VLOOKUP($K237,'Property names'!$A$1:$D$99,2,FALSE)</f>
        <v>The percentage of battery level associated to the specific sensor.</v>
      </c>
      <c r="M237" s="4" t="str">
        <f>VLOOKUP($K237,'Property names'!$A$1:$D$99,3,FALSE)</f>
        <v>Percentage</v>
      </c>
      <c r="N237" s="4" t="str">
        <f>VLOOKUP($K237,'Property names'!$A$1:$D$99,4,FALSE)</f>
        <v>%</v>
      </c>
      <c r="O237" s="4" t="str">
        <f t="shared" si="8"/>
        <v>000008E0_000008E0_Battery_last</v>
      </c>
      <c r="P237" s="4" t="str">
        <f t="shared" si="9"/>
        <v>The datastream containing mesures of field 000008E0 by sensor 000008E0 which measures Battery Level.</v>
      </c>
    </row>
    <row r="238" spans="1:16" ht="12.75">
      <c r="A238" s="4" t="s">
        <v>301</v>
      </c>
      <c r="B238" s="148" t="s">
        <v>738</v>
      </c>
      <c r="C238" s="4" t="s">
        <v>714</v>
      </c>
      <c r="D238" s="4">
        <v>35.667451</v>
      </c>
      <c r="E238" s="4">
        <v>33.540317999999999</v>
      </c>
      <c r="F238" s="148" t="s">
        <v>738</v>
      </c>
      <c r="G238" s="4" t="s">
        <v>715</v>
      </c>
      <c r="H238" s="4" t="s">
        <v>690</v>
      </c>
      <c r="I238" s="4" t="s">
        <v>691</v>
      </c>
      <c r="J238" s="4" t="s">
        <v>722</v>
      </c>
      <c r="K238" s="4" t="s">
        <v>723</v>
      </c>
      <c r="L238" s="4" t="str">
        <f>VLOOKUP($K238,'Property names'!$A$1:$D$99,2,FALSE)</f>
        <v>The presence of moisture on the surface of plant leaves, often indicating favorable conditions for disease development.</v>
      </c>
      <c r="M238" s="4" t="str">
        <f>VLOOKUP($K238,'Property names'!$A$1:$D$99,3,FALSE)</f>
        <v>-</v>
      </c>
      <c r="N238" s="4" t="str">
        <f>VLOOKUP($K238,'Property names'!$A$1:$D$99,4,FALSE)</f>
        <v>-</v>
      </c>
      <c r="O238" s="4" t="str">
        <f t="shared" si="8"/>
        <v>000008E0_000008E0_Leaf_Wetness_time</v>
      </c>
      <c r="P238" s="4" t="str">
        <f t="shared" si="9"/>
        <v>The datastream containing mesures of field 000008E0 by sensor 000008E0 which measures Leaf Wetness.</v>
      </c>
    </row>
    <row r="239" spans="1:16" ht="12.75">
      <c r="A239" s="4" t="s">
        <v>301</v>
      </c>
      <c r="B239" s="148" t="s">
        <v>738</v>
      </c>
      <c r="C239" s="4" t="s">
        <v>714</v>
      </c>
      <c r="D239" s="4">
        <v>35.667451</v>
      </c>
      <c r="E239" s="4">
        <v>33.540317999999999</v>
      </c>
      <c r="F239" s="148" t="s">
        <v>738</v>
      </c>
      <c r="G239" s="4" t="s">
        <v>715</v>
      </c>
      <c r="H239" s="4" t="s">
        <v>690</v>
      </c>
      <c r="I239" s="4" t="s">
        <v>691</v>
      </c>
      <c r="J239" s="4" t="s">
        <v>741</v>
      </c>
      <c r="K239" s="4" t="s">
        <v>742</v>
      </c>
      <c r="L239" s="4" t="str">
        <f>VLOOKUP($K239,'Property names'!$A$1:$D$99,2,FALSE)</f>
        <v>A unique identifier assigned to an individual item, facilitating its tracking and differentiation from others.</v>
      </c>
      <c r="M239" s="4" t="str">
        <f>VLOOKUP($K239,'Property names'!$A$1:$D$99,3,FALSE)</f>
        <v>-</v>
      </c>
      <c r="N239" s="4" t="str">
        <f>VLOOKUP($K239,'Property names'!$A$1:$D$99,4,FALSE)</f>
        <v>-</v>
      </c>
      <c r="O239" s="4" t="str">
        <f t="shared" si="8"/>
        <v>000008E0_000008E0_HC_Serial_Number_last</v>
      </c>
      <c r="P239" s="4" t="str">
        <f t="shared" si="9"/>
        <v>The datastream containing mesures of field 000008E0 by sensor 000008E0 which measures Serial Number.</v>
      </c>
    </row>
    <row r="240" spans="1:16" ht="12.75">
      <c r="A240" s="4" t="s">
        <v>301</v>
      </c>
      <c r="B240" s="148" t="s">
        <v>738</v>
      </c>
      <c r="C240" s="4" t="s">
        <v>714</v>
      </c>
      <c r="D240" s="4">
        <v>35.667451</v>
      </c>
      <c r="E240" s="4">
        <v>33.540317999999999</v>
      </c>
      <c r="F240" s="148" t="s">
        <v>738</v>
      </c>
      <c r="G240" s="4" t="s">
        <v>715</v>
      </c>
      <c r="H240" s="4" t="s">
        <v>690</v>
      </c>
      <c r="I240" s="4" t="s">
        <v>691</v>
      </c>
      <c r="J240" s="4" t="s">
        <v>724</v>
      </c>
      <c r="K240" s="4" t="s">
        <v>638</v>
      </c>
      <c r="L240" s="4" t="str">
        <f>VLOOKUP($K240,'Property names'!$A$1:$D$99,2,FALSE)</f>
        <v>The measure of the hotness or coldness of the air.</v>
      </c>
      <c r="M240" s="4" t="str">
        <f>VLOOKUP($K240,'Property names'!$A$1:$D$99,3,FALSE)</f>
        <v>Degrees Celsius</v>
      </c>
      <c r="N240" s="4" t="str">
        <f>VLOOKUP($K240,'Property names'!$A$1:$D$99,4,FALSE)</f>
        <v>ºC</v>
      </c>
      <c r="O240" s="4" t="str">
        <f t="shared" si="8"/>
        <v>000008E0_000008E0_HC_Air_temperature_avg</v>
      </c>
      <c r="P240" s="4" t="str">
        <f t="shared" si="9"/>
        <v>The datastream containing mesures of field 000008E0 by sensor 000008E0 which measures Air Temperature.</v>
      </c>
    </row>
    <row r="241" spans="1:16" ht="12.75">
      <c r="A241" s="4" t="s">
        <v>301</v>
      </c>
      <c r="B241" s="148" t="s">
        <v>738</v>
      </c>
      <c r="C241" s="4" t="s">
        <v>714</v>
      </c>
      <c r="D241" s="4">
        <v>35.667451</v>
      </c>
      <c r="E241" s="4">
        <v>33.540317999999999</v>
      </c>
      <c r="F241" s="148" t="s">
        <v>738</v>
      </c>
      <c r="G241" s="4" t="s">
        <v>715</v>
      </c>
      <c r="H241" s="4" t="s">
        <v>690</v>
      </c>
      <c r="I241" s="4" t="s">
        <v>691</v>
      </c>
      <c r="J241" s="4" t="s">
        <v>725</v>
      </c>
      <c r="K241" s="4" t="s">
        <v>638</v>
      </c>
      <c r="L241" s="4" t="str">
        <f>VLOOKUP($K241,'Property names'!$A$1:$D$99,2,FALSE)</f>
        <v>The measure of the hotness or coldness of the air.</v>
      </c>
      <c r="M241" s="4" t="str">
        <f>VLOOKUP($K241,'Property names'!$A$1:$D$99,3,FALSE)</f>
        <v>Degrees Celsius</v>
      </c>
      <c r="N241" s="4" t="str">
        <f>VLOOKUP($K241,'Property names'!$A$1:$D$99,4,FALSE)</f>
        <v>ºC</v>
      </c>
      <c r="O241" s="4" t="str">
        <f t="shared" si="8"/>
        <v>000008E0_000008E0_HC_Air_temperature_max</v>
      </c>
      <c r="P241" s="4" t="str">
        <f t="shared" si="9"/>
        <v>The datastream containing mesures of field 000008E0 by sensor 000008E0 which measures Air Temperature.</v>
      </c>
    </row>
    <row r="242" spans="1:16" ht="12.75">
      <c r="A242" s="4" t="s">
        <v>301</v>
      </c>
      <c r="B242" s="148" t="s">
        <v>738</v>
      </c>
      <c r="C242" s="4" t="s">
        <v>714</v>
      </c>
      <c r="D242" s="4">
        <v>35.667451</v>
      </c>
      <c r="E242" s="4">
        <v>33.540317999999999</v>
      </c>
      <c r="F242" s="148" t="s">
        <v>738</v>
      </c>
      <c r="G242" s="4" t="s">
        <v>715</v>
      </c>
      <c r="H242" s="4" t="s">
        <v>690</v>
      </c>
      <c r="I242" s="4" t="s">
        <v>691</v>
      </c>
      <c r="J242" s="4" t="s">
        <v>726</v>
      </c>
      <c r="K242" s="4" t="s">
        <v>638</v>
      </c>
      <c r="L242" s="4" t="str">
        <f>VLOOKUP($K242,'Property names'!$A$1:$D$99,2,FALSE)</f>
        <v>The measure of the hotness or coldness of the air.</v>
      </c>
      <c r="M242" s="4" t="str">
        <f>VLOOKUP($K242,'Property names'!$A$1:$D$99,3,FALSE)</f>
        <v>Degrees Celsius</v>
      </c>
      <c r="N242" s="4" t="str">
        <f>VLOOKUP($K242,'Property names'!$A$1:$D$99,4,FALSE)</f>
        <v>ºC</v>
      </c>
      <c r="O242" s="4" t="str">
        <f t="shared" si="8"/>
        <v>000008E0_000008E0_HC_Air_temperature_min</v>
      </c>
      <c r="P242" s="4" t="str">
        <f t="shared" si="9"/>
        <v>The datastream containing mesures of field 000008E0 by sensor 000008E0 which measures Air Temperature.</v>
      </c>
    </row>
    <row r="243" spans="1:16" ht="12.75">
      <c r="A243" s="4" t="s">
        <v>301</v>
      </c>
      <c r="B243" s="148" t="s">
        <v>738</v>
      </c>
      <c r="C243" s="4" t="s">
        <v>714</v>
      </c>
      <c r="D243" s="4">
        <v>35.667451</v>
      </c>
      <c r="E243" s="4">
        <v>33.540317999999999</v>
      </c>
      <c r="F243" s="148" t="s">
        <v>738</v>
      </c>
      <c r="G243" s="4" t="s">
        <v>715</v>
      </c>
      <c r="H243" s="4" t="s">
        <v>690</v>
      </c>
      <c r="I243" s="4" t="s">
        <v>691</v>
      </c>
      <c r="J243" s="4" t="s">
        <v>727</v>
      </c>
      <c r="K243" s="4" t="s">
        <v>640</v>
      </c>
      <c r="L243" s="4" t="str">
        <f>VLOOKUP($K243,'Property names'!$A$1:$D$99,2,FALSE)</f>
        <v>The amount of moisture or water vapor present in the air, often expressed as a percentage of the maximum amount the air could hold at a given temperature.</v>
      </c>
      <c r="M243" s="4" t="str">
        <f>VLOOKUP($K243,'Property names'!$A$1:$D$99,3,FALSE)</f>
        <v>Percentage</v>
      </c>
      <c r="N243" s="4" t="str">
        <f>VLOOKUP($K243,'Property names'!$A$1:$D$99,4,FALSE)</f>
        <v>%</v>
      </c>
      <c r="O243" s="4" t="str">
        <f t="shared" si="8"/>
        <v>000008E0_000008E0_HC_Relative_humidity_avg</v>
      </c>
      <c r="P243" s="4" t="str">
        <f t="shared" si="9"/>
        <v>The datastream containing mesures of field 000008E0 by sensor 000008E0 which measures Air Humidity.</v>
      </c>
    </row>
    <row r="244" spans="1:16" ht="12.75">
      <c r="A244" s="4" t="s">
        <v>301</v>
      </c>
      <c r="B244" s="148" t="s">
        <v>738</v>
      </c>
      <c r="C244" s="4" t="s">
        <v>714</v>
      </c>
      <c r="D244" s="4">
        <v>35.667451</v>
      </c>
      <c r="E244" s="4">
        <v>33.540317999999999</v>
      </c>
      <c r="F244" s="148" t="s">
        <v>738</v>
      </c>
      <c r="G244" s="4" t="s">
        <v>715</v>
      </c>
      <c r="H244" s="4" t="s">
        <v>690</v>
      </c>
      <c r="I244" s="4" t="s">
        <v>691</v>
      </c>
      <c r="J244" s="4" t="s">
        <v>728</v>
      </c>
      <c r="K244" s="4" t="s">
        <v>640</v>
      </c>
      <c r="L244" s="4" t="str">
        <f>VLOOKUP($K244,'Property names'!$A$1:$D$99,2,FALSE)</f>
        <v>The amount of moisture or water vapor present in the air, often expressed as a percentage of the maximum amount the air could hold at a given temperature.</v>
      </c>
      <c r="M244" s="4" t="str">
        <f>VLOOKUP($K244,'Property names'!$A$1:$D$99,3,FALSE)</f>
        <v>Percentage</v>
      </c>
      <c r="N244" s="4" t="str">
        <f>VLOOKUP($K244,'Property names'!$A$1:$D$99,4,FALSE)</f>
        <v>%</v>
      </c>
      <c r="O244" s="4" t="str">
        <f t="shared" si="8"/>
        <v>000008E0_000008E0_HC_Relative_humidity_max</v>
      </c>
      <c r="P244" s="4" t="str">
        <f t="shared" si="9"/>
        <v>The datastream containing mesures of field 000008E0 by sensor 000008E0 which measures Air Humidity.</v>
      </c>
    </row>
    <row r="245" spans="1:16" ht="12.75">
      <c r="A245" s="4" t="s">
        <v>301</v>
      </c>
      <c r="B245" s="148" t="s">
        <v>738</v>
      </c>
      <c r="C245" s="4" t="s">
        <v>714</v>
      </c>
      <c r="D245" s="4">
        <v>35.667451</v>
      </c>
      <c r="E245" s="4">
        <v>33.540317999999999</v>
      </c>
      <c r="F245" s="148" t="s">
        <v>738</v>
      </c>
      <c r="G245" s="4" t="s">
        <v>715</v>
      </c>
      <c r="H245" s="4" t="s">
        <v>690</v>
      </c>
      <c r="I245" s="4" t="s">
        <v>691</v>
      </c>
      <c r="J245" s="4" t="s">
        <v>729</v>
      </c>
      <c r="K245" s="4" t="s">
        <v>640</v>
      </c>
      <c r="L245" s="4" t="str">
        <f>VLOOKUP($K245,'Property names'!$A$1:$D$99,2,FALSE)</f>
        <v>The amount of moisture or water vapor present in the air, often expressed as a percentage of the maximum amount the air could hold at a given temperature.</v>
      </c>
      <c r="M245" s="4" t="str">
        <f>VLOOKUP($K245,'Property names'!$A$1:$D$99,3,FALSE)</f>
        <v>Percentage</v>
      </c>
      <c r="N245" s="4" t="str">
        <f>VLOOKUP($K245,'Property names'!$A$1:$D$99,4,FALSE)</f>
        <v>%</v>
      </c>
      <c r="O245" s="4" t="str">
        <f t="shared" si="8"/>
        <v>000008E0_000008E0_HC_Relative_humidity_min</v>
      </c>
      <c r="P245" s="4" t="str">
        <f t="shared" si="9"/>
        <v>The datastream containing mesures of field 000008E0 by sensor 000008E0 which measures Air Humidity.</v>
      </c>
    </row>
    <row r="246" spans="1:16" ht="12.75">
      <c r="A246" s="4" t="s">
        <v>301</v>
      </c>
      <c r="B246" s="148" t="s">
        <v>738</v>
      </c>
      <c r="C246" s="4" t="s">
        <v>714</v>
      </c>
      <c r="D246" s="4">
        <v>35.667451</v>
      </c>
      <c r="E246" s="4">
        <v>33.540317999999999</v>
      </c>
      <c r="F246" s="148" t="s">
        <v>738</v>
      </c>
      <c r="G246" s="4" t="s">
        <v>715</v>
      </c>
      <c r="H246" s="4" t="s">
        <v>690</v>
      </c>
      <c r="I246" s="4" t="s">
        <v>691</v>
      </c>
      <c r="J246" s="4" t="s">
        <v>730</v>
      </c>
      <c r="K246" s="4" t="s">
        <v>731</v>
      </c>
      <c r="L246" s="4" t="str">
        <f>VLOOKUP($K246,'Property names'!$A$1:$D$99,2,FALSE)</f>
        <v>The temperature at which air becomes saturated with moisture, leading to the formation of dew or condensation.</v>
      </c>
      <c r="M246" s="4" t="str">
        <f>VLOOKUP($K246,'Property names'!$A$1:$D$99,3,FALSE)</f>
        <v>Degrees Celsius</v>
      </c>
      <c r="N246" s="4" t="str">
        <f>VLOOKUP($K246,'Property names'!$A$1:$D$99,4,FALSE)</f>
        <v>ºC</v>
      </c>
      <c r="O246" s="4" t="str">
        <f t="shared" si="8"/>
        <v>000008E0_000008E0_Dew_Point_avg</v>
      </c>
      <c r="P246" s="4" t="str">
        <f t="shared" si="9"/>
        <v>The datastream containing mesures of field 000008E0 by sensor 000008E0 which measures Dew Point.</v>
      </c>
    </row>
    <row r="247" spans="1:16" ht="12.75">
      <c r="A247" s="4" t="s">
        <v>301</v>
      </c>
      <c r="B247" s="148" t="s">
        <v>738</v>
      </c>
      <c r="C247" s="4" t="s">
        <v>714</v>
      </c>
      <c r="D247" s="4">
        <v>35.667451</v>
      </c>
      <c r="E247" s="4">
        <v>33.540317999999999</v>
      </c>
      <c r="F247" s="148" t="s">
        <v>738</v>
      </c>
      <c r="G247" s="4" t="s">
        <v>715</v>
      </c>
      <c r="H247" s="4" t="s">
        <v>690</v>
      </c>
      <c r="I247" s="4" t="s">
        <v>691</v>
      </c>
      <c r="J247" s="4" t="s">
        <v>732</v>
      </c>
      <c r="K247" s="4" t="s">
        <v>731</v>
      </c>
      <c r="L247" s="4" t="str">
        <f>VLOOKUP($K247,'Property names'!$A$1:$D$99,2,FALSE)</f>
        <v>The temperature at which air becomes saturated with moisture, leading to the formation of dew or condensation.</v>
      </c>
      <c r="M247" s="4" t="str">
        <f>VLOOKUP($K247,'Property names'!$A$1:$D$99,3,FALSE)</f>
        <v>Degrees Celsius</v>
      </c>
      <c r="N247" s="4" t="str">
        <f>VLOOKUP($K247,'Property names'!$A$1:$D$99,4,FALSE)</f>
        <v>ºC</v>
      </c>
      <c r="O247" s="4" t="str">
        <f t="shared" si="8"/>
        <v>000008E0_000008E0_Dew_Point_min</v>
      </c>
      <c r="P247" s="4" t="str">
        <f t="shared" si="9"/>
        <v>The datastream containing mesures of field 000008E0 by sensor 000008E0 which measures Dew Point.</v>
      </c>
    </row>
    <row r="248" spans="1:16" ht="12.75">
      <c r="A248" s="4" t="s">
        <v>301</v>
      </c>
      <c r="B248" s="148" t="s">
        <v>738</v>
      </c>
      <c r="C248" s="4" t="s">
        <v>714</v>
      </c>
      <c r="D248" s="4">
        <v>35.667451</v>
      </c>
      <c r="E248" s="4">
        <v>33.540317999999999</v>
      </c>
      <c r="F248" s="148" t="s">
        <v>738</v>
      </c>
      <c r="G248" s="4" t="s">
        <v>715</v>
      </c>
      <c r="H248" s="4" t="s">
        <v>690</v>
      </c>
      <c r="I248" s="4" t="s">
        <v>691</v>
      </c>
      <c r="J248" s="4" t="s">
        <v>743</v>
      </c>
      <c r="K248" s="4" t="s">
        <v>706</v>
      </c>
      <c r="L248" s="4" t="str">
        <f>VLOOKUP($K248,'Property names'!$A$1:$D$99,2,FALSE)</f>
        <v>The difference between the amount of moisture in the air and the maximum amount of moisture the air can hold at a given temperature.</v>
      </c>
      <c r="M248" s="4" t="str">
        <f>VLOOKUP($K248,'Property names'!$A$1:$D$99,3,FALSE)</f>
        <v>Kilopascal</v>
      </c>
      <c r="N248" s="4" t="str">
        <f>VLOOKUP($K248,'Property names'!$A$1:$D$99,4,FALSE)</f>
        <v>kPa</v>
      </c>
      <c r="O248" s="4" t="str">
        <f t="shared" si="8"/>
        <v>000008E0_000008E0_VPD_avg</v>
      </c>
      <c r="P248" s="4" t="str">
        <f t="shared" si="9"/>
        <v>The datastream containing mesures of field 000008E0 by sensor 000008E0 which measures VPD.</v>
      </c>
    </row>
    <row r="249" spans="1:16" ht="12.75">
      <c r="A249" s="4" t="s">
        <v>301</v>
      </c>
      <c r="B249" s="148" t="s">
        <v>738</v>
      </c>
      <c r="C249" s="4" t="s">
        <v>714</v>
      </c>
      <c r="D249" s="4">
        <v>35.667451</v>
      </c>
      <c r="E249" s="4">
        <v>33.540317999999999</v>
      </c>
      <c r="F249" s="148" t="s">
        <v>738</v>
      </c>
      <c r="G249" s="4" t="s">
        <v>715</v>
      </c>
      <c r="H249" s="4" t="s">
        <v>690</v>
      </c>
      <c r="I249" s="4" t="s">
        <v>691</v>
      </c>
      <c r="J249" s="4" t="s">
        <v>744</v>
      </c>
      <c r="K249" s="4" t="s">
        <v>706</v>
      </c>
      <c r="L249" s="4" t="str">
        <f>VLOOKUP($K249,'Property names'!$A$1:$D$99,2,FALSE)</f>
        <v>The difference between the amount of moisture in the air and the maximum amount of moisture the air can hold at a given temperature.</v>
      </c>
      <c r="M249" s="4" t="str">
        <f>VLOOKUP($K249,'Property names'!$A$1:$D$99,3,FALSE)</f>
        <v>Kilopascal</v>
      </c>
      <c r="N249" s="4" t="str">
        <f>VLOOKUP($K249,'Property names'!$A$1:$D$99,4,FALSE)</f>
        <v>kPa</v>
      </c>
      <c r="O249" s="4" t="str">
        <f t="shared" si="8"/>
        <v>000008E0_000008E0_VPD_min</v>
      </c>
      <c r="P249" s="4" t="str">
        <f t="shared" si="9"/>
        <v>The datastream containing mesures of field 000008E0 by sensor 000008E0 which measures VPD.</v>
      </c>
    </row>
    <row r="250" spans="1:16" ht="12.75">
      <c r="A250" s="4" t="s">
        <v>301</v>
      </c>
      <c r="B250" s="148" t="s">
        <v>738</v>
      </c>
      <c r="C250" s="4" t="s">
        <v>714</v>
      </c>
      <c r="D250" s="4">
        <v>35.667451</v>
      </c>
      <c r="E250" s="4">
        <v>33.540317999999999</v>
      </c>
      <c r="F250" s="148" t="s">
        <v>738</v>
      </c>
      <c r="G250" s="4" t="s">
        <v>715</v>
      </c>
      <c r="H250" s="4" t="s">
        <v>690</v>
      </c>
      <c r="I250" s="4" t="s">
        <v>691</v>
      </c>
      <c r="J250" s="4" t="s">
        <v>737</v>
      </c>
      <c r="K250" s="4" t="s">
        <v>737</v>
      </c>
      <c r="L250" s="4" t="str">
        <f>VLOOKUP($K250,'Property names'!$A$1:$D$99,2,FALSE)</f>
        <v>The point in time at the middle of the night, commonly defined as 12:00 AM.</v>
      </c>
      <c r="M250" s="4" t="str">
        <f>VLOOKUP($K250,'Property names'!$A$1:$D$99,3,FALSE)</f>
        <v>-</v>
      </c>
      <c r="N250" s="4" t="str">
        <f>VLOOKUP($K250,'Property names'!$A$1:$D$99,4,FALSE)</f>
        <v>-</v>
      </c>
      <c r="O250" s="4" t="str">
        <f t="shared" si="8"/>
        <v>000008E0_000008E0_Midnight</v>
      </c>
      <c r="P250" s="4" t="str">
        <f t="shared" si="9"/>
        <v>The datastream containing mesures of field 000008E0 by sensor 000008E0 which measures Midnight.</v>
      </c>
    </row>
    <row r="251" spans="1:16" ht="12.75">
      <c r="A251" s="4" t="s">
        <v>301</v>
      </c>
      <c r="B251" s="148" t="s">
        <v>745</v>
      </c>
      <c r="C251" s="4" t="s">
        <v>714</v>
      </c>
      <c r="D251" s="4">
        <v>35.719774999999998</v>
      </c>
      <c r="E251" s="4">
        <v>33.638182999999998</v>
      </c>
      <c r="F251" s="148" t="s">
        <v>745</v>
      </c>
      <c r="G251" s="4" t="s">
        <v>715</v>
      </c>
      <c r="H251" s="4" t="s">
        <v>690</v>
      </c>
      <c r="I251" s="4" t="s">
        <v>691</v>
      </c>
      <c r="J251" s="4" t="s">
        <v>739</v>
      </c>
      <c r="K251" s="4" t="s">
        <v>740</v>
      </c>
      <c r="L251" s="4" t="str">
        <f>VLOOKUP($K251,'Property names'!$A$1:$D$99,2,FALSE)</f>
        <v>A device that converts sunlight into electricity by harnessing the photovoltaic effect.</v>
      </c>
      <c r="M251" s="4" t="str">
        <f>VLOOKUP($K251,'Property names'!$A$1:$D$99,3,FALSE)</f>
        <v>-</v>
      </c>
      <c r="N251" s="4" t="str">
        <f>VLOOKUP($K251,'Property names'!$A$1:$D$99,4,FALSE)</f>
        <v>-</v>
      </c>
      <c r="O251" s="4" t="str">
        <f t="shared" si="8"/>
        <v>000008E4_000008E4_Solar_Panel_last</v>
      </c>
      <c r="P251" s="4" t="str">
        <f t="shared" si="9"/>
        <v>The datastream containing mesures of field 000008E4 by sensor 000008E4 which measures Solar Panel.</v>
      </c>
    </row>
    <row r="252" spans="1:16" ht="12.75">
      <c r="A252" s="4" t="s">
        <v>301</v>
      </c>
      <c r="B252" s="148" t="s">
        <v>745</v>
      </c>
      <c r="C252" s="4" t="s">
        <v>714</v>
      </c>
      <c r="D252" s="4">
        <v>35.719774999999998</v>
      </c>
      <c r="E252" s="4">
        <v>33.638182999999998</v>
      </c>
      <c r="F252" s="148" t="s">
        <v>745</v>
      </c>
      <c r="G252" s="4" t="s">
        <v>715</v>
      </c>
      <c r="H252" s="4" t="s">
        <v>690</v>
      </c>
      <c r="I252" s="4" t="s">
        <v>691</v>
      </c>
      <c r="J252" s="4" t="s">
        <v>718</v>
      </c>
      <c r="K252" s="4" t="s">
        <v>701</v>
      </c>
      <c r="L252" s="4" t="str">
        <f>VLOOKUP($K252,'Property names'!$A$1:$D$99,2,FALSE)</f>
        <v>Any form of water, liquid or solid, falling from the sky, such as rain, snow, or sleet.</v>
      </c>
      <c r="M252" s="4" t="str">
        <f>VLOOKUP($K252,'Property names'!$A$1:$D$99,3,FALSE)</f>
        <v>Millimeters</v>
      </c>
      <c r="N252" s="4" t="str">
        <f>VLOOKUP($K252,'Property names'!$A$1:$D$99,4,FALSE)</f>
        <v>mm</v>
      </c>
      <c r="O252" s="4" t="str">
        <f t="shared" si="8"/>
        <v>000008E4_000008E4_Precipitation_sum</v>
      </c>
      <c r="P252" s="4" t="str">
        <f t="shared" si="9"/>
        <v>The datastream containing mesures of field 000008E4 by sensor 000008E4 which measures Precipitation.</v>
      </c>
    </row>
    <row r="253" spans="1:16" ht="12.75">
      <c r="A253" s="4" t="s">
        <v>301</v>
      </c>
      <c r="B253" s="148" t="s">
        <v>745</v>
      </c>
      <c r="C253" s="4" t="s">
        <v>714</v>
      </c>
      <c r="D253" s="4">
        <v>35.719774999999998</v>
      </c>
      <c r="E253" s="4">
        <v>33.638182999999998</v>
      </c>
      <c r="F253" s="148" t="s">
        <v>745</v>
      </c>
      <c r="G253" s="4" t="s">
        <v>715</v>
      </c>
      <c r="H253" s="4" t="s">
        <v>690</v>
      </c>
      <c r="I253" s="4" t="s">
        <v>691</v>
      </c>
      <c r="J253" s="4" t="s">
        <v>721</v>
      </c>
      <c r="K253" s="4" t="s">
        <v>647</v>
      </c>
      <c r="L253" s="4" t="str">
        <f>VLOOKUP($K253,'Property names'!$A$1:$D$99,2,FALSE)</f>
        <v>The percentage of battery level associated to the specific sensor.</v>
      </c>
      <c r="M253" s="4" t="str">
        <f>VLOOKUP($K253,'Property names'!$A$1:$D$99,3,FALSE)</f>
        <v>Percentage</v>
      </c>
      <c r="N253" s="4" t="str">
        <f>VLOOKUP($K253,'Property names'!$A$1:$D$99,4,FALSE)</f>
        <v>%</v>
      </c>
      <c r="O253" s="4" t="str">
        <f t="shared" si="8"/>
        <v>000008E4_000008E4_Battery_last</v>
      </c>
      <c r="P253" s="4" t="str">
        <f t="shared" si="9"/>
        <v>The datastream containing mesures of field 000008E4 by sensor 000008E4 which measures Battery Level.</v>
      </c>
    </row>
    <row r="254" spans="1:16" ht="12.75">
      <c r="A254" s="4" t="s">
        <v>301</v>
      </c>
      <c r="B254" s="148" t="s">
        <v>745</v>
      </c>
      <c r="C254" s="4" t="s">
        <v>714</v>
      </c>
      <c r="D254" s="4">
        <v>35.719774999999998</v>
      </c>
      <c r="E254" s="4">
        <v>33.638182999999998</v>
      </c>
      <c r="F254" s="148" t="s">
        <v>745</v>
      </c>
      <c r="G254" s="4" t="s">
        <v>715</v>
      </c>
      <c r="H254" s="4" t="s">
        <v>690</v>
      </c>
      <c r="I254" s="4" t="s">
        <v>691</v>
      </c>
      <c r="J254" s="4" t="s">
        <v>722</v>
      </c>
      <c r="K254" s="4" t="s">
        <v>723</v>
      </c>
      <c r="L254" s="4" t="str">
        <f>VLOOKUP($K254,'Property names'!$A$1:$D$99,2,FALSE)</f>
        <v>The presence of moisture on the surface of plant leaves, often indicating favorable conditions for disease development.</v>
      </c>
      <c r="M254" s="4" t="str">
        <f>VLOOKUP($K254,'Property names'!$A$1:$D$99,3,FALSE)</f>
        <v>-</v>
      </c>
      <c r="N254" s="4" t="str">
        <f>VLOOKUP($K254,'Property names'!$A$1:$D$99,4,FALSE)</f>
        <v>-</v>
      </c>
      <c r="O254" s="4" t="str">
        <f t="shared" si="8"/>
        <v>000008E4_000008E4_Leaf_Wetness_time</v>
      </c>
      <c r="P254" s="4" t="str">
        <f t="shared" si="9"/>
        <v>The datastream containing mesures of field 000008E4 by sensor 000008E4 which measures Leaf Wetness.</v>
      </c>
    </row>
    <row r="255" spans="1:16" ht="12.75">
      <c r="A255" s="4" t="s">
        <v>301</v>
      </c>
      <c r="B255" s="148" t="s">
        <v>745</v>
      </c>
      <c r="C255" s="4" t="s">
        <v>714</v>
      </c>
      <c r="D255" s="4">
        <v>35.719774999999998</v>
      </c>
      <c r="E255" s="4">
        <v>33.638182999999998</v>
      </c>
      <c r="F255" s="148" t="s">
        <v>745</v>
      </c>
      <c r="G255" s="4" t="s">
        <v>715</v>
      </c>
      <c r="H255" s="4" t="s">
        <v>690</v>
      </c>
      <c r="I255" s="4" t="s">
        <v>691</v>
      </c>
      <c r="J255" s="4" t="s">
        <v>741</v>
      </c>
      <c r="K255" s="4" t="s">
        <v>742</v>
      </c>
      <c r="L255" s="4" t="str">
        <f>VLOOKUP($K255,'Property names'!$A$1:$D$99,2,FALSE)</f>
        <v>A unique identifier assigned to an individual item, facilitating its tracking and differentiation from others.</v>
      </c>
      <c r="M255" s="4" t="str">
        <f>VLOOKUP($K255,'Property names'!$A$1:$D$99,3,FALSE)</f>
        <v>-</v>
      </c>
      <c r="N255" s="4" t="str">
        <f>VLOOKUP($K255,'Property names'!$A$1:$D$99,4,FALSE)</f>
        <v>-</v>
      </c>
      <c r="O255" s="4" t="str">
        <f t="shared" si="8"/>
        <v>000008E4_000008E4_HC_Serial_Number_last</v>
      </c>
      <c r="P255" s="4" t="str">
        <f t="shared" si="9"/>
        <v>The datastream containing mesures of field 000008E4 by sensor 000008E4 which measures Serial Number.</v>
      </c>
    </row>
    <row r="256" spans="1:16" ht="12.75">
      <c r="A256" s="4" t="s">
        <v>301</v>
      </c>
      <c r="B256" s="148" t="s">
        <v>745</v>
      </c>
      <c r="C256" s="4" t="s">
        <v>714</v>
      </c>
      <c r="D256" s="4">
        <v>35.719774999999998</v>
      </c>
      <c r="E256" s="4">
        <v>33.638182999999998</v>
      </c>
      <c r="F256" s="148" t="s">
        <v>745</v>
      </c>
      <c r="G256" s="4" t="s">
        <v>715</v>
      </c>
      <c r="H256" s="4" t="s">
        <v>690</v>
      </c>
      <c r="I256" s="4" t="s">
        <v>691</v>
      </c>
      <c r="J256" s="4" t="s">
        <v>724</v>
      </c>
      <c r="K256" s="4" t="s">
        <v>638</v>
      </c>
      <c r="L256" s="4" t="str">
        <f>VLOOKUP($K256,'Property names'!$A$1:$D$99,2,FALSE)</f>
        <v>The measure of the hotness or coldness of the air.</v>
      </c>
      <c r="M256" s="4" t="str">
        <f>VLOOKUP($K256,'Property names'!$A$1:$D$99,3,FALSE)</f>
        <v>Degrees Celsius</v>
      </c>
      <c r="N256" s="4" t="str">
        <f>VLOOKUP($K256,'Property names'!$A$1:$D$99,4,FALSE)</f>
        <v>ºC</v>
      </c>
      <c r="O256" s="4" t="str">
        <f t="shared" si="8"/>
        <v>000008E4_000008E4_HC_Air_temperature_avg</v>
      </c>
      <c r="P256" s="4" t="str">
        <f t="shared" si="9"/>
        <v>The datastream containing mesures of field 000008E4 by sensor 000008E4 which measures Air Temperature.</v>
      </c>
    </row>
    <row r="257" spans="1:16" ht="12.75">
      <c r="A257" s="4" t="s">
        <v>301</v>
      </c>
      <c r="B257" s="148" t="s">
        <v>745</v>
      </c>
      <c r="C257" s="4" t="s">
        <v>714</v>
      </c>
      <c r="D257" s="4">
        <v>35.719774999999998</v>
      </c>
      <c r="E257" s="4">
        <v>33.638182999999998</v>
      </c>
      <c r="F257" s="148" t="s">
        <v>745</v>
      </c>
      <c r="G257" s="4" t="s">
        <v>715</v>
      </c>
      <c r="H257" s="4" t="s">
        <v>690</v>
      </c>
      <c r="I257" s="4" t="s">
        <v>691</v>
      </c>
      <c r="J257" s="4" t="s">
        <v>725</v>
      </c>
      <c r="K257" s="4" t="s">
        <v>638</v>
      </c>
      <c r="L257" s="4" t="str">
        <f>VLOOKUP($K257,'Property names'!$A$1:$D$99,2,FALSE)</f>
        <v>The measure of the hotness or coldness of the air.</v>
      </c>
      <c r="M257" s="4" t="str">
        <f>VLOOKUP($K257,'Property names'!$A$1:$D$99,3,FALSE)</f>
        <v>Degrees Celsius</v>
      </c>
      <c r="N257" s="4" t="str">
        <f>VLOOKUP($K257,'Property names'!$A$1:$D$99,4,FALSE)</f>
        <v>ºC</v>
      </c>
      <c r="O257" s="4" t="str">
        <f t="shared" si="8"/>
        <v>000008E4_000008E4_HC_Air_temperature_max</v>
      </c>
      <c r="P257" s="4" t="str">
        <f t="shared" si="9"/>
        <v>The datastream containing mesures of field 000008E4 by sensor 000008E4 which measures Air Temperature.</v>
      </c>
    </row>
    <row r="258" spans="1:16" ht="12.75">
      <c r="A258" s="4" t="s">
        <v>301</v>
      </c>
      <c r="B258" s="148" t="s">
        <v>745</v>
      </c>
      <c r="C258" s="4" t="s">
        <v>714</v>
      </c>
      <c r="D258" s="4">
        <v>35.719774999999998</v>
      </c>
      <c r="E258" s="4">
        <v>33.638182999999998</v>
      </c>
      <c r="F258" s="148" t="s">
        <v>745</v>
      </c>
      <c r="G258" s="4" t="s">
        <v>715</v>
      </c>
      <c r="H258" s="4" t="s">
        <v>690</v>
      </c>
      <c r="I258" s="4" t="s">
        <v>691</v>
      </c>
      <c r="J258" s="4" t="s">
        <v>726</v>
      </c>
      <c r="K258" s="4" t="s">
        <v>638</v>
      </c>
      <c r="L258" s="4" t="str">
        <f>VLOOKUP($K258,'Property names'!$A$1:$D$99,2,FALSE)</f>
        <v>The measure of the hotness or coldness of the air.</v>
      </c>
      <c r="M258" s="4" t="str">
        <f>VLOOKUP($K258,'Property names'!$A$1:$D$99,3,FALSE)</f>
        <v>Degrees Celsius</v>
      </c>
      <c r="N258" s="4" t="str">
        <f>VLOOKUP($K258,'Property names'!$A$1:$D$99,4,FALSE)</f>
        <v>ºC</v>
      </c>
      <c r="O258" s="4" t="str">
        <f t="shared" si="8"/>
        <v>000008E4_000008E4_HC_Air_temperature_min</v>
      </c>
      <c r="P258" s="4" t="str">
        <f t="shared" si="9"/>
        <v>The datastream containing mesures of field 000008E4 by sensor 000008E4 which measures Air Temperature.</v>
      </c>
    </row>
    <row r="259" spans="1:16" ht="12.75">
      <c r="A259" s="4" t="s">
        <v>301</v>
      </c>
      <c r="B259" s="148" t="s">
        <v>745</v>
      </c>
      <c r="C259" s="4" t="s">
        <v>714</v>
      </c>
      <c r="D259" s="4">
        <v>35.719774999999998</v>
      </c>
      <c r="E259" s="4">
        <v>33.638182999999998</v>
      </c>
      <c r="F259" s="148" t="s">
        <v>745</v>
      </c>
      <c r="G259" s="4" t="s">
        <v>715</v>
      </c>
      <c r="H259" s="4" t="s">
        <v>690</v>
      </c>
      <c r="I259" s="4" t="s">
        <v>691</v>
      </c>
      <c r="J259" s="4" t="s">
        <v>727</v>
      </c>
      <c r="K259" s="4" t="s">
        <v>640</v>
      </c>
      <c r="L259" s="4" t="str">
        <f>VLOOKUP($K259,'Property names'!$A$1:$D$99,2,FALSE)</f>
        <v>The amount of moisture or water vapor present in the air, often expressed as a percentage of the maximum amount the air could hold at a given temperature.</v>
      </c>
      <c r="M259" s="4" t="str">
        <f>VLOOKUP($K259,'Property names'!$A$1:$D$99,3,FALSE)</f>
        <v>Percentage</v>
      </c>
      <c r="N259" s="4" t="str">
        <f>VLOOKUP($K259,'Property names'!$A$1:$D$99,4,FALSE)</f>
        <v>%</v>
      </c>
      <c r="O259" s="4" t="str">
        <f t="shared" si="8"/>
        <v>000008E4_000008E4_HC_Relative_humidity_avg</v>
      </c>
      <c r="P259" s="4" t="str">
        <f t="shared" si="9"/>
        <v>The datastream containing mesures of field 000008E4 by sensor 000008E4 which measures Air Humidity.</v>
      </c>
    </row>
    <row r="260" spans="1:16" ht="12.75">
      <c r="A260" s="4" t="s">
        <v>301</v>
      </c>
      <c r="B260" s="148" t="s">
        <v>745</v>
      </c>
      <c r="C260" s="4" t="s">
        <v>714</v>
      </c>
      <c r="D260" s="4">
        <v>35.719774999999998</v>
      </c>
      <c r="E260" s="4">
        <v>33.638182999999998</v>
      </c>
      <c r="F260" s="148" t="s">
        <v>745</v>
      </c>
      <c r="G260" s="4" t="s">
        <v>715</v>
      </c>
      <c r="H260" s="4" t="s">
        <v>690</v>
      </c>
      <c r="I260" s="4" t="s">
        <v>691</v>
      </c>
      <c r="J260" s="4" t="s">
        <v>728</v>
      </c>
      <c r="K260" s="4" t="s">
        <v>640</v>
      </c>
      <c r="L260" s="4" t="str">
        <f>VLOOKUP($K260,'Property names'!$A$1:$D$99,2,FALSE)</f>
        <v>The amount of moisture or water vapor present in the air, often expressed as a percentage of the maximum amount the air could hold at a given temperature.</v>
      </c>
      <c r="M260" s="4" t="str">
        <f>VLOOKUP($K260,'Property names'!$A$1:$D$99,3,FALSE)</f>
        <v>Percentage</v>
      </c>
      <c r="N260" s="4" t="str">
        <f>VLOOKUP($K260,'Property names'!$A$1:$D$99,4,FALSE)</f>
        <v>%</v>
      </c>
      <c r="O260" s="4" t="str">
        <f t="shared" si="8"/>
        <v>000008E4_000008E4_HC_Relative_humidity_max</v>
      </c>
      <c r="P260" s="4" t="str">
        <f t="shared" si="9"/>
        <v>The datastream containing mesures of field 000008E4 by sensor 000008E4 which measures Air Humidity.</v>
      </c>
    </row>
    <row r="261" spans="1:16" ht="12.75">
      <c r="A261" s="4" t="s">
        <v>301</v>
      </c>
      <c r="B261" s="148" t="s">
        <v>745</v>
      </c>
      <c r="C261" s="4" t="s">
        <v>714</v>
      </c>
      <c r="D261" s="4">
        <v>35.719774999999998</v>
      </c>
      <c r="E261" s="4">
        <v>33.638182999999998</v>
      </c>
      <c r="F261" s="148" t="s">
        <v>745</v>
      </c>
      <c r="G261" s="4" t="s">
        <v>715</v>
      </c>
      <c r="H261" s="4" t="s">
        <v>690</v>
      </c>
      <c r="I261" s="4" t="s">
        <v>691</v>
      </c>
      <c r="J261" s="4" t="s">
        <v>729</v>
      </c>
      <c r="K261" s="4" t="s">
        <v>640</v>
      </c>
      <c r="L261" s="4" t="str">
        <f>VLOOKUP($K261,'Property names'!$A$1:$D$99,2,FALSE)</f>
        <v>The amount of moisture or water vapor present in the air, often expressed as a percentage of the maximum amount the air could hold at a given temperature.</v>
      </c>
      <c r="M261" s="4" t="str">
        <f>VLOOKUP($K261,'Property names'!$A$1:$D$99,3,FALSE)</f>
        <v>Percentage</v>
      </c>
      <c r="N261" s="4" t="str">
        <f>VLOOKUP($K261,'Property names'!$A$1:$D$99,4,FALSE)</f>
        <v>%</v>
      </c>
      <c r="O261" s="4" t="str">
        <f t="shared" si="8"/>
        <v>000008E4_000008E4_HC_Relative_humidity_min</v>
      </c>
      <c r="P261" s="4" t="str">
        <f t="shared" si="9"/>
        <v>The datastream containing mesures of field 000008E4 by sensor 000008E4 which measures Air Humidity.</v>
      </c>
    </row>
    <row r="262" spans="1:16" ht="12.75">
      <c r="A262" s="4" t="s">
        <v>301</v>
      </c>
      <c r="B262" s="148" t="s">
        <v>745</v>
      </c>
      <c r="C262" s="4" t="s">
        <v>714</v>
      </c>
      <c r="D262" s="4">
        <v>35.719774999999998</v>
      </c>
      <c r="E262" s="4">
        <v>33.638182999999998</v>
      </c>
      <c r="F262" s="148" t="s">
        <v>745</v>
      </c>
      <c r="G262" s="4" t="s">
        <v>715</v>
      </c>
      <c r="H262" s="4" t="s">
        <v>690</v>
      </c>
      <c r="I262" s="4" t="s">
        <v>691</v>
      </c>
      <c r="J262" s="4" t="s">
        <v>730</v>
      </c>
      <c r="K262" s="4" t="s">
        <v>731</v>
      </c>
      <c r="L262" s="4" t="str">
        <f>VLOOKUP($K262,'Property names'!$A$1:$D$99,2,FALSE)</f>
        <v>The temperature at which air becomes saturated with moisture, leading to the formation of dew or condensation.</v>
      </c>
      <c r="M262" s="4" t="str">
        <f>VLOOKUP($K262,'Property names'!$A$1:$D$99,3,FALSE)</f>
        <v>Degrees Celsius</v>
      </c>
      <c r="N262" s="4" t="str">
        <f>VLOOKUP($K262,'Property names'!$A$1:$D$99,4,FALSE)</f>
        <v>ºC</v>
      </c>
      <c r="O262" s="4" t="str">
        <f t="shared" si="8"/>
        <v>000008E4_000008E4_Dew_Point_avg</v>
      </c>
      <c r="P262" s="4" t="str">
        <f t="shared" si="9"/>
        <v>The datastream containing mesures of field 000008E4 by sensor 000008E4 which measures Dew Point.</v>
      </c>
    </row>
    <row r="263" spans="1:16" ht="12.75">
      <c r="A263" s="4" t="s">
        <v>301</v>
      </c>
      <c r="B263" s="148" t="s">
        <v>745</v>
      </c>
      <c r="C263" s="4" t="s">
        <v>714</v>
      </c>
      <c r="D263" s="4">
        <v>35.719774999999998</v>
      </c>
      <c r="E263" s="4">
        <v>33.638182999999998</v>
      </c>
      <c r="F263" s="148" t="s">
        <v>745</v>
      </c>
      <c r="G263" s="4" t="s">
        <v>715</v>
      </c>
      <c r="H263" s="4" t="s">
        <v>690</v>
      </c>
      <c r="I263" s="4" t="s">
        <v>691</v>
      </c>
      <c r="J263" s="4" t="s">
        <v>732</v>
      </c>
      <c r="K263" s="4" t="s">
        <v>731</v>
      </c>
      <c r="L263" s="4" t="str">
        <f>VLOOKUP($K263,'Property names'!$A$1:$D$99,2,FALSE)</f>
        <v>The temperature at which air becomes saturated with moisture, leading to the formation of dew or condensation.</v>
      </c>
      <c r="M263" s="4" t="str">
        <f>VLOOKUP($K263,'Property names'!$A$1:$D$99,3,FALSE)</f>
        <v>Degrees Celsius</v>
      </c>
      <c r="N263" s="4" t="str">
        <f>VLOOKUP($K263,'Property names'!$A$1:$D$99,4,FALSE)</f>
        <v>ºC</v>
      </c>
      <c r="O263" s="4" t="str">
        <f t="shared" si="8"/>
        <v>000008E4_000008E4_Dew_Point_min</v>
      </c>
      <c r="P263" s="4" t="str">
        <f t="shared" si="9"/>
        <v>The datastream containing mesures of field 000008E4 by sensor 000008E4 which measures Dew Point.</v>
      </c>
    </row>
    <row r="264" spans="1:16" ht="12.75">
      <c r="A264" s="4" t="s">
        <v>301</v>
      </c>
      <c r="B264" s="148" t="s">
        <v>745</v>
      </c>
      <c r="C264" s="4" t="s">
        <v>714</v>
      </c>
      <c r="D264" s="4">
        <v>35.719774999999998</v>
      </c>
      <c r="E264" s="4">
        <v>33.638182999999998</v>
      </c>
      <c r="F264" s="148" t="s">
        <v>745</v>
      </c>
      <c r="G264" s="4" t="s">
        <v>715</v>
      </c>
      <c r="H264" s="4" t="s">
        <v>690</v>
      </c>
      <c r="I264" s="4" t="s">
        <v>691</v>
      </c>
      <c r="J264" s="4" t="s">
        <v>743</v>
      </c>
      <c r="K264" s="4" t="s">
        <v>706</v>
      </c>
      <c r="L264" s="4" t="str">
        <f>VLOOKUP($K264,'Property names'!$A$1:$D$99,2,FALSE)</f>
        <v>The difference between the amount of moisture in the air and the maximum amount of moisture the air can hold at a given temperature.</v>
      </c>
      <c r="M264" s="4" t="str">
        <f>VLOOKUP($K264,'Property names'!$A$1:$D$99,3,FALSE)</f>
        <v>Kilopascal</v>
      </c>
      <c r="N264" s="4" t="str">
        <f>VLOOKUP($K264,'Property names'!$A$1:$D$99,4,FALSE)</f>
        <v>kPa</v>
      </c>
      <c r="O264" s="4" t="str">
        <f t="shared" si="8"/>
        <v>000008E4_000008E4_VPD_avg</v>
      </c>
      <c r="P264" s="4" t="str">
        <f t="shared" si="9"/>
        <v>The datastream containing mesures of field 000008E4 by sensor 000008E4 which measures VPD.</v>
      </c>
    </row>
    <row r="265" spans="1:16" ht="12.75">
      <c r="A265" s="4" t="s">
        <v>301</v>
      </c>
      <c r="B265" s="148" t="s">
        <v>745</v>
      </c>
      <c r="C265" s="4" t="s">
        <v>714</v>
      </c>
      <c r="D265" s="4">
        <v>35.719774999999998</v>
      </c>
      <c r="E265" s="4">
        <v>33.638182999999998</v>
      </c>
      <c r="F265" s="148" t="s">
        <v>745</v>
      </c>
      <c r="G265" s="4" t="s">
        <v>715</v>
      </c>
      <c r="H265" s="4" t="s">
        <v>690</v>
      </c>
      <c r="I265" s="4" t="s">
        <v>691</v>
      </c>
      <c r="J265" s="4" t="s">
        <v>744</v>
      </c>
      <c r="K265" s="4" t="s">
        <v>706</v>
      </c>
      <c r="L265" s="4" t="str">
        <f>VLOOKUP($K265,'Property names'!$A$1:$D$99,2,FALSE)</f>
        <v>The difference between the amount of moisture in the air and the maximum amount of moisture the air can hold at a given temperature.</v>
      </c>
      <c r="M265" s="4" t="str">
        <f>VLOOKUP($K265,'Property names'!$A$1:$D$99,3,FALSE)</f>
        <v>Kilopascal</v>
      </c>
      <c r="N265" s="4" t="str">
        <f>VLOOKUP($K265,'Property names'!$A$1:$D$99,4,FALSE)</f>
        <v>kPa</v>
      </c>
      <c r="O265" s="4" t="str">
        <f t="shared" si="8"/>
        <v>000008E4_000008E4_VPD_min</v>
      </c>
      <c r="P265" s="4" t="str">
        <f t="shared" si="9"/>
        <v>The datastream containing mesures of field 000008E4 by sensor 000008E4 which measures VPD.</v>
      </c>
    </row>
    <row r="266" spans="1:16" ht="12.75">
      <c r="A266" s="4" t="s">
        <v>301</v>
      </c>
      <c r="B266" s="148" t="s">
        <v>745</v>
      </c>
      <c r="C266" s="4" t="s">
        <v>714</v>
      </c>
      <c r="D266" s="4">
        <v>35.719774999999998</v>
      </c>
      <c r="E266" s="4">
        <v>33.638182999999998</v>
      </c>
      <c r="F266" s="148" t="s">
        <v>745</v>
      </c>
      <c r="G266" s="4" t="s">
        <v>715</v>
      </c>
      <c r="H266" s="4" t="s">
        <v>690</v>
      </c>
      <c r="I266" s="4" t="s">
        <v>691</v>
      </c>
      <c r="J266" s="4" t="s">
        <v>737</v>
      </c>
      <c r="K266" s="4" t="s">
        <v>737</v>
      </c>
      <c r="L266" s="4" t="str">
        <f>VLOOKUP($K266,'Property names'!$A$1:$D$99,2,FALSE)</f>
        <v>The point in time at the middle of the night, commonly defined as 12:00 AM.</v>
      </c>
      <c r="M266" s="4" t="str">
        <f>VLOOKUP($K266,'Property names'!$A$1:$D$99,3,FALSE)</f>
        <v>-</v>
      </c>
      <c r="N266" s="4" t="str">
        <f>VLOOKUP($K266,'Property names'!$A$1:$D$99,4,FALSE)</f>
        <v>-</v>
      </c>
      <c r="O266" s="4" t="str">
        <f t="shared" si="8"/>
        <v>000008E4_000008E4_Midnight</v>
      </c>
      <c r="P266" s="4" t="str">
        <f t="shared" si="9"/>
        <v>The datastream containing mesures of field 000008E4 by sensor 000008E4 which measures Midnight.</v>
      </c>
    </row>
    <row r="267" spans="1:16" ht="12.75">
      <c r="A267" s="4" t="s">
        <v>301</v>
      </c>
      <c r="B267" s="4" t="s">
        <v>746</v>
      </c>
      <c r="C267" s="4" t="s">
        <v>714</v>
      </c>
      <c r="D267" s="4">
        <v>36.153132999999997</v>
      </c>
      <c r="E267" s="4">
        <v>34.003120000000003</v>
      </c>
      <c r="F267" s="4" t="s">
        <v>746</v>
      </c>
      <c r="G267" s="4" t="s">
        <v>715</v>
      </c>
      <c r="H267" s="4" t="s">
        <v>690</v>
      </c>
      <c r="I267" s="4" t="s">
        <v>691</v>
      </c>
      <c r="J267" s="4" t="s">
        <v>747</v>
      </c>
      <c r="K267" s="4" t="s">
        <v>704</v>
      </c>
      <c r="L267" s="4" t="str">
        <f>VLOOKUP($K267,'Property names'!$A$1:$D$99,2,FALSE)</f>
        <v>Energy from the sun in the form of electromagnetic waves.</v>
      </c>
      <c r="M267" s="4" t="str">
        <f>VLOOKUP($K267,'Property names'!$A$1:$D$99,3,FALSE)</f>
        <v>Watts per square meter</v>
      </c>
      <c r="N267" s="4" t="str">
        <f>VLOOKUP($K267,'Property names'!$A$1:$D$99,4,FALSE)</f>
        <v>W/m²</v>
      </c>
      <c r="O267" s="4" t="str">
        <f t="shared" si="8"/>
        <v>000008F7_000008F7_Solar_radiation_avg</v>
      </c>
      <c r="P267" s="4" t="str">
        <f t="shared" si="9"/>
        <v>The datastream containing mesures of field 000008F7 by sensor 000008F7 which measures Solar Radiation.</v>
      </c>
    </row>
    <row r="268" spans="1:16" ht="12.75">
      <c r="A268" s="4" t="s">
        <v>301</v>
      </c>
      <c r="B268" s="4" t="s">
        <v>746</v>
      </c>
      <c r="C268" s="4" t="s">
        <v>714</v>
      </c>
      <c r="D268" s="4">
        <v>36.153132999999997</v>
      </c>
      <c r="E268" s="4">
        <v>34.003120000000003</v>
      </c>
      <c r="F268" s="4" t="s">
        <v>746</v>
      </c>
      <c r="G268" s="4" t="s">
        <v>715</v>
      </c>
      <c r="H268" s="4" t="s">
        <v>690</v>
      </c>
      <c r="I268" s="4" t="s">
        <v>691</v>
      </c>
      <c r="J268" s="4" t="s">
        <v>739</v>
      </c>
      <c r="K268" s="4" t="s">
        <v>740</v>
      </c>
      <c r="L268" s="4" t="str">
        <f>VLOOKUP($K268,'Property names'!$A$1:$D$99,2,FALSE)</f>
        <v>A device that converts sunlight into electricity by harnessing the photovoltaic effect.</v>
      </c>
      <c r="M268" s="4" t="str">
        <f>VLOOKUP($K268,'Property names'!$A$1:$D$99,3,FALSE)</f>
        <v>-</v>
      </c>
      <c r="N268" s="4" t="str">
        <f>VLOOKUP($K268,'Property names'!$A$1:$D$99,4,FALSE)</f>
        <v>-</v>
      </c>
      <c r="O268" s="4" t="str">
        <f t="shared" si="8"/>
        <v>000008F7_000008F7_Solar_Panel_last</v>
      </c>
      <c r="P268" s="4" t="str">
        <f t="shared" si="9"/>
        <v>The datastream containing mesures of field 000008F7 by sensor 000008F7 which measures Solar Panel.</v>
      </c>
    </row>
    <row r="269" spans="1:16" ht="12.75">
      <c r="A269" s="4" t="s">
        <v>301</v>
      </c>
      <c r="B269" s="4" t="s">
        <v>746</v>
      </c>
      <c r="C269" s="4" t="s">
        <v>714</v>
      </c>
      <c r="D269" s="4">
        <v>36.153132999999997</v>
      </c>
      <c r="E269" s="4">
        <v>34.003120000000003</v>
      </c>
      <c r="F269" s="4" t="s">
        <v>746</v>
      </c>
      <c r="G269" s="4" t="s">
        <v>715</v>
      </c>
      <c r="H269" s="4" t="s">
        <v>690</v>
      </c>
      <c r="I269" s="4" t="s">
        <v>691</v>
      </c>
      <c r="J269" s="4" t="s">
        <v>718</v>
      </c>
      <c r="K269" s="4" t="s">
        <v>701</v>
      </c>
      <c r="L269" s="4" t="str">
        <f>VLOOKUP($K269,'Property names'!$A$1:$D$99,2,FALSE)</f>
        <v>Any form of water, liquid or solid, falling from the sky, such as rain, snow, or sleet.</v>
      </c>
      <c r="M269" s="4" t="str">
        <f>VLOOKUP($K269,'Property names'!$A$1:$D$99,3,FALSE)</f>
        <v>Millimeters</v>
      </c>
      <c r="N269" s="4" t="str">
        <f>VLOOKUP($K269,'Property names'!$A$1:$D$99,4,FALSE)</f>
        <v>mm</v>
      </c>
      <c r="O269" s="4" t="str">
        <f t="shared" si="8"/>
        <v>000008F7_000008F7_Precipitation_sum</v>
      </c>
      <c r="P269" s="4" t="str">
        <f t="shared" si="9"/>
        <v>The datastream containing mesures of field 000008F7 by sensor 000008F7 which measures Precipitation.</v>
      </c>
    </row>
    <row r="270" spans="1:16" ht="12.75">
      <c r="A270" s="4" t="s">
        <v>301</v>
      </c>
      <c r="B270" s="4" t="s">
        <v>746</v>
      </c>
      <c r="C270" s="4" t="s">
        <v>714</v>
      </c>
      <c r="D270" s="4">
        <v>36.153132999999997</v>
      </c>
      <c r="E270" s="4">
        <v>34.003120000000003</v>
      </c>
      <c r="F270" s="4" t="s">
        <v>746</v>
      </c>
      <c r="G270" s="4" t="s">
        <v>715</v>
      </c>
      <c r="H270" s="4" t="s">
        <v>690</v>
      </c>
      <c r="I270" s="4" t="s">
        <v>691</v>
      </c>
      <c r="J270" s="4" t="s">
        <v>721</v>
      </c>
      <c r="K270" s="4" t="s">
        <v>647</v>
      </c>
      <c r="L270" s="4" t="str">
        <f>VLOOKUP($K270,'Property names'!$A$1:$D$99,2,FALSE)</f>
        <v>The percentage of battery level associated to the specific sensor.</v>
      </c>
      <c r="M270" s="4" t="str">
        <f>VLOOKUP($K270,'Property names'!$A$1:$D$99,3,FALSE)</f>
        <v>Percentage</v>
      </c>
      <c r="N270" s="4" t="str">
        <f>VLOOKUP($K270,'Property names'!$A$1:$D$99,4,FALSE)</f>
        <v>%</v>
      </c>
      <c r="O270" s="4" t="str">
        <f t="shared" si="8"/>
        <v>000008F7_000008F7_Battery_last</v>
      </c>
      <c r="P270" s="4" t="str">
        <f t="shared" si="9"/>
        <v>The datastream containing mesures of field 000008F7 by sensor 000008F7 which measures Battery Level.</v>
      </c>
    </row>
    <row r="271" spans="1:16" ht="12.75">
      <c r="A271" s="4" t="s">
        <v>301</v>
      </c>
      <c r="B271" s="4" t="s">
        <v>746</v>
      </c>
      <c r="C271" s="4" t="s">
        <v>714</v>
      </c>
      <c r="D271" s="4">
        <v>36.153132999999997</v>
      </c>
      <c r="E271" s="4">
        <v>34.003120000000003</v>
      </c>
      <c r="F271" s="4" t="s">
        <v>746</v>
      </c>
      <c r="G271" s="4" t="s">
        <v>715</v>
      </c>
      <c r="H271" s="4" t="s">
        <v>690</v>
      </c>
      <c r="I271" s="4" t="s">
        <v>691</v>
      </c>
      <c r="J271" s="4" t="s">
        <v>722</v>
      </c>
      <c r="K271" s="4" t="s">
        <v>723</v>
      </c>
      <c r="L271" s="4" t="str">
        <f>VLOOKUP($K271,'Property names'!$A$1:$D$99,2,FALSE)</f>
        <v>The presence of moisture on the surface of plant leaves, often indicating favorable conditions for disease development.</v>
      </c>
      <c r="M271" s="4" t="str">
        <f>VLOOKUP($K271,'Property names'!$A$1:$D$99,3,FALSE)</f>
        <v>-</v>
      </c>
      <c r="N271" s="4" t="str">
        <f>VLOOKUP($K271,'Property names'!$A$1:$D$99,4,FALSE)</f>
        <v>-</v>
      </c>
      <c r="O271" s="4" t="str">
        <f t="shared" si="8"/>
        <v>000008F7_000008F7_Leaf_Wetness_time</v>
      </c>
      <c r="P271" s="4" t="str">
        <f t="shared" si="9"/>
        <v>The datastream containing mesures of field 000008F7 by sensor 000008F7 which measures Leaf Wetness.</v>
      </c>
    </row>
    <row r="272" spans="1:16" ht="12.75">
      <c r="A272" s="4" t="s">
        <v>301</v>
      </c>
      <c r="B272" s="4" t="s">
        <v>746</v>
      </c>
      <c r="C272" s="4" t="s">
        <v>714</v>
      </c>
      <c r="D272" s="4">
        <v>36.153132999999997</v>
      </c>
      <c r="E272" s="4">
        <v>34.003120000000003</v>
      </c>
      <c r="F272" s="4" t="s">
        <v>746</v>
      </c>
      <c r="G272" s="4" t="s">
        <v>715</v>
      </c>
      <c r="H272" s="4" t="s">
        <v>690</v>
      </c>
      <c r="I272" s="4" t="s">
        <v>691</v>
      </c>
      <c r="J272" s="4" t="s">
        <v>741</v>
      </c>
      <c r="K272" s="4" t="s">
        <v>742</v>
      </c>
      <c r="L272" s="4" t="str">
        <f>VLOOKUP($K272,'Property names'!$A$1:$D$99,2,FALSE)</f>
        <v>A unique identifier assigned to an individual item, facilitating its tracking and differentiation from others.</v>
      </c>
      <c r="M272" s="4" t="str">
        <f>VLOOKUP($K272,'Property names'!$A$1:$D$99,3,FALSE)</f>
        <v>-</v>
      </c>
      <c r="N272" s="4" t="str">
        <f>VLOOKUP($K272,'Property names'!$A$1:$D$99,4,FALSE)</f>
        <v>-</v>
      </c>
      <c r="O272" s="4" t="str">
        <f t="shared" si="8"/>
        <v>000008F7_000008F7_HC_Serial_Number_last</v>
      </c>
      <c r="P272" s="4" t="str">
        <f t="shared" si="9"/>
        <v>The datastream containing mesures of field 000008F7 by sensor 000008F7 which measures Serial Number.</v>
      </c>
    </row>
    <row r="273" spans="1:16" ht="12.75">
      <c r="A273" s="4" t="s">
        <v>301</v>
      </c>
      <c r="B273" s="4" t="s">
        <v>746</v>
      </c>
      <c r="C273" s="4" t="s">
        <v>714</v>
      </c>
      <c r="D273" s="4">
        <v>36.153132999999997</v>
      </c>
      <c r="E273" s="4">
        <v>34.003120000000003</v>
      </c>
      <c r="F273" s="4" t="s">
        <v>746</v>
      </c>
      <c r="G273" s="4" t="s">
        <v>715</v>
      </c>
      <c r="H273" s="4" t="s">
        <v>690</v>
      </c>
      <c r="I273" s="4" t="s">
        <v>691</v>
      </c>
      <c r="J273" s="4" t="s">
        <v>724</v>
      </c>
      <c r="K273" s="4" t="s">
        <v>638</v>
      </c>
      <c r="L273" s="4" t="str">
        <f>VLOOKUP($K273,'Property names'!$A$1:$D$99,2,FALSE)</f>
        <v>The measure of the hotness or coldness of the air.</v>
      </c>
      <c r="M273" s="4" t="str">
        <f>VLOOKUP($K273,'Property names'!$A$1:$D$99,3,FALSE)</f>
        <v>Degrees Celsius</v>
      </c>
      <c r="N273" s="4" t="str">
        <f>VLOOKUP($K273,'Property names'!$A$1:$D$99,4,FALSE)</f>
        <v>ºC</v>
      </c>
      <c r="O273" s="4" t="str">
        <f t="shared" si="8"/>
        <v>000008F7_000008F7_HC_Air_temperature_avg</v>
      </c>
      <c r="P273" s="4" t="str">
        <f t="shared" si="9"/>
        <v>The datastream containing mesures of field 000008F7 by sensor 000008F7 which measures Air Temperature.</v>
      </c>
    </row>
    <row r="274" spans="1:16" ht="12.75">
      <c r="A274" s="4" t="s">
        <v>301</v>
      </c>
      <c r="B274" s="4" t="s">
        <v>746</v>
      </c>
      <c r="C274" s="4" t="s">
        <v>714</v>
      </c>
      <c r="D274" s="4">
        <v>36.153132999999997</v>
      </c>
      <c r="E274" s="4">
        <v>34.003120000000003</v>
      </c>
      <c r="F274" s="4" t="s">
        <v>746</v>
      </c>
      <c r="G274" s="4" t="s">
        <v>715</v>
      </c>
      <c r="H274" s="4" t="s">
        <v>690</v>
      </c>
      <c r="I274" s="4" t="s">
        <v>691</v>
      </c>
      <c r="J274" s="4" t="s">
        <v>725</v>
      </c>
      <c r="K274" s="4" t="s">
        <v>638</v>
      </c>
      <c r="L274" s="4" t="str">
        <f>VLOOKUP($K274,'Property names'!$A$1:$D$99,2,FALSE)</f>
        <v>The measure of the hotness or coldness of the air.</v>
      </c>
      <c r="M274" s="4" t="str">
        <f>VLOOKUP($K274,'Property names'!$A$1:$D$99,3,FALSE)</f>
        <v>Degrees Celsius</v>
      </c>
      <c r="N274" s="4" t="str">
        <f>VLOOKUP($K274,'Property names'!$A$1:$D$99,4,FALSE)</f>
        <v>ºC</v>
      </c>
      <c r="O274" s="4" t="str">
        <f t="shared" si="8"/>
        <v>000008F7_000008F7_HC_Air_temperature_max</v>
      </c>
      <c r="P274" s="4" t="str">
        <f t="shared" si="9"/>
        <v>The datastream containing mesures of field 000008F7 by sensor 000008F7 which measures Air Temperature.</v>
      </c>
    </row>
    <row r="275" spans="1:16" ht="12.75">
      <c r="A275" s="4" t="s">
        <v>301</v>
      </c>
      <c r="B275" s="4" t="s">
        <v>746</v>
      </c>
      <c r="C275" s="4" t="s">
        <v>714</v>
      </c>
      <c r="D275" s="4">
        <v>36.153132999999997</v>
      </c>
      <c r="E275" s="4">
        <v>34.003120000000003</v>
      </c>
      <c r="F275" s="4" t="s">
        <v>746</v>
      </c>
      <c r="G275" s="4" t="s">
        <v>715</v>
      </c>
      <c r="H275" s="4" t="s">
        <v>690</v>
      </c>
      <c r="I275" s="4" t="s">
        <v>691</v>
      </c>
      <c r="J275" s="4" t="s">
        <v>726</v>
      </c>
      <c r="K275" s="4" t="s">
        <v>638</v>
      </c>
      <c r="L275" s="4" t="str">
        <f>VLOOKUP($K275,'Property names'!$A$1:$D$99,2,FALSE)</f>
        <v>The measure of the hotness or coldness of the air.</v>
      </c>
      <c r="M275" s="4" t="str">
        <f>VLOOKUP($K275,'Property names'!$A$1:$D$99,3,FALSE)</f>
        <v>Degrees Celsius</v>
      </c>
      <c r="N275" s="4" t="str">
        <f>VLOOKUP($K275,'Property names'!$A$1:$D$99,4,FALSE)</f>
        <v>ºC</v>
      </c>
      <c r="O275" s="4" t="str">
        <f t="shared" si="8"/>
        <v>000008F7_000008F7_HC_Air_temperature_min</v>
      </c>
      <c r="P275" s="4" t="str">
        <f t="shared" si="9"/>
        <v>The datastream containing mesures of field 000008F7 by sensor 000008F7 which measures Air Temperature.</v>
      </c>
    </row>
    <row r="276" spans="1:16" ht="12.75">
      <c r="A276" s="4" t="s">
        <v>301</v>
      </c>
      <c r="B276" s="4" t="s">
        <v>746</v>
      </c>
      <c r="C276" s="4" t="s">
        <v>714</v>
      </c>
      <c r="D276" s="4">
        <v>36.153132999999997</v>
      </c>
      <c r="E276" s="4">
        <v>34.003120000000003</v>
      </c>
      <c r="F276" s="4" t="s">
        <v>746</v>
      </c>
      <c r="G276" s="4" t="s">
        <v>715</v>
      </c>
      <c r="H276" s="4" t="s">
        <v>690</v>
      </c>
      <c r="I276" s="4" t="s">
        <v>691</v>
      </c>
      <c r="J276" s="4" t="s">
        <v>727</v>
      </c>
      <c r="K276" s="4" t="s">
        <v>640</v>
      </c>
      <c r="L276" s="4" t="str">
        <f>VLOOKUP($K276,'Property names'!$A$1:$D$99,2,FALSE)</f>
        <v>The amount of moisture or water vapor present in the air, often expressed as a percentage of the maximum amount the air could hold at a given temperature.</v>
      </c>
      <c r="M276" s="4" t="str">
        <f>VLOOKUP($K276,'Property names'!$A$1:$D$99,3,FALSE)</f>
        <v>Percentage</v>
      </c>
      <c r="N276" s="4" t="str">
        <f>VLOOKUP($K276,'Property names'!$A$1:$D$99,4,FALSE)</f>
        <v>%</v>
      </c>
      <c r="O276" s="4" t="str">
        <f t="shared" si="8"/>
        <v>000008F7_000008F7_HC_Relative_humidity_avg</v>
      </c>
      <c r="P276" s="4" t="str">
        <f t="shared" si="9"/>
        <v>The datastream containing mesures of field 000008F7 by sensor 000008F7 which measures Air Humidity.</v>
      </c>
    </row>
    <row r="277" spans="1:16" ht="12.75">
      <c r="A277" s="4" t="s">
        <v>301</v>
      </c>
      <c r="B277" s="4" t="s">
        <v>746</v>
      </c>
      <c r="C277" s="4" t="s">
        <v>714</v>
      </c>
      <c r="D277" s="4">
        <v>36.153132999999997</v>
      </c>
      <c r="E277" s="4">
        <v>34.003120000000003</v>
      </c>
      <c r="F277" s="4" t="s">
        <v>746</v>
      </c>
      <c r="G277" s="4" t="s">
        <v>715</v>
      </c>
      <c r="H277" s="4" t="s">
        <v>690</v>
      </c>
      <c r="I277" s="4" t="s">
        <v>691</v>
      </c>
      <c r="J277" s="4" t="s">
        <v>728</v>
      </c>
      <c r="K277" s="4" t="s">
        <v>640</v>
      </c>
      <c r="L277" s="4" t="str">
        <f>VLOOKUP($K277,'Property names'!$A$1:$D$99,2,FALSE)</f>
        <v>The amount of moisture or water vapor present in the air, often expressed as a percentage of the maximum amount the air could hold at a given temperature.</v>
      </c>
      <c r="M277" s="4" t="str">
        <f>VLOOKUP($K277,'Property names'!$A$1:$D$99,3,FALSE)</f>
        <v>Percentage</v>
      </c>
      <c r="N277" s="4" t="str">
        <f>VLOOKUP($K277,'Property names'!$A$1:$D$99,4,FALSE)</f>
        <v>%</v>
      </c>
      <c r="O277" s="4" t="str">
        <f t="shared" si="8"/>
        <v>000008F7_000008F7_HC_Relative_humidity_max</v>
      </c>
      <c r="P277" s="4" t="str">
        <f t="shared" si="9"/>
        <v>The datastream containing mesures of field 000008F7 by sensor 000008F7 which measures Air Humidity.</v>
      </c>
    </row>
    <row r="278" spans="1:16" ht="12.75">
      <c r="A278" s="4" t="s">
        <v>301</v>
      </c>
      <c r="B278" s="4" t="s">
        <v>746</v>
      </c>
      <c r="C278" s="4" t="s">
        <v>714</v>
      </c>
      <c r="D278" s="4">
        <v>36.153132999999997</v>
      </c>
      <c r="E278" s="4">
        <v>34.003120000000003</v>
      </c>
      <c r="F278" s="4" t="s">
        <v>746</v>
      </c>
      <c r="G278" s="4" t="s">
        <v>715</v>
      </c>
      <c r="H278" s="4" t="s">
        <v>690</v>
      </c>
      <c r="I278" s="4" t="s">
        <v>691</v>
      </c>
      <c r="J278" s="4" t="s">
        <v>729</v>
      </c>
      <c r="K278" s="4" t="s">
        <v>640</v>
      </c>
      <c r="L278" s="4" t="str">
        <f>VLOOKUP($K278,'Property names'!$A$1:$D$99,2,FALSE)</f>
        <v>The amount of moisture or water vapor present in the air, often expressed as a percentage of the maximum amount the air could hold at a given temperature.</v>
      </c>
      <c r="M278" s="4" t="str">
        <f>VLOOKUP($K278,'Property names'!$A$1:$D$99,3,FALSE)</f>
        <v>Percentage</v>
      </c>
      <c r="N278" s="4" t="str">
        <f>VLOOKUP($K278,'Property names'!$A$1:$D$99,4,FALSE)</f>
        <v>%</v>
      </c>
      <c r="O278" s="4" t="str">
        <f t="shared" si="8"/>
        <v>000008F7_000008F7_HC_Relative_humidity_min</v>
      </c>
      <c r="P278" s="4" t="str">
        <f t="shared" si="9"/>
        <v>The datastream containing mesures of field 000008F7 by sensor 000008F7 which measures Air Humidity.</v>
      </c>
    </row>
    <row r="279" spans="1:16" ht="12.75">
      <c r="A279" s="4" t="s">
        <v>301</v>
      </c>
      <c r="B279" s="4" t="s">
        <v>746</v>
      </c>
      <c r="C279" s="4" t="s">
        <v>714</v>
      </c>
      <c r="D279" s="4">
        <v>36.153132999999997</v>
      </c>
      <c r="E279" s="4">
        <v>34.003120000000003</v>
      </c>
      <c r="F279" s="4" t="s">
        <v>746</v>
      </c>
      <c r="G279" s="4" t="s">
        <v>715</v>
      </c>
      <c r="H279" s="4" t="s">
        <v>690</v>
      </c>
      <c r="I279" s="4" t="s">
        <v>691</v>
      </c>
      <c r="J279" s="4" t="s">
        <v>730</v>
      </c>
      <c r="K279" s="4" t="s">
        <v>731</v>
      </c>
      <c r="L279" s="4" t="str">
        <f>VLOOKUP($K279,'Property names'!$A$1:$D$99,2,FALSE)</f>
        <v>The temperature at which air becomes saturated with moisture, leading to the formation of dew or condensation.</v>
      </c>
      <c r="M279" s="4" t="str">
        <f>VLOOKUP($K279,'Property names'!$A$1:$D$99,3,FALSE)</f>
        <v>Degrees Celsius</v>
      </c>
      <c r="N279" s="4" t="str">
        <f>VLOOKUP($K279,'Property names'!$A$1:$D$99,4,FALSE)</f>
        <v>ºC</v>
      </c>
      <c r="O279" s="4" t="str">
        <f t="shared" si="8"/>
        <v>000008F7_000008F7_Dew_Point_avg</v>
      </c>
      <c r="P279" s="4" t="str">
        <f t="shared" si="9"/>
        <v>The datastream containing mesures of field 000008F7 by sensor 000008F7 which measures Dew Point.</v>
      </c>
    </row>
    <row r="280" spans="1:16" ht="12.75">
      <c r="A280" s="4" t="s">
        <v>301</v>
      </c>
      <c r="B280" s="4" t="s">
        <v>746</v>
      </c>
      <c r="C280" s="4" t="s">
        <v>714</v>
      </c>
      <c r="D280" s="4">
        <v>36.153132999999997</v>
      </c>
      <c r="E280" s="4">
        <v>34.003120000000003</v>
      </c>
      <c r="F280" s="4" t="s">
        <v>746</v>
      </c>
      <c r="G280" s="4" t="s">
        <v>715</v>
      </c>
      <c r="H280" s="4" t="s">
        <v>690</v>
      </c>
      <c r="I280" s="4" t="s">
        <v>691</v>
      </c>
      <c r="J280" s="4" t="s">
        <v>732</v>
      </c>
      <c r="K280" s="4" t="s">
        <v>731</v>
      </c>
      <c r="L280" s="4" t="str">
        <f>VLOOKUP($K280,'Property names'!$A$1:$D$99,2,FALSE)</f>
        <v>The temperature at which air becomes saturated with moisture, leading to the formation of dew or condensation.</v>
      </c>
      <c r="M280" s="4" t="str">
        <f>VLOOKUP($K280,'Property names'!$A$1:$D$99,3,FALSE)</f>
        <v>Degrees Celsius</v>
      </c>
      <c r="N280" s="4" t="str">
        <f>VLOOKUP($K280,'Property names'!$A$1:$D$99,4,FALSE)</f>
        <v>ºC</v>
      </c>
      <c r="O280" s="4" t="str">
        <f t="shared" si="8"/>
        <v>000008F7_000008F7_Dew_Point_min</v>
      </c>
      <c r="P280" s="4" t="str">
        <f t="shared" si="9"/>
        <v>The datastream containing mesures of field 000008F7 by sensor 000008F7 which measures Dew Point.</v>
      </c>
    </row>
    <row r="281" spans="1:16" ht="12.75">
      <c r="A281" s="4" t="s">
        <v>301</v>
      </c>
      <c r="B281" s="4" t="s">
        <v>746</v>
      </c>
      <c r="C281" s="4" t="s">
        <v>714</v>
      </c>
      <c r="D281" s="4">
        <v>36.153132999999997</v>
      </c>
      <c r="E281" s="4">
        <v>34.003120000000003</v>
      </c>
      <c r="F281" s="4" t="s">
        <v>746</v>
      </c>
      <c r="G281" s="4" t="s">
        <v>715</v>
      </c>
      <c r="H281" s="4" t="s">
        <v>690</v>
      </c>
      <c r="I281" s="4" t="s">
        <v>691</v>
      </c>
      <c r="J281" s="4" t="s">
        <v>743</v>
      </c>
      <c r="K281" s="4" t="s">
        <v>706</v>
      </c>
      <c r="L281" s="4" t="str">
        <f>VLOOKUP($K281,'Property names'!$A$1:$D$99,2,FALSE)</f>
        <v>The difference between the amount of moisture in the air and the maximum amount of moisture the air can hold at a given temperature.</v>
      </c>
      <c r="M281" s="4" t="str">
        <f>VLOOKUP($K281,'Property names'!$A$1:$D$99,3,FALSE)</f>
        <v>Kilopascal</v>
      </c>
      <c r="N281" s="4" t="str">
        <f>VLOOKUP($K281,'Property names'!$A$1:$D$99,4,FALSE)</f>
        <v>kPa</v>
      </c>
      <c r="O281" s="4" t="str">
        <f t="shared" si="8"/>
        <v>000008F7_000008F7_VPD_avg</v>
      </c>
      <c r="P281" s="4" t="str">
        <f t="shared" si="9"/>
        <v>The datastream containing mesures of field 000008F7 by sensor 000008F7 which measures VPD.</v>
      </c>
    </row>
    <row r="282" spans="1:16" ht="12.75">
      <c r="A282" s="4" t="s">
        <v>301</v>
      </c>
      <c r="B282" s="4" t="s">
        <v>746</v>
      </c>
      <c r="C282" s="4" t="s">
        <v>714</v>
      </c>
      <c r="D282" s="4">
        <v>36.153132999999997</v>
      </c>
      <c r="E282" s="4">
        <v>34.003120000000003</v>
      </c>
      <c r="F282" s="4" t="s">
        <v>746</v>
      </c>
      <c r="G282" s="4" t="s">
        <v>715</v>
      </c>
      <c r="H282" s="4" t="s">
        <v>690</v>
      </c>
      <c r="I282" s="4" t="s">
        <v>691</v>
      </c>
      <c r="J282" s="4" t="s">
        <v>744</v>
      </c>
      <c r="K282" s="4" t="s">
        <v>706</v>
      </c>
      <c r="L282" s="4" t="str">
        <f>VLOOKUP($K282,'Property names'!$A$1:$D$99,2,FALSE)</f>
        <v>The difference between the amount of moisture in the air and the maximum amount of moisture the air can hold at a given temperature.</v>
      </c>
      <c r="M282" s="4" t="str">
        <f>VLOOKUP($K282,'Property names'!$A$1:$D$99,3,FALSE)</f>
        <v>Kilopascal</v>
      </c>
      <c r="N282" s="4" t="str">
        <f>VLOOKUP($K282,'Property names'!$A$1:$D$99,4,FALSE)</f>
        <v>kPa</v>
      </c>
      <c r="O282" s="4" t="str">
        <f t="shared" si="8"/>
        <v>000008F7_000008F7_VPD_min</v>
      </c>
      <c r="P282" s="4" t="str">
        <f t="shared" si="9"/>
        <v>The datastream containing mesures of field 000008F7 by sensor 000008F7 which measures VPD.</v>
      </c>
    </row>
    <row r="283" spans="1:16" ht="12.75">
      <c r="A283" s="4" t="s">
        <v>301</v>
      </c>
      <c r="B283" s="4" t="s">
        <v>746</v>
      </c>
      <c r="C283" s="4" t="s">
        <v>714</v>
      </c>
      <c r="D283" s="4">
        <v>36.153132999999997</v>
      </c>
      <c r="E283" s="4">
        <v>34.003120000000003</v>
      </c>
      <c r="F283" s="4" t="s">
        <v>746</v>
      </c>
      <c r="G283" s="4" t="s">
        <v>715</v>
      </c>
      <c r="H283" s="4" t="s">
        <v>690</v>
      </c>
      <c r="I283" s="4" t="s">
        <v>691</v>
      </c>
      <c r="J283" s="4" t="s">
        <v>733</v>
      </c>
      <c r="K283" s="4" t="s">
        <v>692</v>
      </c>
      <c r="L283" s="4" t="str">
        <f>VLOOKUP($K283,'Property names'!$A$1:$D$99,2,FALSE)</f>
        <v>The force exerted by the weight of the air above a given point on Earth's surface, which can vary with changes in weather and altitude.</v>
      </c>
      <c r="M283" s="4" t="str">
        <f>VLOOKUP($K283,'Property names'!$A$1:$D$99,3,FALSE)</f>
        <v>Kilopascal</v>
      </c>
      <c r="N283" s="4" t="str">
        <f>VLOOKUP($K283,'Property names'!$A$1:$D$99,4,FALSE)</f>
        <v>kPa</v>
      </c>
      <c r="O283" s="4" t="str">
        <f t="shared" si="8"/>
        <v>000008F7_000008F7_Air_pressure_avg</v>
      </c>
      <c r="P283" s="4" t="str">
        <f t="shared" si="9"/>
        <v>The datastream containing mesures of field 000008F7 by sensor 000008F7 which measures Atmospheric Pressure.</v>
      </c>
    </row>
    <row r="284" spans="1:16" ht="12.75">
      <c r="A284" s="4" t="s">
        <v>301</v>
      </c>
      <c r="B284" s="4" t="s">
        <v>746</v>
      </c>
      <c r="C284" s="4" t="s">
        <v>714</v>
      </c>
      <c r="D284" s="4">
        <v>36.153132999999997</v>
      </c>
      <c r="E284" s="4">
        <v>34.003120000000003</v>
      </c>
      <c r="F284" s="4" t="s">
        <v>746</v>
      </c>
      <c r="G284" s="4" t="s">
        <v>715</v>
      </c>
      <c r="H284" s="4" t="s">
        <v>690</v>
      </c>
      <c r="I284" s="4" t="s">
        <v>691</v>
      </c>
      <c r="J284" s="4" t="s">
        <v>734</v>
      </c>
      <c r="K284" s="4" t="s">
        <v>692</v>
      </c>
      <c r="L284" s="4" t="str">
        <f>VLOOKUP($K284,'Property names'!$A$1:$D$99,2,FALSE)</f>
        <v>The force exerted by the weight of the air above a given point on Earth's surface, which can vary with changes in weather and altitude.</v>
      </c>
      <c r="M284" s="4" t="str">
        <f>VLOOKUP($K284,'Property names'!$A$1:$D$99,3,FALSE)</f>
        <v>Kilopascal</v>
      </c>
      <c r="N284" s="4" t="str">
        <f>VLOOKUP($K284,'Property names'!$A$1:$D$99,4,FALSE)</f>
        <v>kPa</v>
      </c>
      <c r="O284" s="4" t="str">
        <f t="shared" si="8"/>
        <v>000008F7_000008F7_Air_pressure_max</v>
      </c>
      <c r="P284" s="4" t="str">
        <f t="shared" si="9"/>
        <v>The datastream containing mesures of field 000008F7 by sensor 000008F7 which measures Atmospheric Pressure.</v>
      </c>
    </row>
    <row r="285" spans="1:16" ht="12.75">
      <c r="A285" s="4" t="s">
        <v>301</v>
      </c>
      <c r="B285" s="4" t="s">
        <v>746</v>
      </c>
      <c r="C285" s="4" t="s">
        <v>714</v>
      </c>
      <c r="D285" s="4">
        <v>36.153132999999997</v>
      </c>
      <c r="E285" s="4">
        <v>34.003120000000003</v>
      </c>
      <c r="F285" s="4" t="s">
        <v>746</v>
      </c>
      <c r="G285" s="4" t="s">
        <v>715</v>
      </c>
      <c r="H285" s="4" t="s">
        <v>690</v>
      </c>
      <c r="I285" s="4" t="s">
        <v>691</v>
      </c>
      <c r="J285" s="4" t="s">
        <v>735</v>
      </c>
      <c r="K285" s="4" t="s">
        <v>692</v>
      </c>
      <c r="L285" s="4" t="str">
        <f>VLOOKUP($K285,'Property names'!$A$1:$D$99,2,FALSE)</f>
        <v>The force exerted by the weight of the air above a given point on Earth's surface, which can vary with changes in weather and altitude.</v>
      </c>
      <c r="M285" s="4" t="str">
        <f>VLOOKUP($K285,'Property names'!$A$1:$D$99,3,FALSE)</f>
        <v>Kilopascal</v>
      </c>
      <c r="N285" s="4" t="str">
        <f>VLOOKUP($K285,'Property names'!$A$1:$D$99,4,FALSE)</f>
        <v>kPa</v>
      </c>
      <c r="O285" s="4" t="str">
        <f t="shared" si="8"/>
        <v>000008F7_000008F7_Air_pressure_min</v>
      </c>
      <c r="P285" s="4" t="str">
        <f t="shared" si="9"/>
        <v>The datastream containing mesures of field 000008F7 by sensor 000008F7 which measures Atmospheric Pressure.</v>
      </c>
    </row>
    <row r="286" spans="1:16" ht="12.75">
      <c r="A286" s="4" t="s">
        <v>301</v>
      </c>
      <c r="B286" s="4" t="s">
        <v>746</v>
      </c>
      <c r="C286" s="4" t="s">
        <v>714</v>
      </c>
      <c r="D286" s="4">
        <v>36.153132999999997</v>
      </c>
      <c r="E286" s="4">
        <v>34.003120000000003</v>
      </c>
      <c r="F286" s="4" t="s">
        <v>746</v>
      </c>
      <c r="G286" s="4" t="s">
        <v>715</v>
      </c>
      <c r="H286" s="4" t="s">
        <v>690</v>
      </c>
      <c r="I286" s="4" t="s">
        <v>691</v>
      </c>
      <c r="J286" s="4" t="s">
        <v>737</v>
      </c>
      <c r="K286" s="4" t="s">
        <v>737</v>
      </c>
      <c r="L286" s="4" t="str">
        <f>VLOOKUP($K286,'Property names'!$A$1:$D$99,2,FALSE)</f>
        <v>The point in time at the middle of the night, commonly defined as 12:00 AM.</v>
      </c>
      <c r="M286" s="4" t="str">
        <f>VLOOKUP($K286,'Property names'!$A$1:$D$99,3,FALSE)</f>
        <v>-</v>
      </c>
      <c r="N286" s="4" t="str">
        <f>VLOOKUP($K286,'Property names'!$A$1:$D$99,4,FALSE)</f>
        <v>-</v>
      </c>
      <c r="O286" s="4" t="str">
        <f t="shared" si="8"/>
        <v>000008F7_000008F7_Midnight</v>
      </c>
      <c r="P286" s="4" t="str">
        <f t="shared" si="9"/>
        <v>The datastream containing mesures of field 000008F7 by sensor 000008F7 which measures Midnight.</v>
      </c>
    </row>
    <row r="287" spans="1:16" ht="12.75">
      <c r="A287" s="4" t="s">
        <v>301</v>
      </c>
      <c r="B287" s="4" t="s">
        <v>748</v>
      </c>
      <c r="C287" s="4" t="s">
        <v>714</v>
      </c>
      <c r="D287" s="4">
        <v>35.940008329999998</v>
      </c>
      <c r="E287" s="4">
        <v>33.786783329999999</v>
      </c>
      <c r="F287" s="4" t="s">
        <v>748</v>
      </c>
      <c r="G287" s="4" t="s">
        <v>715</v>
      </c>
      <c r="H287" s="4" t="s">
        <v>690</v>
      </c>
      <c r="I287" s="4" t="s">
        <v>691</v>
      </c>
      <c r="J287" s="4" t="s">
        <v>739</v>
      </c>
      <c r="K287" s="4" t="s">
        <v>740</v>
      </c>
      <c r="L287" s="4" t="str">
        <f>VLOOKUP($K287,'Property names'!$A$1:$D$99,2,FALSE)</f>
        <v>A device that converts sunlight into electricity by harnessing the photovoltaic effect.</v>
      </c>
      <c r="M287" s="4" t="str">
        <f>VLOOKUP($K287,'Property names'!$A$1:$D$99,3,FALSE)</f>
        <v>-</v>
      </c>
      <c r="N287" s="4" t="str">
        <f>VLOOKUP($K287,'Property names'!$A$1:$D$99,4,FALSE)</f>
        <v>-</v>
      </c>
      <c r="O287" s="4" t="str">
        <f t="shared" si="8"/>
        <v>000010CC_000010CC_Solar_Panel_last</v>
      </c>
      <c r="P287" s="4" t="str">
        <f t="shared" si="9"/>
        <v>The datastream containing mesures of field 000010CC by sensor 000010CC which measures Solar Panel.</v>
      </c>
    </row>
    <row r="288" spans="1:16" ht="12.75">
      <c r="A288" s="4" t="s">
        <v>301</v>
      </c>
      <c r="B288" s="4" t="s">
        <v>748</v>
      </c>
      <c r="C288" s="4" t="s">
        <v>714</v>
      </c>
      <c r="D288" s="4">
        <v>35.940008329999998</v>
      </c>
      <c r="E288" s="4">
        <v>33.786783329999999</v>
      </c>
      <c r="F288" s="4" t="s">
        <v>748</v>
      </c>
      <c r="G288" s="4" t="s">
        <v>715</v>
      </c>
      <c r="H288" s="4" t="s">
        <v>690</v>
      </c>
      <c r="I288" s="4" t="s">
        <v>691</v>
      </c>
      <c r="J288" s="4" t="s">
        <v>718</v>
      </c>
      <c r="K288" s="4" t="s">
        <v>701</v>
      </c>
      <c r="L288" s="4" t="str">
        <f>VLOOKUP($K288,'Property names'!$A$1:$D$99,2,FALSE)</f>
        <v>Any form of water, liquid or solid, falling from the sky, such as rain, snow, or sleet.</v>
      </c>
      <c r="M288" s="4" t="str">
        <f>VLOOKUP($K288,'Property names'!$A$1:$D$99,3,FALSE)</f>
        <v>Millimeters</v>
      </c>
      <c r="N288" s="4" t="str">
        <f>VLOOKUP($K288,'Property names'!$A$1:$D$99,4,FALSE)</f>
        <v>mm</v>
      </c>
      <c r="O288" s="4" t="str">
        <f t="shared" si="8"/>
        <v>000010CC_000010CC_Precipitation_sum</v>
      </c>
      <c r="P288" s="4" t="str">
        <f t="shared" si="9"/>
        <v>The datastream containing mesures of field 000010CC by sensor 000010CC which measures Precipitation.</v>
      </c>
    </row>
    <row r="289" spans="1:16" ht="12.75">
      <c r="A289" s="4" t="s">
        <v>301</v>
      </c>
      <c r="B289" s="4" t="s">
        <v>748</v>
      </c>
      <c r="C289" s="4" t="s">
        <v>714</v>
      </c>
      <c r="D289" s="4">
        <v>35.940008329999998</v>
      </c>
      <c r="E289" s="4">
        <v>33.786783329999999</v>
      </c>
      <c r="F289" s="4" t="s">
        <v>748</v>
      </c>
      <c r="G289" s="4" t="s">
        <v>715</v>
      </c>
      <c r="H289" s="4" t="s">
        <v>690</v>
      </c>
      <c r="I289" s="4" t="s">
        <v>691</v>
      </c>
      <c r="J289" s="4" t="s">
        <v>721</v>
      </c>
      <c r="K289" s="4" t="s">
        <v>647</v>
      </c>
      <c r="L289" s="4" t="str">
        <f>VLOOKUP($K289,'Property names'!$A$1:$D$99,2,FALSE)</f>
        <v>The percentage of battery level associated to the specific sensor.</v>
      </c>
      <c r="M289" s="4" t="str">
        <f>VLOOKUP($K289,'Property names'!$A$1:$D$99,3,FALSE)</f>
        <v>Percentage</v>
      </c>
      <c r="N289" s="4" t="str">
        <f>VLOOKUP($K289,'Property names'!$A$1:$D$99,4,FALSE)</f>
        <v>%</v>
      </c>
      <c r="O289" s="4" t="str">
        <f t="shared" si="8"/>
        <v>000010CC_000010CC_Battery_last</v>
      </c>
      <c r="P289" s="4" t="str">
        <f t="shared" si="9"/>
        <v>The datastream containing mesures of field 000010CC by sensor 000010CC which measures Battery Level.</v>
      </c>
    </row>
    <row r="290" spans="1:16" ht="12.75">
      <c r="A290" s="4" t="s">
        <v>301</v>
      </c>
      <c r="B290" s="4" t="s">
        <v>748</v>
      </c>
      <c r="C290" s="4" t="s">
        <v>714</v>
      </c>
      <c r="D290" s="4">
        <v>35.940008329999998</v>
      </c>
      <c r="E290" s="4">
        <v>33.786783329999999</v>
      </c>
      <c r="F290" s="4" t="s">
        <v>748</v>
      </c>
      <c r="G290" s="4" t="s">
        <v>715</v>
      </c>
      <c r="H290" s="4" t="s">
        <v>690</v>
      </c>
      <c r="I290" s="4" t="s">
        <v>691</v>
      </c>
      <c r="J290" s="4" t="s">
        <v>722</v>
      </c>
      <c r="K290" s="4" t="s">
        <v>723</v>
      </c>
      <c r="L290" s="4" t="str">
        <f>VLOOKUP($K290,'Property names'!$A$1:$D$99,2,FALSE)</f>
        <v>The presence of moisture on the surface of plant leaves, often indicating favorable conditions for disease development.</v>
      </c>
      <c r="M290" s="4" t="str">
        <f>VLOOKUP($K290,'Property names'!$A$1:$D$99,3,FALSE)</f>
        <v>-</v>
      </c>
      <c r="N290" s="4" t="str">
        <f>VLOOKUP($K290,'Property names'!$A$1:$D$99,4,FALSE)</f>
        <v>-</v>
      </c>
      <c r="O290" s="4" t="str">
        <f t="shared" si="8"/>
        <v>000010CC_000010CC_Leaf_Wetness_time</v>
      </c>
      <c r="P290" s="4" t="str">
        <f t="shared" si="9"/>
        <v>The datastream containing mesures of field 000010CC by sensor 000010CC which measures Leaf Wetness.</v>
      </c>
    </row>
    <row r="291" spans="1:16" ht="12.75">
      <c r="A291" s="4" t="s">
        <v>301</v>
      </c>
      <c r="B291" s="4" t="s">
        <v>748</v>
      </c>
      <c r="C291" s="4" t="s">
        <v>714</v>
      </c>
      <c r="D291" s="4">
        <v>35.940008329999998</v>
      </c>
      <c r="E291" s="4">
        <v>33.786783329999999</v>
      </c>
      <c r="F291" s="4" t="s">
        <v>748</v>
      </c>
      <c r="G291" s="4" t="s">
        <v>715</v>
      </c>
      <c r="H291" s="4" t="s">
        <v>690</v>
      </c>
      <c r="I291" s="4" t="s">
        <v>691</v>
      </c>
      <c r="J291" s="4" t="s">
        <v>741</v>
      </c>
      <c r="K291" s="4" t="s">
        <v>742</v>
      </c>
      <c r="L291" s="4" t="str">
        <f>VLOOKUP($K291,'Property names'!$A$1:$D$99,2,FALSE)</f>
        <v>A unique identifier assigned to an individual item, facilitating its tracking and differentiation from others.</v>
      </c>
      <c r="M291" s="4" t="str">
        <f>VLOOKUP($K291,'Property names'!$A$1:$D$99,3,FALSE)</f>
        <v>-</v>
      </c>
      <c r="N291" s="4" t="str">
        <f>VLOOKUP($K291,'Property names'!$A$1:$D$99,4,FALSE)</f>
        <v>-</v>
      </c>
      <c r="O291" s="4" t="str">
        <f t="shared" si="8"/>
        <v>000010CC_000010CC_HC_Serial_Number_last</v>
      </c>
      <c r="P291" s="4" t="str">
        <f t="shared" si="9"/>
        <v>The datastream containing mesures of field 000010CC by sensor 000010CC which measures Serial Number.</v>
      </c>
    </row>
    <row r="292" spans="1:16" ht="12.75">
      <c r="A292" s="4" t="s">
        <v>301</v>
      </c>
      <c r="B292" s="4" t="s">
        <v>748</v>
      </c>
      <c r="C292" s="4" t="s">
        <v>714</v>
      </c>
      <c r="D292" s="4">
        <v>35.940008329999998</v>
      </c>
      <c r="E292" s="4">
        <v>33.786783329999999</v>
      </c>
      <c r="F292" s="4" t="s">
        <v>748</v>
      </c>
      <c r="G292" s="4" t="s">
        <v>715</v>
      </c>
      <c r="H292" s="4" t="s">
        <v>690</v>
      </c>
      <c r="I292" s="4" t="s">
        <v>691</v>
      </c>
      <c r="J292" s="4" t="s">
        <v>724</v>
      </c>
      <c r="K292" s="4" t="s">
        <v>638</v>
      </c>
      <c r="L292" s="4" t="str">
        <f>VLOOKUP($K292,'Property names'!$A$1:$D$99,2,FALSE)</f>
        <v>The measure of the hotness or coldness of the air.</v>
      </c>
      <c r="M292" s="4" t="str">
        <f>VLOOKUP($K292,'Property names'!$A$1:$D$99,3,FALSE)</f>
        <v>Degrees Celsius</v>
      </c>
      <c r="N292" s="4" t="str">
        <f>VLOOKUP($K292,'Property names'!$A$1:$D$99,4,FALSE)</f>
        <v>ºC</v>
      </c>
      <c r="O292" s="4" t="str">
        <f t="shared" si="8"/>
        <v>000010CC_000010CC_HC_Air_temperature_avg</v>
      </c>
      <c r="P292" s="4" t="str">
        <f t="shared" si="9"/>
        <v>The datastream containing mesures of field 000010CC by sensor 000010CC which measures Air Temperature.</v>
      </c>
    </row>
    <row r="293" spans="1:16" ht="12.75">
      <c r="A293" s="4" t="s">
        <v>301</v>
      </c>
      <c r="B293" s="4" t="s">
        <v>748</v>
      </c>
      <c r="C293" s="4" t="s">
        <v>714</v>
      </c>
      <c r="D293" s="4">
        <v>35.940008329999998</v>
      </c>
      <c r="E293" s="4">
        <v>33.786783329999999</v>
      </c>
      <c r="F293" s="4" t="s">
        <v>748</v>
      </c>
      <c r="G293" s="4" t="s">
        <v>715</v>
      </c>
      <c r="H293" s="4" t="s">
        <v>690</v>
      </c>
      <c r="I293" s="4" t="s">
        <v>691</v>
      </c>
      <c r="J293" s="4" t="s">
        <v>725</v>
      </c>
      <c r="K293" s="4" t="s">
        <v>638</v>
      </c>
      <c r="L293" s="4" t="str">
        <f>VLOOKUP($K293,'Property names'!$A$1:$D$99,2,FALSE)</f>
        <v>The measure of the hotness or coldness of the air.</v>
      </c>
      <c r="M293" s="4" t="str">
        <f>VLOOKUP($K293,'Property names'!$A$1:$D$99,3,FALSE)</f>
        <v>Degrees Celsius</v>
      </c>
      <c r="N293" s="4" t="str">
        <f>VLOOKUP($K293,'Property names'!$A$1:$D$99,4,FALSE)</f>
        <v>ºC</v>
      </c>
      <c r="O293" s="4" t="str">
        <f t="shared" si="8"/>
        <v>000010CC_000010CC_HC_Air_temperature_max</v>
      </c>
      <c r="P293" s="4" t="str">
        <f t="shared" si="9"/>
        <v>The datastream containing mesures of field 000010CC by sensor 000010CC which measures Air Temperature.</v>
      </c>
    </row>
    <row r="294" spans="1:16" ht="12.75">
      <c r="A294" s="4" t="s">
        <v>301</v>
      </c>
      <c r="B294" s="4" t="s">
        <v>748</v>
      </c>
      <c r="C294" s="4" t="s">
        <v>714</v>
      </c>
      <c r="D294" s="4">
        <v>35.940008329999998</v>
      </c>
      <c r="E294" s="4">
        <v>33.786783329999999</v>
      </c>
      <c r="F294" s="4" t="s">
        <v>748</v>
      </c>
      <c r="G294" s="4" t="s">
        <v>715</v>
      </c>
      <c r="H294" s="4" t="s">
        <v>690</v>
      </c>
      <c r="I294" s="4" t="s">
        <v>691</v>
      </c>
      <c r="J294" s="4" t="s">
        <v>726</v>
      </c>
      <c r="K294" s="4" t="s">
        <v>638</v>
      </c>
      <c r="L294" s="4" t="str">
        <f>VLOOKUP($K294,'Property names'!$A$1:$D$99,2,FALSE)</f>
        <v>The measure of the hotness or coldness of the air.</v>
      </c>
      <c r="M294" s="4" t="str">
        <f>VLOOKUP($K294,'Property names'!$A$1:$D$99,3,FALSE)</f>
        <v>Degrees Celsius</v>
      </c>
      <c r="N294" s="4" t="str">
        <f>VLOOKUP($K294,'Property names'!$A$1:$D$99,4,FALSE)</f>
        <v>ºC</v>
      </c>
      <c r="O294" s="4" t="str">
        <f t="shared" si="8"/>
        <v>000010CC_000010CC_HC_Air_temperature_min</v>
      </c>
      <c r="P294" s="4" t="str">
        <f t="shared" si="9"/>
        <v>The datastream containing mesures of field 000010CC by sensor 000010CC which measures Air Temperature.</v>
      </c>
    </row>
    <row r="295" spans="1:16" ht="12.75">
      <c r="A295" s="4" t="s">
        <v>301</v>
      </c>
      <c r="B295" s="4" t="s">
        <v>748</v>
      </c>
      <c r="C295" s="4" t="s">
        <v>714</v>
      </c>
      <c r="D295" s="4">
        <v>35.940008329999998</v>
      </c>
      <c r="E295" s="4">
        <v>33.786783329999999</v>
      </c>
      <c r="F295" s="4" t="s">
        <v>748</v>
      </c>
      <c r="G295" s="4" t="s">
        <v>715</v>
      </c>
      <c r="H295" s="4" t="s">
        <v>690</v>
      </c>
      <c r="I295" s="4" t="s">
        <v>691</v>
      </c>
      <c r="J295" s="4" t="s">
        <v>727</v>
      </c>
      <c r="K295" s="4" t="s">
        <v>640</v>
      </c>
      <c r="L295" s="4" t="str">
        <f>VLOOKUP($K295,'Property names'!$A$1:$D$99,2,FALSE)</f>
        <v>The amount of moisture or water vapor present in the air, often expressed as a percentage of the maximum amount the air could hold at a given temperature.</v>
      </c>
      <c r="M295" s="4" t="str">
        <f>VLOOKUP($K295,'Property names'!$A$1:$D$99,3,FALSE)</f>
        <v>Percentage</v>
      </c>
      <c r="N295" s="4" t="str">
        <f>VLOOKUP($K295,'Property names'!$A$1:$D$99,4,FALSE)</f>
        <v>%</v>
      </c>
      <c r="O295" s="4" t="str">
        <f t="shared" si="8"/>
        <v>000010CC_000010CC_HC_Relative_humidity_avg</v>
      </c>
      <c r="P295" s="4" t="str">
        <f t="shared" si="9"/>
        <v>The datastream containing mesures of field 000010CC by sensor 000010CC which measures Air Humidity.</v>
      </c>
    </row>
    <row r="296" spans="1:16" ht="12.75">
      <c r="A296" s="4" t="s">
        <v>301</v>
      </c>
      <c r="B296" s="4" t="s">
        <v>748</v>
      </c>
      <c r="C296" s="4" t="s">
        <v>714</v>
      </c>
      <c r="D296" s="4">
        <v>35.940008329999998</v>
      </c>
      <c r="E296" s="4">
        <v>33.786783329999999</v>
      </c>
      <c r="F296" s="4" t="s">
        <v>748</v>
      </c>
      <c r="G296" s="4" t="s">
        <v>715</v>
      </c>
      <c r="H296" s="4" t="s">
        <v>690</v>
      </c>
      <c r="I296" s="4" t="s">
        <v>691</v>
      </c>
      <c r="J296" s="4" t="s">
        <v>728</v>
      </c>
      <c r="K296" s="4" t="s">
        <v>640</v>
      </c>
      <c r="L296" s="4" t="str">
        <f>VLOOKUP($K296,'Property names'!$A$1:$D$99,2,FALSE)</f>
        <v>The amount of moisture or water vapor present in the air, often expressed as a percentage of the maximum amount the air could hold at a given temperature.</v>
      </c>
      <c r="M296" s="4" t="str">
        <f>VLOOKUP($K296,'Property names'!$A$1:$D$99,3,FALSE)</f>
        <v>Percentage</v>
      </c>
      <c r="N296" s="4" t="str">
        <f>VLOOKUP($K296,'Property names'!$A$1:$D$99,4,FALSE)</f>
        <v>%</v>
      </c>
      <c r="O296" s="4" t="str">
        <f t="shared" si="8"/>
        <v>000010CC_000010CC_HC_Relative_humidity_max</v>
      </c>
      <c r="P296" s="4" t="str">
        <f t="shared" si="9"/>
        <v>The datastream containing mesures of field 000010CC by sensor 000010CC which measures Air Humidity.</v>
      </c>
    </row>
    <row r="297" spans="1:16" ht="12.75">
      <c r="A297" s="4" t="s">
        <v>301</v>
      </c>
      <c r="B297" s="4" t="s">
        <v>748</v>
      </c>
      <c r="C297" s="4" t="s">
        <v>714</v>
      </c>
      <c r="D297" s="4">
        <v>35.940008329999998</v>
      </c>
      <c r="E297" s="4">
        <v>33.786783329999999</v>
      </c>
      <c r="F297" s="4" t="s">
        <v>748</v>
      </c>
      <c r="G297" s="4" t="s">
        <v>715</v>
      </c>
      <c r="H297" s="4" t="s">
        <v>690</v>
      </c>
      <c r="I297" s="4" t="s">
        <v>691</v>
      </c>
      <c r="J297" s="4" t="s">
        <v>729</v>
      </c>
      <c r="K297" s="4" t="s">
        <v>640</v>
      </c>
      <c r="L297" s="4" t="str">
        <f>VLOOKUP($K297,'Property names'!$A$1:$D$99,2,FALSE)</f>
        <v>The amount of moisture or water vapor present in the air, often expressed as a percentage of the maximum amount the air could hold at a given temperature.</v>
      </c>
      <c r="M297" s="4" t="str">
        <f>VLOOKUP($K297,'Property names'!$A$1:$D$99,3,FALSE)</f>
        <v>Percentage</v>
      </c>
      <c r="N297" s="4" t="str">
        <f>VLOOKUP($K297,'Property names'!$A$1:$D$99,4,FALSE)</f>
        <v>%</v>
      </c>
      <c r="O297" s="4" t="str">
        <f t="shared" si="8"/>
        <v>000010CC_000010CC_HC_Relative_humidity_min</v>
      </c>
      <c r="P297" s="4" t="str">
        <f t="shared" si="9"/>
        <v>The datastream containing mesures of field 000010CC by sensor 000010CC which measures Air Humidity.</v>
      </c>
    </row>
    <row r="298" spans="1:16" ht="12.75">
      <c r="A298" s="4" t="s">
        <v>301</v>
      </c>
      <c r="B298" s="4" t="s">
        <v>748</v>
      </c>
      <c r="C298" s="4" t="s">
        <v>714</v>
      </c>
      <c r="D298" s="4">
        <v>35.940008329999998</v>
      </c>
      <c r="E298" s="4">
        <v>33.786783329999999</v>
      </c>
      <c r="F298" s="4" t="s">
        <v>748</v>
      </c>
      <c r="G298" s="4" t="s">
        <v>715</v>
      </c>
      <c r="H298" s="4" t="s">
        <v>690</v>
      </c>
      <c r="I298" s="4" t="s">
        <v>691</v>
      </c>
      <c r="J298" s="4" t="s">
        <v>730</v>
      </c>
      <c r="K298" s="4" t="s">
        <v>731</v>
      </c>
      <c r="L298" s="4" t="str">
        <f>VLOOKUP($K298,'Property names'!$A$1:$D$99,2,FALSE)</f>
        <v>The temperature at which air becomes saturated with moisture, leading to the formation of dew or condensation.</v>
      </c>
      <c r="M298" s="4" t="str">
        <f>VLOOKUP($K298,'Property names'!$A$1:$D$99,3,FALSE)</f>
        <v>Degrees Celsius</v>
      </c>
      <c r="N298" s="4" t="str">
        <f>VLOOKUP($K298,'Property names'!$A$1:$D$99,4,FALSE)</f>
        <v>ºC</v>
      </c>
      <c r="O298" s="4" t="str">
        <f t="shared" si="8"/>
        <v>000010CC_000010CC_Dew_Point_avg</v>
      </c>
      <c r="P298" s="4" t="str">
        <f t="shared" si="9"/>
        <v>The datastream containing mesures of field 000010CC by sensor 000010CC which measures Dew Point.</v>
      </c>
    </row>
    <row r="299" spans="1:16" ht="12.75">
      <c r="A299" s="4" t="s">
        <v>301</v>
      </c>
      <c r="B299" s="4" t="s">
        <v>748</v>
      </c>
      <c r="C299" s="4" t="s">
        <v>714</v>
      </c>
      <c r="D299" s="4">
        <v>35.940008329999998</v>
      </c>
      <c r="E299" s="4">
        <v>33.786783329999999</v>
      </c>
      <c r="F299" s="4" t="s">
        <v>748</v>
      </c>
      <c r="G299" s="4" t="s">
        <v>715</v>
      </c>
      <c r="H299" s="4" t="s">
        <v>690</v>
      </c>
      <c r="I299" s="4" t="s">
        <v>691</v>
      </c>
      <c r="J299" s="4" t="s">
        <v>732</v>
      </c>
      <c r="K299" s="4" t="s">
        <v>731</v>
      </c>
      <c r="L299" s="4" t="str">
        <f>VLOOKUP($K299,'Property names'!$A$1:$D$99,2,FALSE)</f>
        <v>The temperature at which air becomes saturated with moisture, leading to the formation of dew or condensation.</v>
      </c>
      <c r="M299" s="4" t="str">
        <f>VLOOKUP($K299,'Property names'!$A$1:$D$99,3,FALSE)</f>
        <v>Degrees Celsius</v>
      </c>
      <c r="N299" s="4" t="str">
        <f>VLOOKUP($K299,'Property names'!$A$1:$D$99,4,FALSE)</f>
        <v>ºC</v>
      </c>
      <c r="O299" s="4" t="str">
        <f t="shared" si="8"/>
        <v>000010CC_000010CC_Dew_Point_min</v>
      </c>
      <c r="P299" s="4" t="str">
        <f t="shared" si="9"/>
        <v>The datastream containing mesures of field 000010CC by sensor 000010CC which measures Dew Point.</v>
      </c>
    </row>
    <row r="300" spans="1:16" ht="12.75">
      <c r="A300" s="4" t="s">
        <v>301</v>
      </c>
      <c r="B300" s="4" t="s">
        <v>748</v>
      </c>
      <c r="C300" s="4" t="s">
        <v>714</v>
      </c>
      <c r="D300" s="4">
        <v>35.940008329999998</v>
      </c>
      <c r="E300" s="4">
        <v>33.786783329999999</v>
      </c>
      <c r="F300" s="4" t="s">
        <v>748</v>
      </c>
      <c r="G300" s="4" t="s">
        <v>715</v>
      </c>
      <c r="H300" s="4" t="s">
        <v>690</v>
      </c>
      <c r="I300" s="4" t="s">
        <v>691</v>
      </c>
      <c r="J300" s="4" t="s">
        <v>743</v>
      </c>
      <c r="K300" s="4" t="s">
        <v>706</v>
      </c>
      <c r="L300" s="4" t="str">
        <f>VLOOKUP($K300,'Property names'!$A$1:$D$99,2,FALSE)</f>
        <v>The difference between the amount of moisture in the air and the maximum amount of moisture the air can hold at a given temperature.</v>
      </c>
      <c r="M300" s="4" t="str">
        <f>VLOOKUP($K300,'Property names'!$A$1:$D$99,3,FALSE)</f>
        <v>Kilopascal</v>
      </c>
      <c r="N300" s="4" t="str">
        <f>VLOOKUP($K300,'Property names'!$A$1:$D$99,4,FALSE)</f>
        <v>kPa</v>
      </c>
      <c r="O300" s="4" t="str">
        <f t="shared" si="8"/>
        <v>000010CC_000010CC_VPD_avg</v>
      </c>
      <c r="P300" s="4" t="str">
        <f t="shared" si="9"/>
        <v>The datastream containing mesures of field 000010CC by sensor 000010CC which measures VPD.</v>
      </c>
    </row>
    <row r="301" spans="1:16" ht="12.75">
      <c r="A301" s="4" t="s">
        <v>301</v>
      </c>
      <c r="B301" s="4" t="s">
        <v>748</v>
      </c>
      <c r="C301" s="4" t="s">
        <v>714</v>
      </c>
      <c r="D301" s="4">
        <v>35.940008329999998</v>
      </c>
      <c r="E301" s="4">
        <v>33.786783329999999</v>
      </c>
      <c r="F301" s="4" t="s">
        <v>748</v>
      </c>
      <c r="G301" s="4" t="s">
        <v>715</v>
      </c>
      <c r="H301" s="4" t="s">
        <v>690</v>
      </c>
      <c r="I301" s="4" t="s">
        <v>691</v>
      </c>
      <c r="J301" s="4" t="s">
        <v>744</v>
      </c>
      <c r="K301" s="4" t="s">
        <v>706</v>
      </c>
      <c r="L301" s="4" t="str">
        <f>VLOOKUP($K301,'Property names'!$A$1:$D$99,2,FALSE)</f>
        <v>The difference between the amount of moisture in the air and the maximum amount of moisture the air can hold at a given temperature.</v>
      </c>
      <c r="M301" s="4" t="str">
        <f>VLOOKUP($K301,'Property names'!$A$1:$D$99,3,FALSE)</f>
        <v>Kilopascal</v>
      </c>
      <c r="N301" s="4" t="str">
        <f>VLOOKUP($K301,'Property names'!$A$1:$D$99,4,FALSE)</f>
        <v>kPa</v>
      </c>
      <c r="O301" s="4" t="str">
        <f t="shared" si="8"/>
        <v>000010CC_000010CC_VPD_min</v>
      </c>
      <c r="P301" s="4" t="str">
        <f t="shared" si="9"/>
        <v>The datastream containing mesures of field 000010CC by sensor 000010CC which measures VPD.</v>
      </c>
    </row>
    <row r="302" spans="1:16" ht="12.75">
      <c r="A302" s="4" t="s">
        <v>301</v>
      </c>
      <c r="B302" s="4" t="s">
        <v>748</v>
      </c>
      <c r="C302" s="4" t="s">
        <v>714</v>
      </c>
      <c r="D302" s="4">
        <v>35.940008329999998</v>
      </c>
      <c r="E302" s="4">
        <v>33.786783329999999</v>
      </c>
      <c r="F302" s="4" t="s">
        <v>748</v>
      </c>
      <c r="G302" s="4" t="s">
        <v>715</v>
      </c>
      <c r="H302" s="4" t="s">
        <v>690</v>
      </c>
      <c r="I302" s="4" t="s">
        <v>691</v>
      </c>
      <c r="J302" s="4" t="s">
        <v>737</v>
      </c>
      <c r="K302" s="4" t="s">
        <v>737</v>
      </c>
      <c r="L302" s="4" t="str">
        <f>VLOOKUP($K302,'Property names'!$A$1:$D$99,2,FALSE)</f>
        <v>The point in time at the middle of the night, commonly defined as 12:00 AM.</v>
      </c>
      <c r="M302" s="4" t="str">
        <f>VLOOKUP($K302,'Property names'!$A$1:$D$99,3,FALSE)</f>
        <v>-</v>
      </c>
      <c r="N302" s="4" t="str">
        <f>VLOOKUP($K302,'Property names'!$A$1:$D$99,4,FALSE)</f>
        <v>-</v>
      </c>
      <c r="O302" s="4" t="str">
        <f t="shared" si="8"/>
        <v>000010CC_000010CC_Midnight</v>
      </c>
      <c r="P302" s="4" t="str">
        <f t="shared" si="9"/>
        <v>The datastream containing mesures of field 000010CC by sensor 000010CC which measures Midnight.</v>
      </c>
    </row>
    <row r="303" spans="1:16" ht="12.75">
      <c r="A303" s="4" t="s">
        <v>301</v>
      </c>
      <c r="B303" s="148" t="s">
        <v>749</v>
      </c>
      <c r="C303" s="4" t="s">
        <v>714</v>
      </c>
      <c r="D303" s="4">
        <v>35.784301999999997</v>
      </c>
      <c r="E303" s="4">
        <v>33.714857000000002</v>
      </c>
      <c r="F303" s="148" t="s">
        <v>749</v>
      </c>
      <c r="G303" s="4" t="s">
        <v>715</v>
      </c>
      <c r="H303" s="4" t="s">
        <v>690</v>
      </c>
      <c r="I303" s="4" t="s">
        <v>691</v>
      </c>
      <c r="J303" s="4" t="s">
        <v>747</v>
      </c>
      <c r="K303" s="4" t="s">
        <v>704</v>
      </c>
      <c r="L303" s="4" t="str">
        <f>VLOOKUP($K303,'Property names'!$A$1:$D$99,2,FALSE)</f>
        <v>Energy from the sun in the form of electromagnetic waves.</v>
      </c>
      <c r="M303" s="4" t="str">
        <f>VLOOKUP($K303,'Property names'!$A$1:$D$99,3,FALSE)</f>
        <v>Watts per square meter</v>
      </c>
      <c r="N303" s="4" t="str">
        <f>VLOOKUP($K303,'Property names'!$A$1:$D$99,4,FALSE)</f>
        <v>W/m²</v>
      </c>
      <c r="O303" s="4" t="str">
        <f t="shared" si="8"/>
        <v>00001896_00001896_Solar_radiation_avg</v>
      </c>
      <c r="P303" s="4" t="str">
        <f t="shared" si="9"/>
        <v>The datastream containing mesures of field 00001896 by sensor 00001896 which measures Solar Radiation.</v>
      </c>
    </row>
    <row r="304" spans="1:16" ht="12.75">
      <c r="A304" s="4" t="s">
        <v>301</v>
      </c>
      <c r="B304" s="148" t="s">
        <v>749</v>
      </c>
      <c r="C304" s="4" t="s">
        <v>714</v>
      </c>
      <c r="D304" s="4">
        <v>35.784301999999997</v>
      </c>
      <c r="E304" s="4">
        <v>33.714857000000002</v>
      </c>
      <c r="F304" s="148" t="s">
        <v>749</v>
      </c>
      <c r="G304" s="4" t="s">
        <v>715</v>
      </c>
      <c r="H304" s="4" t="s">
        <v>690</v>
      </c>
      <c r="I304" s="4" t="s">
        <v>691</v>
      </c>
      <c r="J304" s="4" t="s">
        <v>718</v>
      </c>
      <c r="K304" s="4" t="s">
        <v>701</v>
      </c>
      <c r="L304" s="4" t="str">
        <f>VLOOKUP($K304,'Property names'!$A$1:$D$99,2,FALSE)</f>
        <v>Any form of water, liquid or solid, falling from the sky, such as rain, snow, or sleet.</v>
      </c>
      <c r="M304" s="4" t="str">
        <f>VLOOKUP($K304,'Property names'!$A$1:$D$99,3,FALSE)</f>
        <v>Millimeters</v>
      </c>
      <c r="N304" s="4" t="str">
        <f>VLOOKUP($K304,'Property names'!$A$1:$D$99,4,FALSE)</f>
        <v>mm</v>
      </c>
      <c r="O304" s="4" t="str">
        <f t="shared" si="8"/>
        <v>00001896_00001896_Precipitation_sum</v>
      </c>
      <c r="P304" s="4" t="str">
        <f t="shared" si="9"/>
        <v>The datastream containing mesures of field 00001896 by sensor 00001896 which measures Precipitation.</v>
      </c>
    </row>
    <row r="305" spans="1:16" ht="12.75">
      <c r="A305" s="4" t="s">
        <v>301</v>
      </c>
      <c r="B305" s="148" t="s">
        <v>749</v>
      </c>
      <c r="C305" s="4" t="s">
        <v>714</v>
      </c>
      <c r="D305" s="4">
        <v>35.784301999999997</v>
      </c>
      <c r="E305" s="4">
        <v>33.714857000000002</v>
      </c>
      <c r="F305" s="148" t="s">
        <v>749</v>
      </c>
      <c r="G305" s="4" t="s">
        <v>715</v>
      </c>
      <c r="H305" s="4" t="s">
        <v>690</v>
      </c>
      <c r="I305" s="4" t="s">
        <v>691</v>
      </c>
      <c r="J305" s="4" t="s">
        <v>719</v>
      </c>
      <c r="K305" s="4" t="s">
        <v>709</v>
      </c>
      <c r="L305" s="4" t="str">
        <f>VLOOKUP($K305,'Property names'!$A$1:$D$99,2,FALSE)</f>
        <v>The rate at which the air is moving horizontally, often measured in miles per hour or meters per second.</v>
      </c>
      <c r="M305" s="4" t="str">
        <f>VLOOKUP($K305,'Property names'!$A$1:$D$99,3,FALSE)</f>
        <v>Meters per second</v>
      </c>
      <c r="N305" s="4" t="str">
        <f>VLOOKUP($K305,'Property names'!$A$1:$D$99,4,FALSE)</f>
        <v>m/s</v>
      </c>
      <c r="O305" s="4" t="str">
        <f t="shared" si="8"/>
        <v>00001896_00001896_Wind_speed_avg</v>
      </c>
      <c r="P305" s="4" t="str">
        <f t="shared" si="9"/>
        <v>The datastream containing mesures of field 00001896 by sensor 00001896 which measures Wind Speed.</v>
      </c>
    </row>
    <row r="306" spans="1:16" ht="12.75">
      <c r="A306" s="4" t="s">
        <v>301</v>
      </c>
      <c r="B306" s="148" t="s">
        <v>749</v>
      </c>
      <c r="C306" s="4" t="s">
        <v>714</v>
      </c>
      <c r="D306" s="4">
        <v>35.784301999999997</v>
      </c>
      <c r="E306" s="4">
        <v>33.714857000000002</v>
      </c>
      <c r="F306" s="148" t="s">
        <v>749</v>
      </c>
      <c r="G306" s="4" t="s">
        <v>715</v>
      </c>
      <c r="H306" s="4" t="s">
        <v>690</v>
      </c>
      <c r="I306" s="4" t="s">
        <v>691</v>
      </c>
      <c r="J306" s="4" t="s">
        <v>720</v>
      </c>
      <c r="K306" s="4" t="s">
        <v>709</v>
      </c>
      <c r="L306" s="4" t="str">
        <f>VLOOKUP($K306,'Property names'!$A$1:$D$99,2,FALSE)</f>
        <v>The rate at which the air is moving horizontally, often measured in miles per hour or meters per second.</v>
      </c>
      <c r="M306" s="4" t="str">
        <f>VLOOKUP($K306,'Property names'!$A$1:$D$99,3,FALSE)</f>
        <v>Meters per second</v>
      </c>
      <c r="N306" s="4" t="str">
        <f>VLOOKUP($K306,'Property names'!$A$1:$D$99,4,FALSE)</f>
        <v>m/s</v>
      </c>
      <c r="O306" s="4" t="str">
        <f t="shared" si="8"/>
        <v>00001896_00001896_Wind_speed_max</v>
      </c>
      <c r="P306" s="4" t="str">
        <f t="shared" si="9"/>
        <v>The datastream containing mesures of field 00001896 by sensor 00001896 which measures Wind Speed.</v>
      </c>
    </row>
    <row r="307" spans="1:16" ht="12.75">
      <c r="A307" s="4" t="s">
        <v>301</v>
      </c>
      <c r="B307" s="148" t="s">
        <v>749</v>
      </c>
      <c r="C307" s="4" t="s">
        <v>714</v>
      </c>
      <c r="D307" s="4">
        <v>35.784301999999997</v>
      </c>
      <c r="E307" s="4">
        <v>33.714857000000002</v>
      </c>
      <c r="F307" s="148" t="s">
        <v>749</v>
      </c>
      <c r="G307" s="4" t="s">
        <v>715</v>
      </c>
      <c r="H307" s="4" t="s">
        <v>690</v>
      </c>
      <c r="I307" s="4" t="s">
        <v>691</v>
      </c>
      <c r="J307" s="4" t="s">
        <v>721</v>
      </c>
      <c r="K307" s="4" t="s">
        <v>647</v>
      </c>
      <c r="L307" s="4" t="str">
        <f>VLOOKUP($K307,'Property names'!$A$1:$D$99,2,FALSE)</f>
        <v>The percentage of battery level associated to the specific sensor.</v>
      </c>
      <c r="M307" s="4" t="str">
        <f>VLOOKUP($K307,'Property names'!$A$1:$D$99,3,FALSE)</f>
        <v>Percentage</v>
      </c>
      <c r="N307" s="4" t="str">
        <f>VLOOKUP($K307,'Property names'!$A$1:$D$99,4,FALSE)</f>
        <v>%</v>
      </c>
      <c r="O307" s="4" t="str">
        <f t="shared" si="8"/>
        <v>00001896_00001896_Battery_last</v>
      </c>
      <c r="P307" s="4" t="str">
        <f t="shared" si="9"/>
        <v>The datastream containing mesures of field 00001896 by sensor 00001896 which measures Battery Level.</v>
      </c>
    </row>
    <row r="308" spans="1:16" ht="12.75">
      <c r="A308" s="4" t="s">
        <v>301</v>
      </c>
      <c r="B308" s="148" t="s">
        <v>749</v>
      </c>
      <c r="C308" s="4" t="s">
        <v>714</v>
      </c>
      <c r="D308" s="4">
        <v>35.784301999999997</v>
      </c>
      <c r="E308" s="4">
        <v>33.714857000000002</v>
      </c>
      <c r="F308" s="148" t="s">
        <v>749</v>
      </c>
      <c r="G308" s="4" t="s">
        <v>715</v>
      </c>
      <c r="H308" s="4" t="s">
        <v>690</v>
      </c>
      <c r="I308" s="4" t="s">
        <v>691</v>
      </c>
      <c r="J308" s="4" t="s">
        <v>722</v>
      </c>
      <c r="K308" s="4" t="s">
        <v>723</v>
      </c>
      <c r="L308" s="4" t="str">
        <f>VLOOKUP($K308,'Property names'!$A$1:$D$99,2,FALSE)</f>
        <v>The presence of moisture on the surface of plant leaves, often indicating favorable conditions for disease development.</v>
      </c>
      <c r="M308" s="4" t="str">
        <f>VLOOKUP($K308,'Property names'!$A$1:$D$99,3,FALSE)</f>
        <v>-</v>
      </c>
      <c r="N308" s="4" t="str">
        <f>VLOOKUP($K308,'Property names'!$A$1:$D$99,4,FALSE)</f>
        <v>-</v>
      </c>
      <c r="O308" s="4" t="str">
        <f t="shared" si="8"/>
        <v>00001896_00001896_Leaf_Wetness_time</v>
      </c>
      <c r="P308" s="4" t="str">
        <f t="shared" si="9"/>
        <v>The datastream containing mesures of field 00001896 by sensor 00001896 which measures Leaf Wetness.</v>
      </c>
    </row>
    <row r="309" spans="1:16" ht="12.75">
      <c r="A309" s="4" t="s">
        <v>301</v>
      </c>
      <c r="B309" s="148" t="s">
        <v>749</v>
      </c>
      <c r="C309" s="4" t="s">
        <v>714</v>
      </c>
      <c r="D309" s="4">
        <v>35.784301999999997</v>
      </c>
      <c r="E309" s="4">
        <v>33.714857000000002</v>
      </c>
      <c r="F309" s="148" t="s">
        <v>749</v>
      </c>
      <c r="G309" s="4" t="s">
        <v>715</v>
      </c>
      <c r="H309" s="4" t="s">
        <v>690</v>
      </c>
      <c r="I309" s="4" t="s">
        <v>691</v>
      </c>
      <c r="J309" s="4" t="s">
        <v>724</v>
      </c>
      <c r="K309" s="4" t="s">
        <v>638</v>
      </c>
      <c r="L309" s="4" t="str">
        <f>VLOOKUP($K309,'Property names'!$A$1:$D$99,2,FALSE)</f>
        <v>The measure of the hotness or coldness of the air.</v>
      </c>
      <c r="M309" s="4" t="str">
        <f>VLOOKUP($K309,'Property names'!$A$1:$D$99,3,FALSE)</f>
        <v>Degrees Celsius</v>
      </c>
      <c r="N309" s="4" t="str">
        <f>VLOOKUP($K309,'Property names'!$A$1:$D$99,4,FALSE)</f>
        <v>ºC</v>
      </c>
      <c r="O309" s="4" t="str">
        <f t="shared" si="8"/>
        <v>00001896_00001896_HC_Air_temperature_avg</v>
      </c>
      <c r="P309" s="4" t="str">
        <f t="shared" si="9"/>
        <v>The datastream containing mesures of field 00001896 by sensor 00001896 which measures Air Temperature.</v>
      </c>
    </row>
    <row r="310" spans="1:16" ht="12.75">
      <c r="A310" s="4" t="s">
        <v>301</v>
      </c>
      <c r="B310" s="148" t="s">
        <v>749</v>
      </c>
      <c r="C310" s="4" t="s">
        <v>714</v>
      </c>
      <c r="D310" s="4">
        <v>35.784301999999997</v>
      </c>
      <c r="E310" s="4">
        <v>33.714857000000002</v>
      </c>
      <c r="F310" s="148" t="s">
        <v>749</v>
      </c>
      <c r="G310" s="4" t="s">
        <v>715</v>
      </c>
      <c r="H310" s="4" t="s">
        <v>690</v>
      </c>
      <c r="I310" s="4" t="s">
        <v>691</v>
      </c>
      <c r="J310" s="4" t="s">
        <v>725</v>
      </c>
      <c r="K310" s="4" t="s">
        <v>638</v>
      </c>
      <c r="L310" s="4" t="str">
        <f>VLOOKUP($K310,'Property names'!$A$1:$D$99,2,FALSE)</f>
        <v>The measure of the hotness or coldness of the air.</v>
      </c>
      <c r="M310" s="4" t="str">
        <f>VLOOKUP($K310,'Property names'!$A$1:$D$99,3,FALSE)</f>
        <v>Degrees Celsius</v>
      </c>
      <c r="N310" s="4" t="str">
        <f>VLOOKUP($K310,'Property names'!$A$1:$D$99,4,FALSE)</f>
        <v>ºC</v>
      </c>
      <c r="O310" s="4" t="str">
        <f t="shared" si="8"/>
        <v>00001896_00001896_HC_Air_temperature_max</v>
      </c>
      <c r="P310" s="4" t="str">
        <f t="shared" si="9"/>
        <v>The datastream containing mesures of field 00001896 by sensor 00001896 which measures Air Temperature.</v>
      </c>
    </row>
    <row r="311" spans="1:16" ht="12.75">
      <c r="A311" s="4" t="s">
        <v>301</v>
      </c>
      <c r="B311" s="148" t="s">
        <v>749</v>
      </c>
      <c r="C311" s="4" t="s">
        <v>714</v>
      </c>
      <c r="D311" s="4">
        <v>35.784301999999997</v>
      </c>
      <c r="E311" s="4">
        <v>33.714857000000002</v>
      </c>
      <c r="F311" s="148" t="s">
        <v>749</v>
      </c>
      <c r="G311" s="4" t="s">
        <v>715</v>
      </c>
      <c r="H311" s="4" t="s">
        <v>690</v>
      </c>
      <c r="I311" s="4" t="s">
        <v>691</v>
      </c>
      <c r="J311" s="4" t="s">
        <v>726</v>
      </c>
      <c r="K311" s="4" t="s">
        <v>638</v>
      </c>
      <c r="L311" s="4" t="str">
        <f>VLOOKUP($K311,'Property names'!$A$1:$D$99,2,FALSE)</f>
        <v>The measure of the hotness or coldness of the air.</v>
      </c>
      <c r="M311" s="4" t="str">
        <f>VLOOKUP($K311,'Property names'!$A$1:$D$99,3,FALSE)</f>
        <v>Degrees Celsius</v>
      </c>
      <c r="N311" s="4" t="str">
        <f>VLOOKUP($K311,'Property names'!$A$1:$D$99,4,FALSE)</f>
        <v>ºC</v>
      </c>
      <c r="O311" s="4" t="str">
        <f t="shared" si="8"/>
        <v>00001896_00001896_HC_Air_temperature_min</v>
      </c>
      <c r="P311" s="4" t="str">
        <f t="shared" si="9"/>
        <v>The datastream containing mesures of field 00001896 by sensor 00001896 which measures Air Temperature.</v>
      </c>
    </row>
    <row r="312" spans="1:16" ht="12.75">
      <c r="A312" s="4" t="s">
        <v>301</v>
      </c>
      <c r="B312" s="148" t="s">
        <v>749</v>
      </c>
      <c r="C312" s="4" t="s">
        <v>714</v>
      </c>
      <c r="D312" s="4">
        <v>35.784301999999997</v>
      </c>
      <c r="E312" s="4">
        <v>33.714857000000002</v>
      </c>
      <c r="F312" s="148" t="s">
        <v>749</v>
      </c>
      <c r="G312" s="4" t="s">
        <v>715</v>
      </c>
      <c r="H312" s="4" t="s">
        <v>690</v>
      </c>
      <c r="I312" s="4" t="s">
        <v>691</v>
      </c>
      <c r="J312" s="4" t="s">
        <v>727</v>
      </c>
      <c r="K312" s="4" t="s">
        <v>640</v>
      </c>
      <c r="L312" s="4" t="str">
        <f>VLOOKUP($K312,'Property names'!$A$1:$D$99,2,FALSE)</f>
        <v>The amount of moisture or water vapor present in the air, often expressed as a percentage of the maximum amount the air could hold at a given temperature.</v>
      </c>
      <c r="M312" s="4" t="str">
        <f>VLOOKUP($K312,'Property names'!$A$1:$D$99,3,FALSE)</f>
        <v>Percentage</v>
      </c>
      <c r="N312" s="4" t="str">
        <f>VLOOKUP($K312,'Property names'!$A$1:$D$99,4,FALSE)</f>
        <v>%</v>
      </c>
      <c r="O312" s="4" t="str">
        <f t="shared" si="8"/>
        <v>00001896_00001896_HC_Relative_humidity_avg</v>
      </c>
      <c r="P312" s="4" t="str">
        <f t="shared" si="9"/>
        <v>The datastream containing mesures of field 00001896 by sensor 00001896 which measures Air Humidity.</v>
      </c>
    </row>
    <row r="313" spans="1:16" ht="12.75">
      <c r="A313" s="4" t="s">
        <v>301</v>
      </c>
      <c r="B313" s="148" t="s">
        <v>749</v>
      </c>
      <c r="C313" s="4" t="s">
        <v>714</v>
      </c>
      <c r="D313" s="4">
        <v>35.784301999999997</v>
      </c>
      <c r="E313" s="4">
        <v>33.714857000000002</v>
      </c>
      <c r="F313" s="148" t="s">
        <v>749</v>
      </c>
      <c r="G313" s="4" t="s">
        <v>715</v>
      </c>
      <c r="H313" s="4" t="s">
        <v>690</v>
      </c>
      <c r="I313" s="4" t="s">
        <v>691</v>
      </c>
      <c r="J313" s="4" t="s">
        <v>728</v>
      </c>
      <c r="K313" s="4" t="s">
        <v>640</v>
      </c>
      <c r="L313" s="4" t="str">
        <f>VLOOKUP($K313,'Property names'!$A$1:$D$99,2,FALSE)</f>
        <v>The amount of moisture or water vapor present in the air, often expressed as a percentage of the maximum amount the air could hold at a given temperature.</v>
      </c>
      <c r="M313" s="4" t="str">
        <f>VLOOKUP($K313,'Property names'!$A$1:$D$99,3,FALSE)</f>
        <v>Percentage</v>
      </c>
      <c r="N313" s="4" t="str">
        <f>VLOOKUP($K313,'Property names'!$A$1:$D$99,4,FALSE)</f>
        <v>%</v>
      </c>
      <c r="O313" s="4" t="str">
        <f t="shared" si="8"/>
        <v>00001896_00001896_HC_Relative_humidity_max</v>
      </c>
      <c r="P313" s="4" t="str">
        <f t="shared" si="9"/>
        <v>The datastream containing mesures of field 00001896 by sensor 00001896 which measures Air Humidity.</v>
      </c>
    </row>
    <row r="314" spans="1:16" ht="12.75">
      <c r="A314" s="4" t="s">
        <v>301</v>
      </c>
      <c r="B314" s="148" t="s">
        <v>749</v>
      </c>
      <c r="C314" s="4" t="s">
        <v>714</v>
      </c>
      <c r="D314" s="4">
        <v>35.784301999999997</v>
      </c>
      <c r="E314" s="4">
        <v>33.714857000000002</v>
      </c>
      <c r="F314" s="148" t="s">
        <v>749</v>
      </c>
      <c r="G314" s="4" t="s">
        <v>715</v>
      </c>
      <c r="H314" s="4" t="s">
        <v>690</v>
      </c>
      <c r="I314" s="4" t="s">
        <v>691</v>
      </c>
      <c r="J314" s="4" t="s">
        <v>729</v>
      </c>
      <c r="K314" s="4" t="s">
        <v>640</v>
      </c>
      <c r="L314" s="4" t="str">
        <f>VLOOKUP($K314,'Property names'!$A$1:$D$99,2,FALSE)</f>
        <v>The amount of moisture or water vapor present in the air, often expressed as a percentage of the maximum amount the air could hold at a given temperature.</v>
      </c>
      <c r="M314" s="4" t="str">
        <f>VLOOKUP($K314,'Property names'!$A$1:$D$99,3,FALSE)</f>
        <v>Percentage</v>
      </c>
      <c r="N314" s="4" t="str">
        <f>VLOOKUP($K314,'Property names'!$A$1:$D$99,4,FALSE)</f>
        <v>%</v>
      </c>
      <c r="O314" s="4" t="str">
        <f t="shared" si="8"/>
        <v>00001896_00001896_HC_Relative_humidity_min</v>
      </c>
      <c r="P314" s="4" t="str">
        <f t="shared" si="9"/>
        <v>The datastream containing mesures of field 00001896 by sensor 00001896 which measures Air Humidity.</v>
      </c>
    </row>
    <row r="315" spans="1:16" ht="12.75">
      <c r="A315" s="4" t="s">
        <v>301</v>
      </c>
      <c r="B315" s="148" t="s">
        <v>749</v>
      </c>
      <c r="C315" s="4" t="s">
        <v>714</v>
      </c>
      <c r="D315" s="4">
        <v>35.784301999999997</v>
      </c>
      <c r="E315" s="4">
        <v>33.714857000000002</v>
      </c>
      <c r="F315" s="148" t="s">
        <v>749</v>
      </c>
      <c r="G315" s="4" t="s">
        <v>715</v>
      </c>
      <c r="H315" s="4" t="s">
        <v>690</v>
      </c>
      <c r="I315" s="4" t="s">
        <v>691</v>
      </c>
      <c r="J315" s="4" t="s">
        <v>730</v>
      </c>
      <c r="K315" s="4" t="s">
        <v>731</v>
      </c>
      <c r="L315" s="4" t="str">
        <f>VLOOKUP($K315,'Property names'!$A$1:$D$99,2,FALSE)</f>
        <v>The temperature at which air becomes saturated with moisture, leading to the formation of dew or condensation.</v>
      </c>
      <c r="M315" s="4" t="str">
        <f>VLOOKUP($K315,'Property names'!$A$1:$D$99,3,FALSE)</f>
        <v>Degrees Celsius</v>
      </c>
      <c r="N315" s="4" t="str">
        <f>VLOOKUP($K315,'Property names'!$A$1:$D$99,4,FALSE)</f>
        <v>ºC</v>
      </c>
      <c r="O315" s="4" t="str">
        <f t="shared" si="8"/>
        <v>00001896_00001896_Dew_Point_avg</v>
      </c>
      <c r="P315" s="4" t="str">
        <f t="shared" si="9"/>
        <v>The datastream containing mesures of field 00001896 by sensor 00001896 which measures Dew Point.</v>
      </c>
    </row>
    <row r="316" spans="1:16" ht="12.75">
      <c r="A316" s="4" t="s">
        <v>301</v>
      </c>
      <c r="B316" s="148" t="s">
        <v>749</v>
      </c>
      <c r="C316" s="4" t="s">
        <v>714</v>
      </c>
      <c r="D316" s="4">
        <v>35.784301999999997</v>
      </c>
      <c r="E316" s="4">
        <v>33.714857000000002</v>
      </c>
      <c r="F316" s="148" t="s">
        <v>749</v>
      </c>
      <c r="G316" s="4" t="s">
        <v>715</v>
      </c>
      <c r="H316" s="4" t="s">
        <v>690</v>
      </c>
      <c r="I316" s="4" t="s">
        <v>691</v>
      </c>
      <c r="J316" s="4" t="s">
        <v>732</v>
      </c>
      <c r="K316" s="4" t="s">
        <v>731</v>
      </c>
      <c r="L316" s="4" t="str">
        <f>VLOOKUP($K316,'Property names'!$A$1:$D$99,2,FALSE)</f>
        <v>The temperature at which air becomes saturated with moisture, leading to the formation of dew or condensation.</v>
      </c>
      <c r="M316" s="4" t="str">
        <f>VLOOKUP($K316,'Property names'!$A$1:$D$99,3,FALSE)</f>
        <v>Degrees Celsius</v>
      </c>
      <c r="N316" s="4" t="str">
        <f>VLOOKUP($K316,'Property names'!$A$1:$D$99,4,FALSE)</f>
        <v>ºC</v>
      </c>
      <c r="O316" s="4" t="str">
        <f t="shared" si="8"/>
        <v>00001896_00001896_Dew_Point_min</v>
      </c>
      <c r="P316" s="4" t="str">
        <f t="shared" si="9"/>
        <v>The datastream containing mesures of field 00001896 by sensor 00001896 which measures Dew Point.</v>
      </c>
    </row>
    <row r="317" spans="1:16" ht="12.75">
      <c r="A317" s="4" t="s">
        <v>301</v>
      </c>
      <c r="B317" s="148" t="s">
        <v>749</v>
      </c>
      <c r="C317" s="4" t="s">
        <v>714</v>
      </c>
      <c r="D317" s="4">
        <v>35.784301999999997</v>
      </c>
      <c r="E317" s="4">
        <v>33.714857000000002</v>
      </c>
      <c r="F317" s="148" t="s">
        <v>749</v>
      </c>
      <c r="G317" s="4" t="s">
        <v>715</v>
      </c>
      <c r="H317" s="4" t="s">
        <v>690</v>
      </c>
      <c r="I317" s="4" t="s">
        <v>691</v>
      </c>
      <c r="J317" s="4" t="s">
        <v>750</v>
      </c>
      <c r="K317" s="4" t="s">
        <v>751</v>
      </c>
      <c r="L317" s="4" t="str">
        <f>VLOOKUP($K317,'Property names'!$A$1:$D$99,2,FALSE)</f>
        <v>A point or device within a blockchain network that validates and records transactions, contributing to the decentralized nature of the technology.</v>
      </c>
      <c r="M317" s="4" t="str">
        <f>VLOOKUP($K317,'Property names'!$A$1:$D$99,3,FALSE)</f>
        <v>-</v>
      </c>
      <c r="N317" s="4" t="str">
        <f>VLOOKUP($K317,'Property names'!$A$1:$D$99,4,FALSE)</f>
        <v>-</v>
      </c>
      <c r="O317" s="4" t="str">
        <f t="shared" si="8"/>
        <v>00001896_00001896_@Chain_node_last</v>
      </c>
      <c r="P317" s="4" t="str">
        <f t="shared" si="9"/>
        <v>The datastream containing mesures of field 00001896 by sensor 00001896 which measures Chain Node.</v>
      </c>
    </row>
    <row r="318" spans="1:16" ht="12.75">
      <c r="A318" s="4" t="s">
        <v>301</v>
      </c>
      <c r="B318" s="148" t="s">
        <v>749</v>
      </c>
      <c r="C318" s="4" t="s">
        <v>714</v>
      </c>
      <c r="D318" s="4">
        <v>35.784301999999997</v>
      </c>
      <c r="E318" s="4">
        <v>33.714857000000002</v>
      </c>
      <c r="F318" s="148" t="s">
        <v>749</v>
      </c>
      <c r="G318" s="4" t="s">
        <v>715</v>
      </c>
      <c r="H318" s="4" t="s">
        <v>690</v>
      </c>
      <c r="I318" s="4" t="s">
        <v>691</v>
      </c>
      <c r="J318" s="4" t="s">
        <v>752</v>
      </c>
      <c r="K318" s="4" t="s">
        <v>646</v>
      </c>
      <c r="L318" s="4" t="str">
        <f>VLOOKUP($K318,'Property names'!$A$1:$D$99,2,FALSE)</f>
        <v>The measure of temperature of the soil.</v>
      </c>
      <c r="M318" s="4" t="str">
        <f>VLOOKUP($K318,'Property names'!$A$1:$D$99,3,FALSE)</f>
        <v>Degrees Celsius</v>
      </c>
      <c r="N318" s="4" t="str">
        <f>VLOOKUP($K318,'Property names'!$A$1:$D$99,4,FALSE)</f>
        <v>ºC</v>
      </c>
      <c r="O318" s="4" t="str">
        <f t="shared" si="8"/>
        <v>00001896_00001896_Soil_temperature_1_avg</v>
      </c>
      <c r="P318" s="4" t="str">
        <f t="shared" si="9"/>
        <v>The datastream containing mesures of field 00001896 by sensor 00001896 which measures Soil Temperature.</v>
      </c>
    </row>
    <row r="319" spans="1:16" ht="12.75">
      <c r="A319" s="4" t="s">
        <v>301</v>
      </c>
      <c r="B319" s="148" t="s">
        <v>749</v>
      </c>
      <c r="C319" s="4" t="s">
        <v>714</v>
      </c>
      <c r="D319" s="4">
        <v>35.784301999999997</v>
      </c>
      <c r="E319" s="4">
        <v>33.714857000000002</v>
      </c>
      <c r="F319" s="148" t="s">
        <v>749</v>
      </c>
      <c r="G319" s="4" t="s">
        <v>715</v>
      </c>
      <c r="H319" s="4" t="s">
        <v>690</v>
      </c>
      <c r="I319" s="4" t="s">
        <v>691</v>
      </c>
      <c r="J319" s="4" t="s">
        <v>753</v>
      </c>
      <c r="K319" s="4" t="s">
        <v>646</v>
      </c>
      <c r="L319" s="4" t="str">
        <f>VLOOKUP($K319,'Property names'!$A$1:$D$99,2,FALSE)</f>
        <v>The measure of temperature of the soil.</v>
      </c>
      <c r="M319" s="4" t="str">
        <f>VLOOKUP($K319,'Property names'!$A$1:$D$99,3,FALSE)</f>
        <v>Degrees Celsius</v>
      </c>
      <c r="N319" s="4" t="str">
        <f>VLOOKUP($K319,'Property names'!$A$1:$D$99,4,FALSE)</f>
        <v>ºC</v>
      </c>
      <c r="O319" s="4" t="str">
        <f t="shared" si="8"/>
        <v>00001896_00001896_Soil_temperature_1_max</v>
      </c>
      <c r="P319" s="4" t="str">
        <f t="shared" si="9"/>
        <v>The datastream containing mesures of field 00001896 by sensor 00001896 which measures Soil Temperature.</v>
      </c>
    </row>
    <row r="320" spans="1:16" ht="12.75">
      <c r="A320" s="4" t="s">
        <v>301</v>
      </c>
      <c r="B320" s="148" t="s">
        <v>749</v>
      </c>
      <c r="C320" s="4" t="s">
        <v>714</v>
      </c>
      <c r="D320" s="4">
        <v>35.784301999999997</v>
      </c>
      <c r="E320" s="4">
        <v>33.714857000000002</v>
      </c>
      <c r="F320" s="148" t="s">
        <v>749</v>
      </c>
      <c r="G320" s="4" t="s">
        <v>715</v>
      </c>
      <c r="H320" s="4" t="s">
        <v>690</v>
      </c>
      <c r="I320" s="4" t="s">
        <v>691</v>
      </c>
      <c r="J320" s="4" t="s">
        <v>754</v>
      </c>
      <c r="K320" s="4" t="s">
        <v>646</v>
      </c>
      <c r="L320" s="4" t="str">
        <f>VLOOKUP($K320,'Property names'!$A$1:$D$99,2,FALSE)</f>
        <v>The measure of temperature of the soil.</v>
      </c>
      <c r="M320" s="4" t="str">
        <f>VLOOKUP($K320,'Property names'!$A$1:$D$99,3,FALSE)</f>
        <v>Degrees Celsius</v>
      </c>
      <c r="N320" s="4" t="str">
        <f>VLOOKUP($K320,'Property names'!$A$1:$D$99,4,FALSE)</f>
        <v>ºC</v>
      </c>
      <c r="O320" s="4" t="str">
        <f t="shared" si="8"/>
        <v>00001896_00001896_Soil_temperature_1_min</v>
      </c>
      <c r="P320" s="4" t="str">
        <f t="shared" si="9"/>
        <v>The datastream containing mesures of field 00001896 by sensor 00001896 which measures Soil Temperature.</v>
      </c>
    </row>
    <row r="321" spans="1:16" ht="12.75">
      <c r="A321" s="4" t="s">
        <v>301</v>
      </c>
      <c r="B321" s="148" t="s">
        <v>749</v>
      </c>
      <c r="C321" s="4" t="s">
        <v>714</v>
      </c>
      <c r="D321" s="4">
        <v>35.784301999999997</v>
      </c>
      <c r="E321" s="4">
        <v>33.714857000000002</v>
      </c>
      <c r="F321" s="148" t="s">
        <v>749</v>
      </c>
      <c r="G321" s="4" t="s">
        <v>715</v>
      </c>
      <c r="H321" s="4" t="s">
        <v>690</v>
      </c>
      <c r="I321" s="4" t="s">
        <v>691</v>
      </c>
      <c r="J321" s="4" t="s">
        <v>755</v>
      </c>
      <c r="K321" s="4" t="s">
        <v>646</v>
      </c>
      <c r="L321" s="4" t="str">
        <f>VLOOKUP($K321,'Property names'!$A$1:$D$99,2,FALSE)</f>
        <v>The measure of temperature of the soil.</v>
      </c>
      <c r="M321" s="4" t="str">
        <f>VLOOKUP($K321,'Property names'!$A$1:$D$99,3,FALSE)</f>
        <v>Degrees Celsius</v>
      </c>
      <c r="N321" s="4" t="str">
        <f>VLOOKUP($K321,'Property names'!$A$1:$D$99,4,FALSE)</f>
        <v>ºC</v>
      </c>
      <c r="O321" s="4" t="str">
        <f t="shared" si="8"/>
        <v>00001896_00001896_Soil_temperature_2_avg</v>
      </c>
      <c r="P321" s="4" t="str">
        <f t="shared" si="9"/>
        <v>The datastream containing mesures of field 00001896 by sensor 00001896 which measures Soil Temperature.</v>
      </c>
    </row>
    <row r="322" spans="1:16" ht="12.75">
      <c r="A322" s="4" t="s">
        <v>301</v>
      </c>
      <c r="B322" s="148" t="s">
        <v>749</v>
      </c>
      <c r="C322" s="4" t="s">
        <v>714</v>
      </c>
      <c r="D322" s="4">
        <v>35.784301999999997</v>
      </c>
      <c r="E322" s="4">
        <v>33.714857000000002</v>
      </c>
      <c r="F322" s="148" t="s">
        <v>749</v>
      </c>
      <c r="G322" s="4" t="s">
        <v>715</v>
      </c>
      <c r="H322" s="4" t="s">
        <v>690</v>
      </c>
      <c r="I322" s="4" t="s">
        <v>691</v>
      </c>
      <c r="J322" s="4" t="s">
        <v>756</v>
      </c>
      <c r="K322" s="4" t="s">
        <v>646</v>
      </c>
      <c r="L322" s="4" t="str">
        <f>VLOOKUP($K322,'Property names'!$A$1:$D$99,2,FALSE)</f>
        <v>The measure of temperature of the soil.</v>
      </c>
      <c r="M322" s="4" t="str">
        <f>VLOOKUP($K322,'Property names'!$A$1:$D$99,3,FALSE)</f>
        <v>Degrees Celsius</v>
      </c>
      <c r="N322" s="4" t="str">
        <f>VLOOKUP($K322,'Property names'!$A$1:$D$99,4,FALSE)</f>
        <v>ºC</v>
      </c>
      <c r="O322" s="4" t="str">
        <f t="shared" si="8"/>
        <v>00001896_00001896_Soil_temperature_2_max</v>
      </c>
      <c r="P322" s="4" t="str">
        <f t="shared" si="9"/>
        <v>The datastream containing mesures of field 00001896 by sensor 00001896 which measures Soil Temperature.</v>
      </c>
    </row>
    <row r="323" spans="1:16" ht="12.75">
      <c r="A323" s="4" t="s">
        <v>301</v>
      </c>
      <c r="B323" s="148" t="s">
        <v>749</v>
      </c>
      <c r="C323" s="4" t="s">
        <v>714</v>
      </c>
      <c r="D323" s="4">
        <v>35.784301999999997</v>
      </c>
      <c r="E323" s="4">
        <v>33.714857000000002</v>
      </c>
      <c r="F323" s="148" t="s">
        <v>749</v>
      </c>
      <c r="G323" s="4" t="s">
        <v>715</v>
      </c>
      <c r="H323" s="4" t="s">
        <v>690</v>
      </c>
      <c r="I323" s="4" t="s">
        <v>691</v>
      </c>
      <c r="J323" s="4" t="s">
        <v>757</v>
      </c>
      <c r="K323" s="4" t="s">
        <v>646</v>
      </c>
      <c r="L323" s="4" t="str">
        <f>VLOOKUP($K323,'Property names'!$A$1:$D$99,2,FALSE)</f>
        <v>The measure of temperature of the soil.</v>
      </c>
      <c r="M323" s="4" t="str">
        <f>VLOOKUP($K323,'Property names'!$A$1:$D$99,3,FALSE)</f>
        <v>Degrees Celsius</v>
      </c>
      <c r="N323" s="4" t="str">
        <f>VLOOKUP($K323,'Property names'!$A$1:$D$99,4,FALSE)</f>
        <v>ºC</v>
      </c>
      <c r="O323" s="4" t="str">
        <f t="shared" si="8"/>
        <v>00001896_00001896_Soil_temperature_2_min</v>
      </c>
      <c r="P323" s="4" t="str">
        <f t="shared" si="9"/>
        <v>The datastream containing mesures of field 00001896 by sensor 00001896 which measures Soil Temperature.</v>
      </c>
    </row>
    <row r="324" spans="1:16" ht="12.75">
      <c r="A324" s="4" t="s">
        <v>301</v>
      </c>
      <c r="B324" s="148" t="s">
        <v>749</v>
      </c>
      <c r="C324" s="4" t="s">
        <v>714</v>
      </c>
      <c r="D324" s="4">
        <v>35.784301999999997</v>
      </c>
      <c r="E324" s="4">
        <v>33.714857000000002</v>
      </c>
      <c r="F324" s="148" t="s">
        <v>749</v>
      </c>
      <c r="G324" s="4" t="s">
        <v>715</v>
      </c>
      <c r="H324" s="4" t="s">
        <v>690</v>
      </c>
      <c r="I324" s="4" t="s">
        <v>691</v>
      </c>
      <c r="J324" s="4" t="s">
        <v>733</v>
      </c>
      <c r="K324" s="4" t="s">
        <v>692</v>
      </c>
      <c r="L324" s="4" t="str">
        <f>VLOOKUP($K324,'Property names'!$A$1:$D$99,2,FALSE)</f>
        <v>The force exerted by the weight of the air above a given point on Earth's surface, which can vary with changes in weather and altitude.</v>
      </c>
      <c r="M324" s="4" t="str">
        <f>VLOOKUP($K324,'Property names'!$A$1:$D$99,3,FALSE)</f>
        <v>Kilopascal</v>
      </c>
      <c r="N324" s="4" t="str">
        <f>VLOOKUP($K324,'Property names'!$A$1:$D$99,4,FALSE)</f>
        <v>kPa</v>
      </c>
      <c r="O324" s="4" t="str">
        <f t="shared" si="8"/>
        <v>00001896_00001896_Air_pressure_avg</v>
      </c>
      <c r="P324" s="4" t="str">
        <f t="shared" si="9"/>
        <v>The datastream containing mesures of field 00001896 by sensor 00001896 which measures Atmospheric Pressure.</v>
      </c>
    </row>
    <row r="325" spans="1:16" ht="12.75">
      <c r="A325" s="4" t="s">
        <v>301</v>
      </c>
      <c r="B325" s="148" t="s">
        <v>749</v>
      </c>
      <c r="C325" s="4" t="s">
        <v>714</v>
      </c>
      <c r="D325" s="4">
        <v>35.784301999999997</v>
      </c>
      <c r="E325" s="4">
        <v>33.714857000000002</v>
      </c>
      <c r="F325" s="148" t="s">
        <v>749</v>
      </c>
      <c r="G325" s="4" t="s">
        <v>715</v>
      </c>
      <c r="H325" s="4" t="s">
        <v>690</v>
      </c>
      <c r="I325" s="4" t="s">
        <v>691</v>
      </c>
      <c r="J325" s="4" t="s">
        <v>734</v>
      </c>
      <c r="K325" s="4" t="s">
        <v>692</v>
      </c>
      <c r="L325" s="4" t="str">
        <f>VLOOKUP($K325,'Property names'!$A$1:$D$99,2,FALSE)</f>
        <v>The force exerted by the weight of the air above a given point on Earth's surface, which can vary with changes in weather and altitude.</v>
      </c>
      <c r="M325" s="4" t="str">
        <f>VLOOKUP($K325,'Property names'!$A$1:$D$99,3,FALSE)</f>
        <v>Kilopascal</v>
      </c>
      <c r="N325" s="4" t="str">
        <f>VLOOKUP($K325,'Property names'!$A$1:$D$99,4,FALSE)</f>
        <v>kPa</v>
      </c>
      <c r="O325" s="4" t="str">
        <f t="shared" si="8"/>
        <v>00001896_00001896_Air_pressure_max</v>
      </c>
      <c r="P325" s="4" t="str">
        <f t="shared" si="9"/>
        <v>The datastream containing mesures of field 00001896 by sensor 00001896 which measures Atmospheric Pressure.</v>
      </c>
    </row>
    <row r="326" spans="1:16" ht="12.75">
      <c r="A326" s="4" t="s">
        <v>301</v>
      </c>
      <c r="B326" s="148" t="s">
        <v>749</v>
      </c>
      <c r="C326" s="4" t="s">
        <v>714</v>
      </c>
      <c r="D326" s="4">
        <v>35.784301999999997</v>
      </c>
      <c r="E326" s="4">
        <v>33.714857000000002</v>
      </c>
      <c r="F326" s="148" t="s">
        <v>749</v>
      </c>
      <c r="G326" s="4" t="s">
        <v>715</v>
      </c>
      <c r="H326" s="4" t="s">
        <v>690</v>
      </c>
      <c r="I326" s="4" t="s">
        <v>691</v>
      </c>
      <c r="J326" s="4" t="s">
        <v>735</v>
      </c>
      <c r="K326" s="4" t="s">
        <v>692</v>
      </c>
      <c r="L326" s="4" t="str">
        <f>VLOOKUP($K326,'Property names'!$A$1:$D$99,2,FALSE)</f>
        <v>The force exerted by the weight of the air above a given point on Earth's surface, which can vary with changes in weather and altitude.</v>
      </c>
      <c r="M326" s="4" t="str">
        <f>VLOOKUP($K326,'Property names'!$A$1:$D$99,3,FALSE)</f>
        <v>Kilopascal</v>
      </c>
      <c r="N326" s="4" t="str">
        <f>VLOOKUP($K326,'Property names'!$A$1:$D$99,4,FALSE)</f>
        <v>kPa</v>
      </c>
      <c r="O326" s="4" t="str">
        <f t="shared" si="8"/>
        <v>00001896_00001896_Air_pressure_min</v>
      </c>
      <c r="P326" s="4" t="str">
        <f t="shared" si="9"/>
        <v>The datastream containing mesures of field 00001896 by sensor 00001896 which measures Atmospheric Pressure.</v>
      </c>
    </row>
    <row r="327" spans="1:16" ht="12.75">
      <c r="A327" s="4" t="s">
        <v>301</v>
      </c>
      <c r="B327" s="148" t="s">
        <v>749</v>
      </c>
      <c r="C327" s="4" t="s">
        <v>714</v>
      </c>
      <c r="D327" s="4">
        <v>35.784301999999997</v>
      </c>
      <c r="E327" s="4">
        <v>33.714857000000002</v>
      </c>
      <c r="F327" s="148" t="s">
        <v>749</v>
      </c>
      <c r="G327" s="4" t="s">
        <v>715</v>
      </c>
      <c r="H327" s="4" t="s">
        <v>690</v>
      </c>
      <c r="I327" s="4" t="s">
        <v>691</v>
      </c>
      <c r="J327" s="4" t="s">
        <v>758</v>
      </c>
      <c r="K327" s="4" t="s">
        <v>759</v>
      </c>
      <c r="L327" s="4" t="str">
        <f>VLOOKUP($K327,'Property names'!$A$1:$D$99,2,FALSE)</f>
        <v>The measure of the amount of water evaporated from a standardized reference surface, often used in agriculture for irrigation management.</v>
      </c>
      <c r="M327" s="4" t="str">
        <f>VLOOKUP($K327,'Property names'!$A$1:$D$99,3,FALSE)</f>
        <v>Millimeters per day</v>
      </c>
      <c r="N327" s="4" t="str">
        <f>VLOOKUP($K327,'Property names'!$A$1:$D$99,4,FALSE)</f>
        <v>mm/day</v>
      </c>
      <c r="O327" s="4" t="str">
        <f t="shared" si="8"/>
        <v>00001896_00001896_ET0</v>
      </c>
      <c r="P327" s="4" t="str">
        <f t="shared" si="9"/>
        <v>The datastream containing mesures of field 00001896 by sensor 00001896 which measures Reference evapotranspiration.</v>
      </c>
    </row>
    <row r="328" spans="1:16" ht="12.75">
      <c r="A328" s="4" t="s">
        <v>301</v>
      </c>
      <c r="B328" s="148" t="s">
        <v>749</v>
      </c>
      <c r="C328" s="4" t="s">
        <v>714</v>
      </c>
      <c r="D328" s="4">
        <v>35.784301999999997</v>
      </c>
      <c r="E328" s="4">
        <v>33.714857000000002</v>
      </c>
      <c r="F328" s="148" t="s">
        <v>749</v>
      </c>
      <c r="G328" s="4" t="s">
        <v>715</v>
      </c>
      <c r="H328" s="4" t="s">
        <v>690</v>
      </c>
      <c r="I328" s="4" t="s">
        <v>691</v>
      </c>
      <c r="J328" s="4" t="s">
        <v>737</v>
      </c>
      <c r="K328" s="4" t="s">
        <v>737</v>
      </c>
      <c r="L328" s="4" t="str">
        <f>VLOOKUP($K328,'Property names'!$A$1:$D$99,2,FALSE)</f>
        <v>The point in time at the middle of the night, commonly defined as 12:00 AM.</v>
      </c>
      <c r="M328" s="4" t="str">
        <f>VLOOKUP($K328,'Property names'!$A$1:$D$99,3,FALSE)</f>
        <v>-</v>
      </c>
      <c r="N328" s="4" t="str">
        <f>VLOOKUP($K328,'Property names'!$A$1:$D$99,4,FALSE)</f>
        <v>-</v>
      </c>
      <c r="O328" s="4" t="str">
        <f t="shared" si="8"/>
        <v>00001896_00001896_Midnight</v>
      </c>
      <c r="P328" s="4" t="str">
        <f t="shared" si="9"/>
        <v>The datastream containing mesures of field 00001896 by sensor 00001896 which measures Midnight.</v>
      </c>
    </row>
    <row r="329" spans="1:16" ht="12.75">
      <c r="A329" s="4" t="s">
        <v>301</v>
      </c>
      <c r="B329" s="4" t="s">
        <v>760</v>
      </c>
      <c r="C329" s="4" t="s">
        <v>714</v>
      </c>
      <c r="D329" s="4">
        <v>35.986899000000001</v>
      </c>
      <c r="E329" s="4">
        <v>33.856865999999997</v>
      </c>
      <c r="F329" s="4" t="s">
        <v>760</v>
      </c>
      <c r="G329" s="4" t="s">
        <v>715</v>
      </c>
      <c r="H329" s="4" t="s">
        <v>690</v>
      </c>
      <c r="I329" s="4" t="s">
        <v>691</v>
      </c>
      <c r="J329" s="4" t="s">
        <v>747</v>
      </c>
      <c r="K329" s="4" t="s">
        <v>704</v>
      </c>
      <c r="L329" s="4" t="str">
        <f>VLOOKUP($K329,'Property names'!$A$1:$D$99,2,FALSE)</f>
        <v>Energy from the sun in the form of electromagnetic waves.</v>
      </c>
      <c r="M329" s="4" t="str">
        <f>VLOOKUP($K329,'Property names'!$A$1:$D$99,3,FALSE)</f>
        <v>Watts per square meter</v>
      </c>
      <c r="N329" s="4" t="str">
        <f>VLOOKUP($K329,'Property names'!$A$1:$D$99,4,FALSE)</f>
        <v>W/m²</v>
      </c>
      <c r="O329" s="4" t="str">
        <f t="shared" si="8"/>
        <v>000025BD_000025BD_Solar_radiation_avg</v>
      </c>
      <c r="P329" s="4" t="str">
        <f t="shared" si="9"/>
        <v>The datastream containing mesures of field 000025BD by sensor 000025BD which measures Solar Radiation.</v>
      </c>
    </row>
    <row r="330" spans="1:16" ht="12.75">
      <c r="A330" s="4" t="s">
        <v>301</v>
      </c>
      <c r="B330" s="4" t="s">
        <v>760</v>
      </c>
      <c r="C330" s="4" t="s">
        <v>714</v>
      </c>
      <c r="D330" s="4">
        <v>35.986899000000001</v>
      </c>
      <c r="E330" s="4">
        <v>33.856865999999997</v>
      </c>
      <c r="F330" s="4" t="s">
        <v>760</v>
      </c>
      <c r="G330" s="4" t="s">
        <v>715</v>
      </c>
      <c r="H330" s="4" t="s">
        <v>690</v>
      </c>
      <c r="I330" s="4" t="s">
        <v>691</v>
      </c>
      <c r="J330" s="4" t="s">
        <v>716</v>
      </c>
      <c r="K330" s="4" t="s">
        <v>708</v>
      </c>
      <c r="L330" s="4" t="str">
        <f>VLOOKUP($K330,'Property names'!$A$1:$D$99,2,FALSE)</f>
        <v>The compass direction from which the wind is blowing.</v>
      </c>
      <c r="M330" s="4" t="str">
        <f>VLOOKUP($K330,'Property names'!$A$1:$D$99,3,FALSE)</f>
        <v>Degrees</v>
      </c>
      <c r="N330" s="4" t="str">
        <f>VLOOKUP($K330,'Property names'!$A$1:$D$99,4,FALSE)</f>
        <v>º</v>
      </c>
      <c r="O330" s="4" t="str">
        <f t="shared" si="8"/>
        <v>000025BD_000025BD_Wind_direction_avg</v>
      </c>
      <c r="P330" s="4" t="str">
        <f t="shared" si="9"/>
        <v>The datastream containing mesures of field 000025BD by sensor 000025BD which measures Wind Direction.</v>
      </c>
    </row>
    <row r="331" spans="1:16" ht="12.75">
      <c r="A331" s="4" t="s">
        <v>301</v>
      </c>
      <c r="B331" s="4" t="s">
        <v>760</v>
      </c>
      <c r="C331" s="4" t="s">
        <v>714</v>
      </c>
      <c r="D331" s="4">
        <v>35.986899000000001</v>
      </c>
      <c r="E331" s="4">
        <v>33.856865999999997</v>
      </c>
      <c r="F331" s="4" t="s">
        <v>760</v>
      </c>
      <c r="G331" s="4" t="s">
        <v>715</v>
      </c>
      <c r="H331" s="4" t="s">
        <v>690</v>
      </c>
      <c r="I331" s="4" t="s">
        <v>691</v>
      </c>
      <c r="J331" s="4" t="s">
        <v>717</v>
      </c>
      <c r="K331" s="4" t="s">
        <v>708</v>
      </c>
      <c r="L331" s="4" t="str">
        <f>VLOOKUP($K331,'Property names'!$A$1:$D$99,2,FALSE)</f>
        <v>The compass direction from which the wind is blowing.</v>
      </c>
      <c r="M331" s="4" t="str">
        <f>VLOOKUP($K331,'Property names'!$A$1:$D$99,3,FALSE)</f>
        <v>Degrees</v>
      </c>
      <c r="N331" s="4" t="str">
        <f>VLOOKUP($K331,'Property names'!$A$1:$D$99,4,FALSE)</f>
        <v>º</v>
      </c>
      <c r="O331" s="4" t="str">
        <f t="shared" si="8"/>
        <v>000025BD_000025BD_Wind_direction_last</v>
      </c>
      <c r="P331" s="4" t="str">
        <f t="shared" si="9"/>
        <v>The datastream containing mesures of field 000025BD by sensor 000025BD which measures Wind Direction.</v>
      </c>
    </row>
    <row r="332" spans="1:16" ht="12.75">
      <c r="A332" s="4" t="s">
        <v>301</v>
      </c>
      <c r="B332" s="4" t="s">
        <v>760</v>
      </c>
      <c r="C332" s="4" t="s">
        <v>714</v>
      </c>
      <c r="D332" s="4">
        <v>35.986899000000001</v>
      </c>
      <c r="E332" s="4">
        <v>33.856865999999997</v>
      </c>
      <c r="F332" s="4" t="s">
        <v>760</v>
      </c>
      <c r="G332" s="4" t="s">
        <v>715</v>
      </c>
      <c r="H332" s="4" t="s">
        <v>690</v>
      </c>
      <c r="I332" s="4" t="s">
        <v>691</v>
      </c>
      <c r="J332" s="4" t="s">
        <v>739</v>
      </c>
      <c r="K332" s="4" t="s">
        <v>740</v>
      </c>
      <c r="L332" s="4" t="str">
        <f>VLOOKUP($K332,'Property names'!$A$1:$D$99,2,FALSE)</f>
        <v>A device that converts sunlight into electricity by harnessing the photovoltaic effect.</v>
      </c>
      <c r="M332" s="4" t="str">
        <f>VLOOKUP($K332,'Property names'!$A$1:$D$99,3,FALSE)</f>
        <v>-</v>
      </c>
      <c r="N332" s="4" t="str">
        <f>VLOOKUP($K332,'Property names'!$A$1:$D$99,4,FALSE)</f>
        <v>-</v>
      </c>
      <c r="O332" s="4" t="str">
        <f t="shared" si="8"/>
        <v>000025BD_000025BD_Solar_Panel_last</v>
      </c>
      <c r="P332" s="4" t="str">
        <f t="shared" si="9"/>
        <v>The datastream containing mesures of field 000025BD by sensor 000025BD which measures Solar Panel.</v>
      </c>
    </row>
    <row r="333" spans="1:16" ht="12.75">
      <c r="A333" s="4" t="s">
        <v>301</v>
      </c>
      <c r="B333" s="4" t="s">
        <v>760</v>
      </c>
      <c r="C333" s="4" t="s">
        <v>714</v>
      </c>
      <c r="D333" s="4">
        <v>35.986899000000001</v>
      </c>
      <c r="E333" s="4">
        <v>33.856865999999997</v>
      </c>
      <c r="F333" s="4" t="s">
        <v>760</v>
      </c>
      <c r="G333" s="4" t="s">
        <v>715</v>
      </c>
      <c r="H333" s="4" t="s">
        <v>690</v>
      </c>
      <c r="I333" s="4" t="s">
        <v>691</v>
      </c>
      <c r="J333" s="4" t="s">
        <v>718</v>
      </c>
      <c r="K333" s="4" t="s">
        <v>701</v>
      </c>
      <c r="L333" s="4" t="str">
        <f>VLOOKUP($K333,'Property names'!$A$1:$D$99,2,FALSE)</f>
        <v>Any form of water, liquid or solid, falling from the sky, such as rain, snow, or sleet.</v>
      </c>
      <c r="M333" s="4" t="str">
        <f>VLOOKUP($K333,'Property names'!$A$1:$D$99,3,FALSE)</f>
        <v>Millimeters</v>
      </c>
      <c r="N333" s="4" t="str">
        <f>VLOOKUP($K333,'Property names'!$A$1:$D$99,4,FALSE)</f>
        <v>mm</v>
      </c>
      <c r="O333" s="4" t="str">
        <f t="shared" si="8"/>
        <v>000025BD_000025BD_Precipitation_sum</v>
      </c>
      <c r="P333" s="4" t="str">
        <f t="shared" si="9"/>
        <v>The datastream containing mesures of field 000025BD by sensor 000025BD which measures Precipitation.</v>
      </c>
    </row>
    <row r="334" spans="1:16" ht="12.75">
      <c r="A334" s="4" t="s">
        <v>301</v>
      </c>
      <c r="B334" s="4" t="s">
        <v>760</v>
      </c>
      <c r="C334" s="4" t="s">
        <v>714</v>
      </c>
      <c r="D334" s="4">
        <v>35.986899000000001</v>
      </c>
      <c r="E334" s="4">
        <v>33.856865999999997</v>
      </c>
      <c r="F334" s="4" t="s">
        <v>760</v>
      </c>
      <c r="G334" s="4" t="s">
        <v>715</v>
      </c>
      <c r="H334" s="4" t="s">
        <v>690</v>
      </c>
      <c r="I334" s="4" t="s">
        <v>691</v>
      </c>
      <c r="J334" s="4" t="s">
        <v>719</v>
      </c>
      <c r="K334" s="4" t="s">
        <v>709</v>
      </c>
      <c r="L334" s="4" t="str">
        <f>VLOOKUP($K334,'Property names'!$A$1:$D$99,2,FALSE)</f>
        <v>The rate at which the air is moving horizontally, often measured in miles per hour or meters per second.</v>
      </c>
      <c r="M334" s="4" t="str">
        <f>VLOOKUP($K334,'Property names'!$A$1:$D$99,3,FALSE)</f>
        <v>Meters per second</v>
      </c>
      <c r="N334" s="4" t="str">
        <f>VLOOKUP($K334,'Property names'!$A$1:$D$99,4,FALSE)</f>
        <v>m/s</v>
      </c>
      <c r="O334" s="4" t="str">
        <f t="shared" si="8"/>
        <v>000025BD_000025BD_Wind_speed_avg</v>
      </c>
      <c r="P334" s="4" t="str">
        <f t="shared" si="9"/>
        <v>The datastream containing mesures of field 000025BD by sensor 000025BD which measures Wind Speed.</v>
      </c>
    </row>
    <row r="335" spans="1:16" ht="12.75">
      <c r="A335" s="4" t="s">
        <v>301</v>
      </c>
      <c r="B335" s="4" t="s">
        <v>760</v>
      </c>
      <c r="C335" s="4" t="s">
        <v>714</v>
      </c>
      <c r="D335" s="4">
        <v>35.986899000000001</v>
      </c>
      <c r="E335" s="4">
        <v>33.856865999999997</v>
      </c>
      <c r="F335" s="4" t="s">
        <v>760</v>
      </c>
      <c r="G335" s="4" t="s">
        <v>715</v>
      </c>
      <c r="H335" s="4" t="s">
        <v>690</v>
      </c>
      <c r="I335" s="4" t="s">
        <v>691</v>
      </c>
      <c r="J335" s="4" t="s">
        <v>720</v>
      </c>
      <c r="K335" s="4" t="s">
        <v>709</v>
      </c>
      <c r="L335" s="4" t="str">
        <f>VLOOKUP($K335,'Property names'!$A$1:$D$99,2,FALSE)</f>
        <v>The rate at which the air is moving horizontally, often measured in miles per hour or meters per second.</v>
      </c>
      <c r="M335" s="4" t="str">
        <f>VLOOKUP($K335,'Property names'!$A$1:$D$99,3,FALSE)</f>
        <v>Meters per second</v>
      </c>
      <c r="N335" s="4" t="str">
        <f>VLOOKUP($K335,'Property names'!$A$1:$D$99,4,FALSE)</f>
        <v>m/s</v>
      </c>
      <c r="O335" s="4" t="str">
        <f t="shared" si="8"/>
        <v>000025BD_000025BD_Wind_speed_max</v>
      </c>
      <c r="P335" s="4" t="str">
        <f t="shared" si="9"/>
        <v>The datastream containing mesures of field 000025BD by sensor 000025BD which measures Wind Speed.</v>
      </c>
    </row>
    <row r="336" spans="1:16" ht="12.75">
      <c r="A336" s="4" t="s">
        <v>301</v>
      </c>
      <c r="B336" s="4" t="s">
        <v>760</v>
      </c>
      <c r="C336" s="4" t="s">
        <v>714</v>
      </c>
      <c r="D336" s="4">
        <v>35.986899000000001</v>
      </c>
      <c r="E336" s="4">
        <v>33.856865999999997</v>
      </c>
      <c r="F336" s="4" t="s">
        <v>760</v>
      </c>
      <c r="G336" s="4" t="s">
        <v>715</v>
      </c>
      <c r="H336" s="4" t="s">
        <v>690</v>
      </c>
      <c r="I336" s="4" t="s">
        <v>691</v>
      </c>
      <c r="J336" s="4" t="s">
        <v>721</v>
      </c>
      <c r="K336" s="4" t="s">
        <v>647</v>
      </c>
      <c r="L336" s="4" t="str">
        <f>VLOOKUP($K336,'Property names'!$A$1:$D$99,2,FALSE)</f>
        <v>The percentage of battery level associated to the specific sensor.</v>
      </c>
      <c r="M336" s="4" t="str">
        <f>VLOOKUP($K336,'Property names'!$A$1:$D$99,3,FALSE)</f>
        <v>Percentage</v>
      </c>
      <c r="N336" s="4" t="str">
        <f>VLOOKUP($K336,'Property names'!$A$1:$D$99,4,FALSE)</f>
        <v>%</v>
      </c>
      <c r="O336" s="4" t="str">
        <f t="shared" si="8"/>
        <v>000025BD_000025BD_Battery_last</v>
      </c>
      <c r="P336" s="4" t="str">
        <f t="shared" si="9"/>
        <v>The datastream containing mesures of field 000025BD by sensor 000025BD which measures Battery Level.</v>
      </c>
    </row>
    <row r="337" spans="1:16" ht="12.75">
      <c r="A337" s="4" t="s">
        <v>301</v>
      </c>
      <c r="B337" s="4" t="s">
        <v>760</v>
      </c>
      <c r="C337" s="4" t="s">
        <v>714</v>
      </c>
      <c r="D337" s="4">
        <v>35.986899000000001</v>
      </c>
      <c r="E337" s="4">
        <v>33.856865999999997</v>
      </c>
      <c r="F337" s="4" t="s">
        <v>760</v>
      </c>
      <c r="G337" s="4" t="s">
        <v>715</v>
      </c>
      <c r="H337" s="4" t="s">
        <v>690</v>
      </c>
      <c r="I337" s="4" t="s">
        <v>691</v>
      </c>
      <c r="J337" s="4" t="s">
        <v>722</v>
      </c>
      <c r="K337" s="4" t="s">
        <v>723</v>
      </c>
      <c r="L337" s="4" t="str">
        <f>VLOOKUP($K337,'Property names'!$A$1:$D$99,2,FALSE)</f>
        <v>The presence of moisture on the surface of plant leaves, often indicating favorable conditions for disease development.</v>
      </c>
      <c r="M337" s="4" t="str">
        <f>VLOOKUP($K337,'Property names'!$A$1:$D$99,3,FALSE)</f>
        <v>-</v>
      </c>
      <c r="N337" s="4" t="str">
        <f>VLOOKUP($K337,'Property names'!$A$1:$D$99,4,FALSE)</f>
        <v>-</v>
      </c>
      <c r="O337" s="4" t="str">
        <f t="shared" si="8"/>
        <v>000025BD_000025BD_Leaf_Wetness_time</v>
      </c>
      <c r="P337" s="4" t="str">
        <f t="shared" si="9"/>
        <v>The datastream containing mesures of field 000025BD by sensor 000025BD which measures Leaf Wetness.</v>
      </c>
    </row>
    <row r="338" spans="1:16" ht="12.75">
      <c r="A338" s="4" t="s">
        <v>301</v>
      </c>
      <c r="B338" s="4" t="s">
        <v>760</v>
      </c>
      <c r="C338" s="4" t="s">
        <v>714</v>
      </c>
      <c r="D338" s="4">
        <v>35.986899000000001</v>
      </c>
      <c r="E338" s="4">
        <v>33.856865999999997</v>
      </c>
      <c r="F338" s="4" t="s">
        <v>760</v>
      </c>
      <c r="G338" s="4" t="s">
        <v>715</v>
      </c>
      <c r="H338" s="4" t="s">
        <v>690</v>
      </c>
      <c r="I338" s="4" t="s">
        <v>691</v>
      </c>
      <c r="J338" s="4" t="s">
        <v>741</v>
      </c>
      <c r="K338" s="4" t="s">
        <v>742</v>
      </c>
      <c r="L338" s="4" t="str">
        <f>VLOOKUP($K338,'Property names'!$A$1:$D$99,2,FALSE)</f>
        <v>A unique identifier assigned to an individual item, facilitating its tracking and differentiation from others.</v>
      </c>
      <c r="M338" s="4" t="str">
        <f>VLOOKUP($K338,'Property names'!$A$1:$D$99,3,FALSE)</f>
        <v>-</v>
      </c>
      <c r="N338" s="4" t="str">
        <f>VLOOKUP($K338,'Property names'!$A$1:$D$99,4,FALSE)</f>
        <v>-</v>
      </c>
      <c r="O338" s="4" t="str">
        <f t="shared" si="8"/>
        <v>000025BD_000025BD_HC_Serial_Number_last</v>
      </c>
      <c r="P338" s="4" t="str">
        <f t="shared" si="9"/>
        <v>The datastream containing mesures of field 000025BD by sensor 000025BD which measures Serial Number.</v>
      </c>
    </row>
    <row r="339" spans="1:16" ht="12.75">
      <c r="A339" s="4" t="s">
        <v>301</v>
      </c>
      <c r="B339" s="4" t="s">
        <v>760</v>
      </c>
      <c r="C339" s="4" t="s">
        <v>714</v>
      </c>
      <c r="D339" s="4">
        <v>35.986899000000001</v>
      </c>
      <c r="E339" s="4">
        <v>33.856865999999997</v>
      </c>
      <c r="F339" s="4" t="s">
        <v>760</v>
      </c>
      <c r="G339" s="4" t="s">
        <v>715</v>
      </c>
      <c r="H339" s="4" t="s">
        <v>690</v>
      </c>
      <c r="I339" s="4" t="s">
        <v>691</v>
      </c>
      <c r="J339" s="4" t="s">
        <v>724</v>
      </c>
      <c r="K339" s="4" t="s">
        <v>638</v>
      </c>
      <c r="L339" s="4" t="str">
        <f>VLOOKUP($K339,'Property names'!$A$1:$D$99,2,FALSE)</f>
        <v>The measure of the hotness or coldness of the air.</v>
      </c>
      <c r="M339" s="4" t="str">
        <f>VLOOKUP($K339,'Property names'!$A$1:$D$99,3,FALSE)</f>
        <v>Degrees Celsius</v>
      </c>
      <c r="N339" s="4" t="str">
        <f>VLOOKUP($K339,'Property names'!$A$1:$D$99,4,FALSE)</f>
        <v>ºC</v>
      </c>
      <c r="O339" s="4" t="str">
        <f t="shared" si="8"/>
        <v>000025BD_000025BD_HC_Air_temperature_avg</v>
      </c>
      <c r="P339" s="4" t="str">
        <f t="shared" si="9"/>
        <v>The datastream containing mesures of field 000025BD by sensor 000025BD which measures Air Temperature.</v>
      </c>
    </row>
    <row r="340" spans="1:16" ht="12.75">
      <c r="A340" s="4" t="s">
        <v>301</v>
      </c>
      <c r="B340" s="4" t="s">
        <v>760</v>
      </c>
      <c r="C340" s="4" t="s">
        <v>714</v>
      </c>
      <c r="D340" s="4">
        <v>35.986899000000001</v>
      </c>
      <c r="E340" s="4">
        <v>33.856865999999997</v>
      </c>
      <c r="F340" s="4" t="s">
        <v>760</v>
      </c>
      <c r="G340" s="4" t="s">
        <v>715</v>
      </c>
      <c r="H340" s="4" t="s">
        <v>690</v>
      </c>
      <c r="I340" s="4" t="s">
        <v>691</v>
      </c>
      <c r="J340" s="4" t="s">
        <v>725</v>
      </c>
      <c r="K340" s="4" t="s">
        <v>638</v>
      </c>
      <c r="L340" s="4" t="str">
        <f>VLOOKUP($K340,'Property names'!$A$1:$D$99,2,FALSE)</f>
        <v>The measure of the hotness or coldness of the air.</v>
      </c>
      <c r="M340" s="4" t="str">
        <f>VLOOKUP($K340,'Property names'!$A$1:$D$99,3,FALSE)</f>
        <v>Degrees Celsius</v>
      </c>
      <c r="N340" s="4" t="str">
        <f>VLOOKUP($K340,'Property names'!$A$1:$D$99,4,FALSE)</f>
        <v>ºC</v>
      </c>
      <c r="O340" s="4" t="str">
        <f t="shared" si="8"/>
        <v>000025BD_000025BD_HC_Air_temperature_max</v>
      </c>
      <c r="P340" s="4" t="str">
        <f t="shared" si="9"/>
        <v>The datastream containing mesures of field 000025BD by sensor 000025BD which measures Air Temperature.</v>
      </c>
    </row>
    <row r="341" spans="1:16" ht="12.75">
      <c r="A341" s="4" t="s">
        <v>301</v>
      </c>
      <c r="B341" s="4" t="s">
        <v>760</v>
      </c>
      <c r="C341" s="4" t="s">
        <v>714</v>
      </c>
      <c r="D341" s="4">
        <v>35.986899000000001</v>
      </c>
      <c r="E341" s="4">
        <v>33.856865999999997</v>
      </c>
      <c r="F341" s="4" t="s">
        <v>760</v>
      </c>
      <c r="G341" s="4" t="s">
        <v>715</v>
      </c>
      <c r="H341" s="4" t="s">
        <v>690</v>
      </c>
      <c r="I341" s="4" t="s">
        <v>691</v>
      </c>
      <c r="J341" s="4" t="s">
        <v>726</v>
      </c>
      <c r="K341" s="4" t="s">
        <v>638</v>
      </c>
      <c r="L341" s="4" t="str">
        <f>VLOOKUP($K341,'Property names'!$A$1:$D$99,2,FALSE)</f>
        <v>The measure of the hotness or coldness of the air.</v>
      </c>
      <c r="M341" s="4" t="str">
        <f>VLOOKUP($K341,'Property names'!$A$1:$D$99,3,FALSE)</f>
        <v>Degrees Celsius</v>
      </c>
      <c r="N341" s="4" t="str">
        <f>VLOOKUP($K341,'Property names'!$A$1:$D$99,4,FALSE)</f>
        <v>ºC</v>
      </c>
      <c r="O341" s="4" t="str">
        <f t="shared" si="8"/>
        <v>000025BD_000025BD_HC_Air_temperature_min</v>
      </c>
      <c r="P341" s="4" t="str">
        <f t="shared" si="9"/>
        <v>The datastream containing mesures of field 000025BD by sensor 000025BD which measures Air Temperature.</v>
      </c>
    </row>
    <row r="342" spans="1:16" ht="12.75">
      <c r="A342" s="4" t="s">
        <v>301</v>
      </c>
      <c r="B342" s="4" t="s">
        <v>760</v>
      </c>
      <c r="C342" s="4" t="s">
        <v>714</v>
      </c>
      <c r="D342" s="4">
        <v>35.986899000000001</v>
      </c>
      <c r="E342" s="4">
        <v>33.856865999999997</v>
      </c>
      <c r="F342" s="4" t="s">
        <v>760</v>
      </c>
      <c r="G342" s="4" t="s">
        <v>715</v>
      </c>
      <c r="H342" s="4" t="s">
        <v>690</v>
      </c>
      <c r="I342" s="4" t="s">
        <v>691</v>
      </c>
      <c r="J342" s="4" t="s">
        <v>727</v>
      </c>
      <c r="K342" s="4" t="s">
        <v>640</v>
      </c>
      <c r="L342" s="4" t="str">
        <f>VLOOKUP($K342,'Property names'!$A$1:$D$99,2,FALSE)</f>
        <v>The amount of moisture or water vapor present in the air, often expressed as a percentage of the maximum amount the air could hold at a given temperature.</v>
      </c>
      <c r="M342" s="4" t="str">
        <f>VLOOKUP($K342,'Property names'!$A$1:$D$99,3,FALSE)</f>
        <v>Percentage</v>
      </c>
      <c r="N342" s="4" t="str">
        <f>VLOOKUP($K342,'Property names'!$A$1:$D$99,4,FALSE)</f>
        <v>%</v>
      </c>
      <c r="O342" s="4" t="str">
        <f t="shared" si="8"/>
        <v>000025BD_000025BD_HC_Relative_humidity_avg</v>
      </c>
      <c r="P342" s="4" t="str">
        <f t="shared" si="9"/>
        <v>The datastream containing mesures of field 000025BD by sensor 000025BD which measures Air Humidity.</v>
      </c>
    </row>
    <row r="343" spans="1:16" ht="12.75">
      <c r="A343" s="4" t="s">
        <v>301</v>
      </c>
      <c r="B343" s="4" t="s">
        <v>760</v>
      </c>
      <c r="C343" s="4" t="s">
        <v>714</v>
      </c>
      <c r="D343" s="4">
        <v>35.986899000000001</v>
      </c>
      <c r="E343" s="4">
        <v>33.856865999999997</v>
      </c>
      <c r="F343" s="4" t="s">
        <v>760</v>
      </c>
      <c r="G343" s="4" t="s">
        <v>715</v>
      </c>
      <c r="H343" s="4" t="s">
        <v>690</v>
      </c>
      <c r="I343" s="4" t="s">
        <v>691</v>
      </c>
      <c r="J343" s="4" t="s">
        <v>728</v>
      </c>
      <c r="K343" s="4" t="s">
        <v>640</v>
      </c>
      <c r="L343" s="4" t="str">
        <f>VLOOKUP($K343,'Property names'!$A$1:$D$99,2,FALSE)</f>
        <v>The amount of moisture or water vapor present in the air, often expressed as a percentage of the maximum amount the air could hold at a given temperature.</v>
      </c>
      <c r="M343" s="4" t="str">
        <f>VLOOKUP($K343,'Property names'!$A$1:$D$99,3,FALSE)</f>
        <v>Percentage</v>
      </c>
      <c r="N343" s="4" t="str">
        <f>VLOOKUP($K343,'Property names'!$A$1:$D$99,4,FALSE)</f>
        <v>%</v>
      </c>
      <c r="O343" s="4" t="str">
        <f t="shared" si="8"/>
        <v>000025BD_000025BD_HC_Relative_humidity_max</v>
      </c>
      <c r="P343" s="4" t="str">
        <f t="shared" si="9"/>
        <v>The datastream containing mesures of field 000025BD by sensor 000025BD which measures Air Humidity.</v>
      </c>
    </row>
    <row r="344" spans="1:16" ht="12.75">
      <c r="A344" s="4" t="s">
        <v>301</v>
      </c>
      <c r="B344" s="4" t="s">
        <v>760</v>
      </c>
      <c r="C344" s="4" t="s">
        <v>714</v>
      </c>
      <c r="D344" s="4">
        <v>35.986899000000001</v>
      </c>
      <c r="E344" s="4">
        <v>33.856865999999997</v>
      </c>
      <c r="F344" s="4" t="s">
        <v>760</v>
      </c>
      <c r="G344" s="4" t="s">
        <v>715</v>
      </c>
      <c r="H344" s="4" t="s">
        <v>690</v>
      </c>
      <c r="I344" s="4" t="s">
        <v>691</v>
      </c>
      <c r="J344" s="4" t="s">
        <v>729</v>
      </c>
      <c r="K344" s="4" t="s">
        <v>640</v>
      </c>
      <c r="L344" s="4" t="str">
        <f>VLOOKUP($K344,'Property names'!$A$1:$D$99,2,FALSE)</f>
        <v>The amount of moisture or water vapor present in the air, often expressed as a percentage of the maximum amount the air could hold at a given temperature.</v>
      </c>
      <c r="M344" s="4" t="str">
        <f>VLOOKUP($K344,'Property names'!$A$1:$D$99,3,FALSE)</f>
        <v>Percentage</v>
      </c>
      <c r="N344" s="4" t="str">
        <f>VLOOKUP($K344,'Property names'!$A$1:$D$99,4,FALSE)</f>
        <v>%</v>
      </c>
      <c r="O344" s="4" t="str">
        <f t="shared" si="8"/>
        <v>000025BD_000025BD_HC_Relative_humidity_min</v>
      </c>
      <c r="P344" s="4" t="str">
        <f t="shared" si="9"/>
        <v>The datastream containing mesures of field 000025BD by sensor 000025BD which measures Air Humidity.</v>
      </c>
    </row>
    <row r="345" spans="1:16" ht="12.75">
      <c r="A345" s="4" t="s">
        <v>301</v>
      </c>
      <c r="B345" s="4" t="s">
        <v>760</v>
      </c>
      <c r="C345" s="4" t="s">
        <v>714</v>
      </c>
      <c r="D345" s="4">
        <v>35.986899000000001</v>
      </c>
      <c r="E345" s="4">
        <v>33.856865999999997</v>
      </c>
      <c r="F345" s="4" t="s">
        <v>760</v>
      </c>
      <c r="G345" s="4" t="s">
        <v>715</v>
      </c>
      <c r="H345" s="4" t="s">
        <v>690</v>
      </c>
      <c r="I345" s="4" t="s">
        <v>691</v>
      </c>
      <c r="J345" s="4" t="s">
        <v>730</v>
      </c>
      <c r="K345" s="4" t="s">
        <v>731</v>
      </c>
      <c r="L345" s="4" t="str">
        <f>VLOOKUP($K345,'Property names'!$A$1:$D$99,2,FALSE)</f>
        <v>The temperature at which air becomes saturated with moisture, leading to the formation of dew or condensation.</v>
      </c>
      <c r="M345" s="4" t="str">
        <f>VLOOKUP($K345,'Property names'!$A$1:$D$99,3,FALSE)</f>
        <v>Degrees Celsius</v>
      </c>
      <c r="N345" s="4" t="str">
        <f>VLOOKUP($K345,'Property names'!$A$1:$D$99,4,FALSE)</f>
        <v>ºC</v>
      </c>
      <c r="O345" s="4" t="str">
        <f t="shared" si="8"/>
        <v>000025BD_000025BD_Dew_Point_avg</v>
      </c>
      <c r="P345" s="4" t="str">
        <f t="shared" si="9"/>
        <v>The datastream containing mesures of field 000025BD by sensor 000025BD which measures Dew Point.</v>
      </c>
    </row>
    <row r="346" spans="1:16" ht="12.75">
      <c r="A346" s="4" t="s">
        <v>301</v>
      </c>
      <c r="B346" s="4" t="s">
        <v>760</v>
      </c>
      <c r="C346" s="4" t="s">
        <v>714</v>
      </c>
      <c r="D346" s="4">
        <v>35.986899000000001</v>
      </c>
      <c r="E346" s="4">
        <v>33.856865999999997</v>
      </c>
      <c r="F346" s="4" t="s">
        <v>760</v>
      </c>
      <c r="G346" s="4" t="s">
        <v>715</v>
      </c>
      <c r="H346" s="4" t="s">
        <v>690</v>
      </c>
      <c r="I346" s="4" t="s">
        <v>691</v>
      </c>
      <c r="J346" s="4" t="s">
        <v>732</v>
      </c>
      <c r="K346" s="4" t="s">
        <v>731</v>
      </c>
      <c r="L346" s="4" t="str">
        <f>VLOOKUP($K346,'Property names'!$A$1:$D$99,2,FALSE)</f>
        <v>The temperature at which air becomes saturated with moisture, leading to the formation of dew or condensation.</v>
      </c>
      <c r="M346" s="4" t="str">
        <f>VLOOKUP($K346,'Property names'!$A$1:$D$99,3,FALSE)</f>
        <v>Degrees Celsius</v>
      </c>
      <c r="N346" s="4" t="str">
        <f>VLOOKUP($K346,'Property names'!$A$1:$D$99,4,FALSE)</f>
        <v>ºC</v>
      </c>
      <c r="O346" s="4" t="str">
        <f t="shared" si="8"/>
        <v>000025BD_000025BD_Dew_Point_min</v>
      </c>
      <c r="P346" s="4" t="str">
        <f t="shared" si="9"/>
        <v>The datastream containing mesures of field 000025BD by sensor 000025BD which measures Dew Point.</v>
      </c>
    </row>
    <row r="347" spans="1:16" ht="12.75">
      <c r="A347" s="4" t="s">
        <v>301</v>
      </c>
      <c r="B347" s="4" t="s">
        <v>760</v>
      </c>
      <c r="C347" s="4" t="s">
        <v>714</v>
      </c>
      <c r="D347" s="4">
        <v>35.986899000000001</v>
      </c>
      <c r="E347" s="4">
        <v>33.856865999999997</v>
      </c>
      <c r="F347" s="4" t="s">
        <v>760</v>
      </c>
      <c r="G347" s="4" t="s">
        <v>715</v>
      </c>
      <c r="H347" s="4" t="s">
        <v>690</v>
      </c>
      <c r="I347" s="4" t="s">
        <v>691</v>
      </c>
      <c r="J347" s="4" t="s">
        <v>743</v>
      </c>
      <c r="K347" s="4" t="s">
        <v>706</v>
      </c>
      <c r="L347" s="4" t="str">
        <f>VLOOKUP($K347,'Property names'!$A$1:$D$99,2,FALSE)</f>
        <v>The difference between the amount of moisture in the air and the maximum amount of moisture the air can hold at a given temperature.</v>
      </c>
      <c r="M347" s="4" t="str">
        <f>VLOOKUP($K347,'Property names'!$A$1:$D$99,3,FALSE)</f>
        <v>Kilopascal</v>
      </c>
      <c r="N347" s="4" t="str">
        <f>VLOOKUP($K347,'Property names'!$A$1:$D$99,4,FALSE)</f>
        <v>kPa</v>
      </c>
      <c r="O347" s="4" t="str">
        <f t="shared" si="8"/>
        <v>000025BD_000025BD_VPD_avg</v>
      </c>
      <c r="P347" s="4" t="str">
        <f t="shared" si="9"/>
        <v>The datastream containing mesures of field 000025BD by sensor 000025BD which measures VPD.</v>
      </c>
    </row>
    <row r="348" spans="1:16" ht="12.75">
      <c r="A348" s="4" t="s">
        <v>301</v>
      </c>
      <c r="B348" s="4" t="s">
        <v>760</v>
      </c>
      <c r="C348" s="4" t="s">
        <v>714</v>
      </c>
      <c r="D348" s="4">
        <v>35.986899000000001</v>
      </c>
      <c r="E348" s="4">
        <v>33.856865999999997</v>
      </c>
      <c r="F348" s="4" t="s">
        <v>760</v>
      </c>
      <c r="G348" s="4" t="s">
        <v>715</v>
      </c>
      <c r="H348" s="4" t="s">
        <v>690</v>
      </c>
      <c r="I348" s="4" t="s">
        <v>691</v>
      </c>
      <c r="J348" s="4" t="s">
        <v>744</v>
      </c>
      <c r="K348" s="4" t="s">
        <v>706</v>
      </c>
      <c r="L348" s="4" t="str">
        <f>VLOOKUP($K348,'Property names'!$A$1:$D$99,2,FALSE)</f>
        <v>The difference between the amount of moisture in the air and the maximum amount of moisture the air can hold at a given temperature.</v>
      </c>
      <c r="M348" s="4" t="str">
        <f>VLOOKUP($K348,'Property names'!$A$1:$D$99,3,FALSE)</f>
        <v>Kilopascal</v>
      </c>
      <c r="N348" s="4" t="str">
        <f>VLOOKUP($K348,'Property names'!$A$1:$D$99,4,FALSE)</f>
        <v>kPa</v>
      </c>
      <c r="O348" s="4" t="str">
        <f t="shared" si="8"/>
        <v>000025BD_000025BD_VPD_min</v>
      </c>
      <c r="P348" s="4" t="str">
        <f t="shared" si="9"/>
        <v>The datastream containing mesures of field 000025BD by sensor 000025BD which measures VPD.</v>
      </c>
    </row>
    <row r="349" spans="1:16" ht="12.75">
      <c r="A349" s="4" t="s">
        <v>301</v>
      </c>
      <c r="B349" s="4" t="s">
        <v>760</v>
      </c>
      <c r="C349" s="4" t="s">
        <v>714</v>
      </c>
      <c r="D349" s="4">
        <v>35.986899000000001</v>
      </c>
      <c r="E349" s="4">
        <v>33.856865999999997</v>
      </c>
      <c r="F349" s="4" t="s">
        <v>760</v>
      </c>
      <c r="G349" s="4" t="s">
        <v>715</v>
      </c>
      <c r="H349" s="4" t="s">
        <v>690</v>
      </c>
      <c r="I349" s="4" t="s">
        <v>691</v>
      </c>
      <c r="J349" s="4" t="s">
        <v>761</v>
      </c>
      <c r="K349" s="4" t="s">
        <v>709</v>
      </c>
      <c r="L349" s="4" t="str">
        <f>VLOOKUP($K349,'Property names'!$A$1:$D$99,2,FALSE)</f>
        <v>The rate at which the air is moving horizontally, often measured in miles per hour or meters per second.</v>
      </c>
      <c r="M349" s="4" t="str">
        <f>VLOOKUP($K349,'Property names'!$A$1:$D$99,3,FALSE)</f>
        <v>Meters per second</v>
      </c>
      <c r="N349" s="4" t="str">
        <f>VLOOKUP($K349,'Property names'!$A$1:$D$99,4,FALSE)</f>
        <v>m/s</v>
      </c>
      <c r="O349" s="4" t="str">
        <f t="shared" si="8"/>
        <v>000025BD_000025BD_Wind_speed_max_max</v>
      </c>
      <c r="P349" s="4" t="str">
        <f t="shared" si="9"/>
        <v>The datastream containing mesures of field 000025BD by sensor 000025BD which measures Wind Speed.</v>
      </c>
    </row>
    <row r="350" spans="1:16" ht="12.75">
      <c r="A350" s="4" t="s">
        <v>301</v>
      </c>
      <c r="B350" s="4" t="s">
        <v>760</v>
      </c>
      <c r="C350" s="4" t="s">
        <v>714</v>
      </c>
      <c r="D350" s="4">
        <v>35.986899000000001</v>
      </c>
      <c r="E350" s="4">
        <v>33.856865999999997</v>
      </c>
      <c r="F350" s="4" t="s">
        <v>760</v>
      </c>
      <c r="G350" s="4" t="s">
        <v>715</v>
      </c>
      <c r="H350" s="4" t="s">
        <v>690</v>
      </c>
      <c r="I350" s="4" t="s">
        <v>691</v>
      </c>
      <c r="J350" s="4" t="s">
        <v>758</v>
      </c>
      <c r="K350" s="4" t="s">
        <v>759</v>
      </c>
      <c r="L350" s="4" t="str">
        <f>VLOOKUP($K350,'Property names'!$A$1:$D$99,2,FALSE)</f>
        <v>The measure of the amount of water evaporated from a standardized reference surface, often used in agriculture for irrigation management.</v>
      </c>
      <c r="M350" s="4" t="str">
        <f>VLOOKUP($K350,'Property names'!$A$1:$D$99,3,FALSE)</f>
        <v>Millimeters per day</v>
      </c>
      <c r="N350" s="4" t="str">
        <f>VLOOKUP($K350,'Property names'!$A$1:$D$99,4,FALSE)</f>
        <v>mm/day</v>
      </c>
      <c r="O350" s="4" t="str">
        <f t="shared" si="8"/>
        <v>000025BD_000025BD_ET0</v>
      </c>
      <c r="P350" s="4" t="str">
        <f t="shared" si="9"/>
        <v>The datastream containing mesures of field 000025BD by sensor 000025BD which measures Reference evapotranspiration.</v>
      </c>
    </row>
    <row r="351" spans="1:16" ht="12.75">
      <c r="A351" s="4" t="s">
        <v>301</v>
      </c>
      <c r="B351" s="4" t="s">
        <v>760</v>
      </c>
      <c r="C351" s="4" t="s">
        <v>714</v>
      </c>
      <c r="D351" s="4">
        <v>35.986899000000001</v>
      </c>
      <c r="E351" s="4">
        <v>33.856865999999997</v>
      </c>
      <c r="F351" s="4" t="s">
        <v>760</v>
      </c>
      <c r="G351" s="4" t="s">
        <v>715</v>
      </c>
      <c r="H351" s="4" t="s">
        <v>690</v>
      </c>
      <c r="I351" s="4" t="s">
        <v>691</v>
      </c>
      <c r="J351" s="4" t="s">
        <v>736</v>
      </c>
      <c r="K351" s="4" t="s">
        <v>708</v>
      </c>
      <c r="L351" s="4" t="str">
        <f>VLOOKUP($K351,'Property names'!$A$1:$D$99,2,FALSE)</f>
        <v>The compass direction from which the wind is blowing.</v>
      </c>
      <c r="M351" s="4" t="str">
        <f>VLOOKUP($K351,'Property names'!$A$1:$D$99,3,FALSE)</f>
        <v>Degrees</v>
      </c>
      <c r="N351" s="4" t="str">
        <f>VLOOKUP($K351,'Property names'!$A$1:$D$99,4,FALSE)</f>
        <v>º</v>
      </c>
      <c r="O351" s="4" t="str">
        <f t="shared" si="8"/>
        <v>000025BD_000025BD_Wind_orientation</v>
      </c>
      <c r="P351" s="4" t="str">
        <f t="shared" si="9"/>
        <v>The datastream containing mesures of field 000025BD by sensor 000025BD which measures Wind Direction.</v>
      </c>
    </row>
    <row r="352" spans="1:16" ht="12.75">
      <c r="A352" s="4" t="s">
        <v>301</v>
      </c>
      <c r="B352" s="4" t="s">
        <v>760</v>
      </c>
      <c r="C352" s="4" t="s">
        <v>714</v>
      </c>
      <c r="D352" s="4">
        <v>35.986899000000001</v>
      </c>
      <c r="E352" s="4">
        <v>33.856865999999997</v>
      </c>
      <c r="F352" s="4" t="s">
        <v>760</v>
      </c>
      <c r="G352" s="4" t="s">
        <v>715</v>
      </c>
      <c r="H352" s="4" t="s">
        <v>690</v>
      </c>
      <c r="I352" s="4" t="s">
        <v>691</v>
      </c>
      <c r="J352" s="4" t="s">
        <v>737</v>
      </c>
      <c r="K352" s="4" t="s">
        <v>737</v>
      </c>
      <c r="L352" s="4" t="str">
        <f>VLOOKUP($K352,'Property names'!$A$1:$D$99,2,FALSE)</f>
        <v>The point in time at the middle of the night, commonly defined as 12:00 AM.</v>
      </c>
      <c r="M352" s="4" t="str">
        <f>VLOOKUP($K352,'Property names'!$A$1:$D$99,3,FALSE)</f>
        <v>-</v>
      </c>
      <c r="N352" s="4" t="str">
        <f>VLOOKUP($K352,'Property names'!$A$1:$D$99,4,FALSE)</f>
        <v>-</v>
      </c>
      <c r="O352" s="4" t="str">
        <f t="shared" si="8"/>
        <v>000025BD_000025BD_Midnight</v>
      </c>
      <c r="P352" s="4" t="str">
        <f t="shared" si="9"/>
        <v>The datastream containing mesures of field 000025BD by sensor 000025BD which measures Midnight.</v>
      </c>
    </row>
    <row r="353" spans="1:16" ht="12.75">
      <c r="A353" s="4" t="s">
        <v>301</v>
      </c>
      <c r="B353" s="4" t="s">
        <v>762</v>
      </c>
      <c r="C353" s="4" t="s">
        <v>714</v>
      </c>
      <c r="D353" s="4">
        <v>35.991036000000001</v>
      </c>
      <c r="E353" s="4">
        <v>33.808067999999999</v>
      </c>
      <c r="F353" s="4" t="s">
        <v>762</v>
      </c>
      <c r="G353" s="4" t="s">
        <v>715</v>
      </c>
      <c r="H353" s="4" t="s">
        <v>690</v>
      </c>
      <c r="I353" s="4" t="s">
        <v>691</v>
      </c>
      <c r="J353" s="4" t="s">
        <v>747</v>
      </c>
      <c r="K353" s="4" t="s">
        <v>704</v>
      </c>
      <c r="L353" s="4" t="str">
        <f>VLOOKUP($K353,'Property names'!$A$1:$D$99,2,FALSE)</f>
        <v>Energy from the sun in the form of electromagnetic waves.</v>
      </c>
      <c r="M353" s="4" t="str">
        <f>VLOOKUP($K353,'Property names'!$A$1:$D$99,3,FALSE)</f>
        <v>Watts per square meter</v>
      </c>
      <c r="N353" s="4" t="str">
        <f>VLOOKUP($K353,'Property names'!$A$1:$D$99,4,FALSE)</f>
        <v>W/m²</v>
      </c>
      <c r="O353" s="4" t="str">
        <f t="shared" si="8"/>
        <v>00204B21_00204B21_Solar_radiation_avg</v>
      </c>
      <c r="P353" s="4" t="str">
        <f t="shared" si="9"/>
        <v>The datastream containing mesures of field 00204B21 by sensor 00204B21 which measures Solar Radiation.</v>
      </c>
    </row>
    <row r="354" spans="1:16" ht="12.75">
      <c r="A354" s="4" t="s">
        <v>301</v>
      </c>
      <c r="B354" s="4" t="s">
        <v>762</v>
      </c>
      <c r="C354" s="4" t="s">
        <v>714</v>
      </c>
      <c r="D354" s="4">
        <v>35.991036000000001</v>
      </c>
      <c r="E354" s="4">
        <v>33.808067999999999</v>
      </c>
      <c r="F354" s="4" t="s">
        <v>762</v>
      </c>
      <c r="G354" s="4" t="s">
        <v>715</v>
      </c>
      <c r="H354" s="4" t="s">
        <v>690</v>
      </c>
      <c r="I354" s="4" t="s">
        <v>691</v>
      </c>
      <c r="J354" s="4" t="s">
        <v>716</v>
      </c>
      <c r="K354" s="4" t="s">
        <v>708</v>
      </c>
      <c r="L354" s="4" t="str">
        <f>VLOOKUP($K354,'Property names'!$A$1:$D$99,2,FALSE)</f>
        <v>The compass direction from which the wind is blowing.</v>
      </c>
      <c r="M354" s="4" t="str">
        <f>VLOOKUP($K354,'Property names'!$A$1:$D$99,3,FALSE)</f>
        <v>Degrees</v>
      </c>
      <c r="N354" s="4" t="str">
        <f>VLOOKUP($K354,'Property names'!$A$1:$D$99,4,FALSE)</f>
        <v>º</v>
      </c>
      <c r="O354" s="4" t="str">
        <f t="shared" si="8"/>
        <v>00204B21_00204B21_Wind_direction_avg</v>
      </c>
      <c r="P354" s="4" t="str">
        <f t="shared" si="9"/>
        <v>The datastream containing mesures of field 00204B21 by sensor 00204B21 which measures Wind Direction.</v>
      </c>
    </row>
    <row r="355" spans="1:16" ht="12.75">
      <c r="A355" s="4" t="s">
        <v>301</v>
      </c>
      <c r="B355" s="4" t="s">
        <v>762</v>
      </c>
      <c r="C355" s="4" t="s">
        <v>714</v>
      </c>
      <c r="D355" s="4">
        <v>35.991036000000001</v>
      </c>
      <c r="E355" s="4">
        <v>33.808067999999999</v>
      </c>
      <c r="F355" s="4" t="s">
        <v>762</v>
      </c>
      <c r="G355" s="4" t="s">
        <v>715</v>
      </c>
      <c r="H355" s="4" t="s">
        <v>690</v>
      </c>
      <c r="I355" s="4" t="s">
        <v>691</v>
      </c>
      <c r="J355" s="4" t="s">
        <v>717</v>
      </c>
      <c r="K355" s="4" t="s">
        <v>708</v>
      </c>
      <c r="L355" s="4" t="str">
        <f>VLOOKUP($K355,'Property names'!$A$1:$D$99,2,FALSE)</f>
        <v>The compass direction from which the wind is blowing.</v>
      </c>
      <c r="M355" s="4" t="str">
        <f>VLOOKUP($K355,'Property names'!$A$1:$D$99,3,FALSE)</f>
        <v>Degrees</v>
      </c>
      <c r="N355" s="4" t="str">
        <f>VLOOKUP($K355,'Property names'!$A$1:$D$99,4,FALSE)</f>
        <v>º</v>
      </c>
      <c r="O355" s="4" t="str">
        <f t="shared" si="8"/>
        <v>00204B21_00204B21_Wind_direction_last</v>
      </c>
      <c r="P355" s="4" t="str">
        <f t="shared" si="9"/>
        <v>The datastream containing mesures of field 00204B21 by sensor 00204B21 which measures Wind Direction.</v>
      </c>
    </row>
    <row r="356" spans="1:16" ht="12.75">
      <c r="A356" s="4" t="s">
        <v>301</v>
      </c>
      <c r="B356" s="4" t="s">
        <v>762</v>
      </c>
      <c r="C356" s="4" t="s">
        <v>714</v>
      </c>
      <c r="D356" s="4">
        <v>35.991036000000001</v>
      </c>
      <c r="E356" s="4">
        <v>33.808067999999999</v>
      </c>
      <c r="F356" s="4" t="s">
        <v>762</v>
      </c>
      <c r="G356" s="4" t="s">
        <v>715</v>
      </c>
      <c r="H356" s="4" t="s">
        <v>690</v>
      </c>
      <c r="I356" s="4" t="s">
        <v>691</v>
      </c>
      <c r="J356" s="4" t="s">
        <v>763</v>
      </c>
      <c r="K356" s="4" t="s">
        <v>638</v>
      </c>
      <c r="L356" s="4" t="str">
        <f>VLOOKUP($K356,'Property names'!$A$1:$D$99,2,FALSE)</f>
        <v>The measure of the hotness or coldness of the air.</v>
      </c>
      <c r="M356" s="4" t="str">
        <f>VLOOKUP($K356,'Property names'!$A$1:$D$99,3,FALSE)</f>
        <v>Degrees Celsius</v>
      </c>
      <c r="N356" s="4" t="str">
        <f>VLOOKUP($K356,'Property names'!$A$1:$D$99,4,FALSE)</f>
        <v>ºC</v>
      </c>
      <c r="O356" s="4" t="str">
        <f t="shared" si="8"/>
        <v>00204B21_00204B21_Wetbulb_temperature_avg</v>
      </c>
      <c r="P356" s="4" t="str">
        <f t="shared" si="9"/>
        <v>The datastream containing mesures of field 00204B21 by sensor 00204B21 which measures Air Temperature.</v>
      </c>
    </row>
    <row r="357" spans="1:16" ht="12.75">
      <c r="A357" s="4" t="s">
        <v>301</v>
      </c>
      <c r="B357" s="4" t="s">
        <v>762</v>
      </c>
      <c r="C357" s="4" t="s">
        <v>714</v>
      </c>
      <c r="D357" s="4">
        <v>35.991036000000001</v>
      </c>
      <c r="E357" s="4">
        <v>33.808067999999999</v>
      </c>
      <c r="F357" s="4" t="s">
        <v>762</v>
      </c>
      <c r="G357" s="4" t="s">
        <v>715</v>
      </c>
      <c r="H357" s="4" t="s">
        <v>690</v>
      </c>
      <c r="I357" s="4" t="s">
        <v>691</v>
      </c>
      <c r="J357" s="4" t="s">
        <v>764</v>
      </c>
      <c r="K357" s="4" t="s">
        <v>638</v>
      </c>
      <c r="L357" s="4" t="str">
        <f>VLOOKUP($K357,'Property names'!$A$1:$D$99,2,FALSE)</f>
        <v>The measure of the hotness or coldness of the air.</v>
      </c>
      <c r="M357" s="4" t="str">
        <f>VLOOKUP($K357,'Property names'!$A$1:$D$99,3,FALSE)</f>
        <v>Degrees Celsius</v>
      </c>
      <c r="N357" s="4" t="str">
        <f>VLOOKUP($K357,'Property names'!$A$1:$D$99,4,FALSE)</f>
        <v>ºC</v>
      </c>
      <c r="O357" s="4" t="str">
        <f t="shared" si="8"/>
        <v>00204B21_00204B21_Wetbulb_temperature_max</v>
      </c>
      <c r="P357" s="4" t="str">
        <f t="shared" si="9"/>
        <v>The datastream containing mesures of field 00204B21 by sensor 00204B21 which measures Air Temperature.</v>
      </c>
    </row>
    <row r="358" spans="1:16" ht="12.75">
      <c r="A358" s="4" t="s">
        <v>301</v>
      </c>
      <c r="B358" s="4" t="s">
        <v>762</v>
      </c>
      <c r="C358" s="4" t="s">
        <v>714</v>
      </c>
      <c r="D358" s="4">
        <v>35.991036000000001</v>
      </c>
      <c r="E358" s="4">
        <v>33.808067999999999</v>
      </c>
      <c r="F358" s="4" t="s">
        <v>762</v>
      </c>
      <c r="G358" s="4" t="s">
        <v>715</v>
      </c>
      <c r="H358" s="4" t="s">
        <v>690</v>
      </c>
      <c r="I358" s="4" t="s">
        <v>691</v>
      </c>
      <c r="J358" s="4" t="s">
        <v>765</v>
      </c>
      <c r="K358" s="4" t="s">
        <v>638</v>
      </c>
      <c r="L358" s="4" t="str">
        <f>VLOOKUP($K358,'Property names'!$A$1:$D$99,2,FALSE)</f>
        <v>The measure of the hotness or coldness of the air.</v>
      </c>
      <c r="M358" s="4" t="str">
        <f>VLOOKUP($K358,'Property names'!$A$1:$D$99,3,FALSE)</f>
        <v>Degrees Celsius</v>
      </c>
      <c r="N358" s="4" t="str">
        <f>VLOOKUP($K358,'Property names'!$A$1:$D$99,4,FALSE)</f>
        <v>ºC</v>
      </c>
      <c r="O358" s="4" t="str">
        <f t="shared" si="8"/>
        <v>00204B21_00204B21_Wetbulb_temperature_min</v>
      </c>
      <c r="P358" s="4" t="str">
        <f t="shared" si="9"/>
        <v>The datastream containing mesures of field 00204B21 by sensor 00204B21 which measures Air Temperature.</v>
      </c>
    </row>
    <row r="359" spans="1:16" ht="12.75">
      <c r="A359" s="4" t="s">
        <v>301</v>
      </c>
      <c r="B359" s="4" t="s">
        <v>762</v>
      </c>
      <c r="C359" s="4" t="s">
        <v>714</v>
      </c>
      <c r="D359" s="4">
        <v>35.991036000000001</v>
      </c>
      <c r="E359" s="4">
        <v>33.808067999999999</v>
      </c>
      <c r="F359" s="4" t="s">
        <v>762</v>
      </c>
      <c r="G359" s="4" t="s">
        <v>715</v>
      </c>
      <c r="H359" s="4" t="s">
        <v>690</v>
      </c>
      <c r="I359" s="4" t="s">
        <v>691</v>
      </c>
      <c r="J359" s="4" t="s">
        <v>739</v>
      </c>
      <c r="K359" s="4" t="s">
        <v>740</v>
      </c>
      <c r="L359" s="4" t="str">
        <f>VLOOKUP($K359,'Property names'!$A$1:$D$99,2,FALSE)</f>
        <v>A device that converts sunlight into electricity by harnessing the photovoltaic effect.</v>
      </c>
      <c r="M359" s="4" t="str">
        <f>VLOOKUP($K359,'Property names'!$A$1:$D$99,3,FALSE)</f>
        <v>-</v>
      </c>
      <c r="N359" s="4" t="str">
        <f>VLOOKUP($K359,'Property names'!$A$1:$D$99,4,FALSE)</f>
        <v>-</v>
      </c>
      <c r="O359" s="4" t="str">
        <f t="shared" si="8"/>
        <v>00204B21_00204B21_Solar_Panel_last</v>
      </c>
      <c r="P359" s="4" t="str">
        <f t="shared" si="9"/>
        <v>The datastream containing mesures of field 00204B21 by sensor 00204B21 which measures Solar Panel.</v>
      </c>
    </row>
    <row r="360" spans="1:16" ht="12.75">
      <c r="A360" s="4" t="s">
        <v>301</v>
      </c>
      <c r="B360" s="4" t="s">
        <v>762</v>
      </c>
      <c r="C360" s="4" t="s">
        <v>714</v>
      </c>
      <c r="D360" s="4">
        <v>35.991036000000001</v>
      </c>
      <c r="E360" s="4">
        <v>33.808067999999999</v>
      </c>
      <c r="F360" s="4" t="s">
        <v>762</v>
      </c>
      <c r="G360" s="4" t="s">
        <v>715</v>
      </c>
      <c r="H360" s="4" t="s">
        <v>690</v>
      </c>
      <c r="I360" s="4" t="s">
        <v>691</v>
      </c>
      <c r="J360" s="4" t="s">
        <v>718</v>
      </c>
      <c r="K360" s="4" t="s">
        <v>701</v>
      </c>
      <c r="L360" s="4" t="str">
        <f>VLOOKUP($K360,'Property names'!$A$1:$D$99,2,FALSE)</f>
        <v>Any form of water, liquid or solid, falling from the sky, such as rain, snow, or sleet.</v>
      </c>
      <c r="M360" s="4" t="str">
        <f>VLOOKUP($K360,'Property names'!$A$1:$D$99,3,FALSE)</f>
        <v>Millimeters</v>
      </c>
      <c r="N360" s="4" t="str">
        <f>VLOOKUP($K360,'Property names'!$A$1:$D$99,4,FALSE)</f>
        <v>mm</v>
      </c>
      <c r="O360" s="4" t="str">
        <f t="shared" si="8"/>
        <v>00204B21_00204B21_Precipitation_sum</v>
      </c>
      <c r="P360" s="4" t="str">
        <f t="shared" si="9"/>
        <v>The datastream containing mesures of field 00204B21 by sensor 00204B21 which measures Precipitation.</v>
      </c>
    </row>
    <row r="361" spans="1:16" ht="12.75">
      <c r="A361" s="4" t="s">
        <v>301</v>
      </c>
      <c r="B361" s="4" t="s">
        <v>762</v>
      </c>
      <c r="C361" s="4" t="s">
        <v>714</v>
      </c>
      <c r="D361" s="4">
        <v>35.991036000000001</v>
      </c>
      <c r="E361" s="4">
        <v>33.808067999999999</v>
      </c>
      <c r="F361" s="4" t="s">
        <v>762</v>
      </c>
      <c r="G361" s="4" t="s">
        <v>715</v>
      </c>
      <c r="H361" s="4" t="s">
        <v>690</v>
      </c>
      <c r="I361" s="4" t="s">
        <v>691</v>
      </c>
      <c r="J361" s="4" t="s">
        <v>719</v>
      </c>
      <c r="K361" s="4" t="s">
        <v>709</v>
      </c>
      <c r="L361" s="4" t="str">
        <f>VLOOKUP($K361,'Property names'!$A$1:$D$99,2,FALSE)</f>
        <v>The rate at which the air is moving horizontally, often measured in miles per hour or meters per second.</v>
      </c>
      <c r="M361" s="4" t="str">
        <f>VLOOKUP($K361,'Property names'!$A$1:$D$99,3,FALSE)</f>
        <v>Meters per second</v>
      </c>
      <c r="N361" s="4" t="str">
        <f>VLOOKUP($K361,'Property names'!$A$1:$D$99,4,FALSE)</f>
        <v>m/s</v>
      </c>
      <c r="O361" s="4" t="str">
        <f t="shared" si="8"/>
        <v>00204B21_00204B21_Wind_speed_avg</v>
      </c>
      <c r="P361" s="4" t="str">
        <f t="shared" si="9"/>
        <v>The datastream containing mesures of field 00204B21 by sensor 00204B21 which measures Wind Speed.</v>
      </c>
    </row>
    <row r="362" spans="1:16" ht="12.75">
      <c r="A362" s="4" t="s">
        <v>301</v>
      </c>
      <c r="B362" s="4" t="s">
        <v>762</v>
      </c>
      <c r="C362" s="4" t="s">
        <v>714</v>
      </c>
      <c r="D362" s="4">
        <v>35.991036000000001</v>
      </c>
      <c r="E362" s="4">
        <v>33.808067999999999</v>
      </c>
      <c r="F362" s="4" t="s">
        <v>762</v>
      </c>
      <c r="G362" s="4" t="s">
        <v>715</v>
      </c>
      <c r="H362" s="4" t="s">
        <v>690</v>
      </c>
      <c r="I362" s="4" t="s">
        <v>691</v>
      </c>
      <c r="J362" s="4" t="s">
        <v>720</v>
      </c>
      <c r="K362" s="4" t="s">
        <v>709</v>
      </c>
      <c r="L362" s="4" t="str">
        <f>VLOOKUP($K362,'Property names'!$A$1:$D$99,2,FALSE)</f>
        <v>The rate at which the air is moving horizontally, often measured in miles per hour or meters per second.</v>
      </c>
      <c r="M362" s="4" t="str">
        <f>VLOOKUP($K362,'Property names'!$A$1:$D$99,3,FALSE)</f>
        <v>Meters per second</v>
      </c>
      <c r="N362" s="4" t="str">
        <f>VLOOKUP($K362,'Property names'!$A$1:$D$99,4,FALSE)</f>
        <v>m/s</v>
      </c>
      <c r="O362" s="4" t="str">
        <f t="shared" si="8"/>
        <v>00204B21_00204B21_Wind_speed_max</v>
      </c>
      <c r="P362" s="4" t="str">
        <f t="shared" si="9"/>
        <v>The datastream containing mesures of field 00204B21 by sensor 00204B21 which measures Wind Speed.</v>
      </c>
    </row>
    <row r="363" spans="1:16" ht="12.75">
      <c r="A363" s="4" t="s">
        <v>301</v>
      </c>
      <c r="B363" s="4" t="s">
        <v>762</v>
      </c>
      <c r="C363" s="4" t="s">
        <v>714</v>
      </c>
      <c r="D363" s="4">
        <v>35.991036000000001</v>
      </c>
      <c r="E363" s="4">
        <v>33.808067999999999</v>
      </c>
      <c r="F363" s="4" t="s">
        <v>762</v>
      </c>
      <c r="G363" s="4" t="s">
        <v>715</v>
      </c>
      <c r="H363" s="4" t="s">
        <v>690</v>
      </c>
      <c r="I363" s="4" t="s">
        <v>691</v>
      </c>
      <c r="J363" s="4" t="s">
        <v>721</v>
      </c>
      <c r="K363" s="4" t="s">
        <v>647</v>
      </c>
      <c r="L363" s="4" t="str">
        <f>VLOOKUP($K363,'Property names'!$A$1:$D$99,2,FALSE)</f>
        <v>The percentage of battery level associated to the specific sensor.</v>
      </c>
      <c r="M363" s="4" t="str">
        <f>VLOOKUP($K363,'Property names'!$A$1:$D$99,3,FALSE)</f>
        <v>Percentage</v>
      </c>
      <c r="N363" s="4" t="str">
        <f>VLOOKUP($K363,'Property names'!$A$1:$D$99,4,FALSE)</f>
        <v>%</v>
      </c>
      <c r="O363" s="4" t="str">
        <f t="shared" si="8"/>
        <v>00204B21_00204B21_Battery_last</v>
      </c>
      <c r="P363" s="4" t="str">
        <f t="shared" si="9"/>
        <v>The datastream containing mesures of field 00204B21 by sensor 00204B21 which measures Battery Level.</v>
      </c>
    </row>
    <row r="364" spans="1:16" ht="12.75">
      <c r="A364" s="4" t="s">
        <v>301</v>
      </c>
      <c r="B364" s="4" t="s">
        <v>762</v>
      </c>
      <c r="C364" s="4" t="s">
        <v>714</v>
      </c>
      <c r="D364" s="4">
        <v>35.991036000000001</v>
      </c>
      <c r="E364" s="4">
        <v>33.808067999999999</v>
      </c>
      <c r="F364" s="4" t="s">
        <v>762</v>
      </c>
      <c r="G364" s="4" t="s">
        <v>715</v>
      </c>
      <c r="H364" s="4" t="s">
        <v>690</v>
      </c>
      <c r="I364" s="4" t="s">
        <v>691</v>
      </c>
      <c r="J364" s="4" t="s">
        <v>722</v>
      </c>
      <c r="K364" s="4" t="s">
        <v>723</v>
      </c>
      <c r="L364" s="4" t="str">
        <f>VLOOKUP($K364,'Property names'!$A$1:$D$99,2,FALSE)</f>
        <v>The presence of moisture on the surface of plant leaves, often indicating favorable conditions for disease development.</v>
      </c>
      <c r="M364" s="4" t="str">
        <f>VLOOKUP($K364,'Property names'!$A$1:$D$99,3,FALSE)</f>
        <v>-</v>
      </c>
      <c r="N364" s="4" t="str">
        <f>VLOOKUP($K364,'Property names'!$A$1:$D$99,4,FALSE)</f>
        <v>-</v>
      </c>
      <c r="O364" s="4" t="str">
        <f t="shared" si="8"/>
        <v>00204B21_00204B21_Leaf_Wetness_time</v>
      </c>
      <c r="P364" s="4" t="str">
        <f t="shared" si="9"/>
        <v>The datastream containing mesures of field 00204B21 by sensor 00204B21 which measures Leaf Wetness.</v>
      </c>
    </row>
    <row r="365" spans="1:16" ht="12.75">
      <c r="A365" s="4" t="s">
        <v>301</v>
      </c>
      <c r="B365" s="4" t="s">
        <v>762</v>
      </c>
      <c r="C365" s="4" t="s">
        <v>714</v>
      </c>
      <c r="D365" s="4">
        <v>35.991036000000001</v>
      </c>
      <c r="E365" s="4">
        <v>33.808067999999999</v>
      </c>
      <c r="F365" s="4" t="s">
        <v>762</v>
      </c>
      <c r="G365" s="4" t="s">
        <v>715</v>
      </c>
      <c r="H365" s="4" t="s">
        <v>690</v>
      </c>
      <c r="I365" s="4" t="s">
        <v>691</v>
      </c>
      <c r="J365" s="4" t="s">
        <v>741</v>
      </c>
      <c r="K365" s="4" t="s">
        <v>742</v>
      </c>
      <c r="L365" s="4" t="str">
        <f>VLOOKUP($K365,'Property names'!$A$1:$D$99,2,FALSE)</f>
        <v>A unique identifier assigned to an individual item, facilitating its tracking and differentiation from others.</v>
      </c>
      <c r="M365" s="4" t="str">
        <f>VLOOKUP($K365,'Property names'!$A$1:$D$99,3,FALSE)</f>
        <v>-</v>
      </c>
      <c r="N365" s="4" t="str">
        <f>VLOOKUP($K365,'Property names'!$A$1:$D$99,4,FALSE)</f>
        <v>-</v>
      </c>
      <c r="O365" s="4" t="str">
        <f t="shared" si="8"/>
        <v>00204B21_00204B21_HC_Serial_Number_last</v>
      </c>
      <c r="P365" s="4" t="str">
        <f t="shared" si="9"/>
        <v>The datastream containing mesures of field 00204B21 by sensor 00204B21 which measures Serial Number.</v>
      </c>
    </row>
    <row r="366" spans="1:16" ht="12.75">
      <c r="A366" s="4" t="s">
        <v>301</v>
      </c>
      <c r="B366" s="4" t="s">
        <v>762</v>
      </c>
      <c r="C366" s="4" t="s">
        <v>714</v>
      </c>
      <c r="D366" s="4">
        <v>35.991036000000001</v>
      </c>
      <c r="E366" s="4">
        <v>33.808067999999999</v>
      </c>
      <c r="F366" s="4" t="s">
        <v>762</v>
      </c>
      <c r="G366" s="4" t="s">
        <v>715</v>
      </c>
      <c r="H366" s="4" t="s">
        <v>690</v>
      </c>
      <c r="I366" s="4" t="s">
        <v>691</v>
      </c>
      <c r="J366" s="4" t="s">
        <v>724</v>
      </c>
      <c r="K366" s="4" t="s">
        <v>638</v>
      </c>
      <c r="L366" s="4" t="str">
        <f>VLOOKUP($K366,'Property names'!$A$1:$D$99,2,FALSE)</f>
        <v>The measure of the hotness or coldness of the air.</v>
      </c>
      <c r="M366" s="4" t="str">
        <f>VLOOKUP($K366,'Property names'!$A$1:$D$99,3,FALSE)</f>
        <v>Degrees Celsius</v>
      </c>
      <c r="N366" s="4" t="str">
        <f>VLOOKUP($K366,'Property names'!$A$1:$D$99,4,FALSE)</f>
        <v>ºC</v>
      </c>
      <c r="O366" s="4" t="str">
        <f t="shared" si="8"/>
        <v>00204B21_00204B21_HC_Air_temperature_avg</v>
      </c>
      <c r="P366" s="4" t="str">
        <f t="shared" si="9"/>
        <v>The datastream containing mesures of field 00204B21 by sensor 00204B21 which measures Air Temperature.</v>
      </c>
    </row>
    <row r="367" spans="1:16" ht="12.75">
      <c r="A367" s="4" t="s">
        <v>301</v>
      </c>
      <c r="B367" s="4" t="s">
        <v>762</v>
      </c>
      <c r="C367" s="4" t="s">
        <v>714</v>
      </c>
      <c r="D367" s="4">
        <v>35.991036000000001</v>
      </c>
      <c r="E367" s="4">
        <v>33.808067999999999</v>
      </c>
      <c r="F367" s="4" t="s">
        <v>762</v>
      </c>
      <c r="G367" s="4" t="s">
        <v>715</v>
      </c>
      <c r="H367" s="4" t="s">
        <v>690</v>
      </c>
      <c r="I367" s="4" t="s">
        <v>691</v>
      </c>
      <c r="J367" s="4" t="s">
        <v>725</v>
      </c>
      <c r="K367" s="4" t="s">
        <v>638</v>
      </c>
      <c r="L367" s="4" t="str">
        <f>VLOOKUP($K367,'Property names'!$A$1:$D$99,2,FALSE)</f>
        <v>The measure of the hotness or coldness of the air.</v>
      </c>
      <c r="M367" s="4" t="str">
        <f>VLOOKUP($K367,'Property names'!$A$1:$D$99,3,FALSE)</f>
        <v>Degrees Celsius</v>
      </c>
      <c r="N367" s="4" t="str">
        <f>VLOOKUP($K367,'Property names'!$A$1:$D$99,4,FALSE)</f>
        <v>ºC</v>
      </c>
      <c r="O367" s="4" t="str">
        <f t="shared" si="8"/>
        <v>00204B21_00204B21_HC_Air_temperature_max</v>
      </c>
      <c r="P367" s="4" t="str">
        <f t="shared" si="9"/>
        <v>The datastream containing mesures of field 00204B21 by sensor 00204B21 which measures Air Temperature.</v>
      </c>
    </row>
    <row r="368" spans="1:16" ht="12.75">
      <c r="A368" s="4" t="s">
        <v>301</v>
      </c>
      <c r="B368" s="4" t="s">
        <v>762</v>
      </c>
      <c r="C368" s="4" t="s">
        <v>714</v>
      </c>
      <c r="D368" s="4">
        <v>35.991036000000001</v>
      </c>
      <c r="E368" s="4">
        <v>33.808067999999999</v>
      </c>
      <c r="F368" s="4" t="s">
        <v>762</v>
      </c>
      <c r="G368" s="4" t="s">
        <v>715</v>
      </c>
      <c r="H368" s="4" t="s">
        <v>690</v>
      </c>
      <c r="I368" s="4" t="s">
        <v>691</v>
      </c>
      <c r="J368" s="4" t="s">
        <v>726</v>
      </c>
      <c r="K368" s="4" t="s">
        <v>638</v>
      </c>
      <c r="L368" s="4" t="str">
        <f>VLOOKUP($K368,'Property names'!$A$1:$D$99,2,FALSE)</f>
        <v>The measure of the hotness or coldness of the air.</v>
      </c>
      <c r="M368" s="4" t="str">
        <f>VLOOKUP($K368,'Property names'!$A$1:$D$99,3,FALSE)</f>
        <v>Degrees Celsius</v>
      </c>
      <c r="N368" s="4" t="str">
        <f>VLOOKUP($K368,'Property names'!$A$1:$D$99,4,FALSE)</f>
        <v>ºC</v>
      </c>
      <c r="O368" s="4" t="str">
        <f t="shared" si="8"/>
        <v>00204B21_00204B21_HC_Air_temperature_min</v>
      </c>
      <c r="P368" s="4" t="str">
        <f t="shared" si="9"/>
        <v>The datastream containing mesures of field 00204B21 by sensor 00204B21 which measures Air Temperature.</v>
      </c>
    </row>
    <row r="369" spans="1:16" ht="12.75">
      <c r="A369" s="4" t="s">
        <v>301</v>
      </c>
      <c r="B369" s="4" t="s">
        <v>762</v>
      </c>
      <c r="C369" s="4" t="s">
        <v>714</v>
      </c>
      <c r="D369" s="4">
        <v>35.991036000000001</v>
      </c>
      <c r="E369" s="4">
        <v>33.808067999999999</v>
      </c>
      <c r="F369" s="4" t="s">
        <v>762</v>
      </c>
      <c r="G369" s="4" t="s">
        <v>715</v>
      </c>
      <c r="H369" s="4" t="s">
        <v>690</v>
      </c>
      <c r="I369" s="4" t="s">
        <v>691</v>
      </c>
      <c r="J369" s="4" t="s">
        <v>727</v>
      </c>
      <c r="K369" s="4" t="s">
        <v>640</v>
      </c>
      <c r="L369" s="4" t="str">
        <f>VLOOKUP($K369,'Property names'!$A$1:$D$99,2,FALSE)</f>
        <v>The amount of moisture or water vapor present in the air, often expressed as a percentage of the maximum amount the air could hold at a given temperature.</v>
      </c>
      <c r="M369" s="4" t="str">
        <f>VLOOKUP($K369,'Property names'!$A$1:$D$99,3,FALSE)</f>
        <v>Percentage</v>
      </c>
      <c r="N369" s="4" t="str">
        <f>VLOOKUP($K369,'Property names'!$A$1:$D$99,4,FALSE)</f>
        <v>%</v>
      </c>
      <c r="O369" s="4" t="str">
        <f t="shared" si="8"/>
        <v>00204B21_00204B21_HC_Relative_humidity_avg</v>
      </c>
      <c r="P369" s="4" t="str">
        <f t="shared" si="9"/>
        <v>The datastream containing mesures of field 00204B21 by sensor 00204B21 which measures Air Humidity.</v>
      </c>
    </row>
    <row r="370" spans="1:16" ht="12.75">
      <c r="A370" s="4" t="s">
        <v>301</v>
      </c>
      <c r="B370" s="4" t="s">
        <v>762</v>
      </c>
      <c r="C370" s="4" t="s">
        <v>714</v>
      </c>
      <c r="D370" s="4">
        <v>35.991036000000001</v>
      </c>
      <c r="E370" s="4">
        <v>33.808067999999999</v>
      </c>
      <c r="F370" s="4" t="s">
        <v>762</v>
      </c>
      <c r="G370" s="4" t="s">
        <v>715</v>
      </c>
      <c r="H370" s="4" t="s">
        <v>690</v>
      </c>
      <c r="I370" s="4" t="s">
        <v>691</v>
      </c>
      <c r="J370" s="4" t="s">
        <v>728</v>
      </c>
      <c r="K370" s="4" t="s">
        <v>640</v>
      </c>
      <c r="L370" s="4" t="str">
        <f>VLOOKUP($K370,'Property names'!$A$1:$D$99,2,FALSE)</f>
        <v>The amount of moisture or water vapor present in the air, often expressed as a percentage of the maximum amount the air could hold at a given temperature.</v>
      </c>
      <c r="M370" s="4" t="str">
        <f>VLOOKUP($K370,'Property names'!$A$1:$D$99,3,FALSE)</f>
        <v>Percentage</v>
      </c>
      <c r="N370" s="4" t="str">
        <f>VLOOKUP($K370,'Property names'!$A$1:$D$99,4,FALSE)</f>
        <v>%</v>
      </c>
      <c r="O370" s="4" t="str">
        <f t="shared" si="8"/>
        <v>00204B21_00204B21_HC_Relative_humidity_max</v>
      </c>
      <c r="P370" s="4" t="str">
        <f t="shared" si="9"/>
        <v>The datastream containing mesures of field 00204B21 by sensor 00204B21 which measures Air Humidity.</v>
      </c>
    </row>
    <row r="371" spans="1:16" ht="12.75">
      <c r="A371" s="4" t="s">
        <v>301</v>
      </c>
      <c r="B371" s="4" t="s">
        <v>762</v>
      </c>
      <c r="C371" s="4" t="s">
        <v>714</v>
      </c>
      <c r="D371" s="4">
        <v>35.991036000000001</v>
      </c>
      <c r="E371" s="4">
        <v>33.808067999999999</v>
      </c>
      <c r="F371" s="4" t="s">
        <v>762</v>
      </c>
      <c r="G371" s="4" t="s">
        <v>715</v>
      </c>
      <c r="H371" s="4" t="s">
        <v>690</v>
      </c>
      <c r="I371" s="4" t="s">
        <v>691</v>
      </c>
      <c r="J371" s="4" t="s">
        <v>729</v>
      </c>
      <c r="K371" s="4" t="s">
        <v>640</v>
      </c>
      <c r="L371" s="4" t="str">
        <f>VLOOKUP($K371,'Property names'!$A$1:$D$99,2,FALSE)</f>
        <v>The amount of moisture or water vapor present in the air, often expressed as a percentage of the maximum amount the air could hold at a given temperature.</v>
      </c>
      <c r="M371" s="4" t="str">
        <f>VLOOKUP($K371,'Property names'!$A$1:$D$99,3,FALSE)</f>
        <v>Percentage</v>
      </c>
      <c r="N371" s="4" t="str">
        <f>VLOOKUP($K371,'Property names'!$A$1:$D$99,4,FALSE)</f>
        <v>%</v>
      </c>
      <c r="O371" s="4" t="str">
        <f t="shared" si="8"/>
        <v>00204B21_00204B21_HC_Relative_humidity_min</v>
      </c>
      <c r="P371" s="4" t="str">
        <f t="shared" si="9"/>
        <v>The datastream containing mesures of field 00204B21 by sensor 00204B21 which measures Air Humidity.</v>
      </c>
    </row>
    <row r="372" spans="1:16" ht="12.75">
      <c r="A372" s="4" t="s">
        <v>301</v>
      </c>
      <c r="B372" s="4" t="s">
        <v>762</v>
      </c>
      <c r="C372" s="4" t="s">
        <v>714</v>
      </c>
      <c r="D372" s="4">
        <v>35.991036000000001</v>
      </c>
      <c r="E372" s="4">
        <v>33.808067999999999</v>
      </c>
      <c r="F372" s="4" t="s">
        <v>762</v>
      </c>
      <c r="G372" s="4" t="s">
        <v>715</v>
      </c>
      <c r="H372" s="4" t="s">
        <v>690</v>
      </c>
      <c r="I372" s="4" t="s">
        <v>691</v>
      </c>
      <c r="J372" s="4" t="s">
        <v>730</v>
      </c>
      <c r="K372" s="4" t="s">
        <v>731</v>
      </c>
      <c r="L372" s="4" t="str">
        <f>VLOOKUP($K372,'Property names'!$A$1:$D$99,2,FALSE)</f>
        <v>The temperature at which air becomes saturated with moisture, leading to the formation of dew or condensation.</v>
      </c>
      <c r="M372" s="4" t="str">
        <f>VLOOKUP($K372,'Property names'!$A$1:$D$99,3,FALSE)</f>
        <v>Degrees Celsius</v>
      </c>
      <c r="N372" s="4" t="str">
        <f>VLOOKUP($K372,'Property names'!$A$1:$D$99,4,FALSE)</f>
        <v>ºC</v>
      </c>
      <c r="O372" s="4" t="str">
        <f t="shared" si="8"/>
        <v>00204B21_00204B21_Dew_Point_avg</v>
      </c>
      <c r="P372" s="4" t="str">
        <f t="shared" si="9"/>
        <v>The datastream containing mesures of field 00204B21 by sensor 00204B21 which measures Dew Point.</v>
      </c>
    </row>
    <row r="373" spans="1:16" ht="12.75">
      <c r="A373" s="4" t="s">
        <v>301</v>
      </c>
      <c r="B373" s="4" t="s">
        <v>762</v>
      </c>
      <c r="C373" s="4" t="s">
        <v>714</v>
      </c>
      <c r="D373" s="4">
        <v>35.991036000000001</v>
      </c>
      <c r="E373" s="4">
        <v>33.808067999999999</v>
      </c>
      <c r="F373" s="4" t="s">
        <v>762</v>
      </c>
      <c r="G373" s="4" t="s">
        <v>715</v>
      </c>
      <c r="H373" s="4" t="s">
        <v>690</v>
      </c>
      <c r="I373" s="4" t="s">
        <v>691</v>
      </c>
      <c r="J373" s="4" t="s">
        <v>732</v>
      </c>
      <c r="K373" s="4" t="s">
        <v>731</v>
      </c>
      <c r="L373" s="4" t="str">
        <f>VLOOKUP($K373,'Property names'!$A$1:$D$99,2,FALSE)</f>
        <v>The temperature at which air becomes saturated with moisture, leading to the formation of dew or condensation.</v>
      </c>
      <c r="M373" s="4" t="str">
        <f>VLOOKUP($K373,'Property names'!$A$1:$D$99,3,FALSE)</f>
        <v>Degrees Celsius</v>
      </c>
      <c r="N373" s="4" t="str">
        <f>VLOOKUP($K373,'Property names'!$A$1:$D$99,4,FALSE)</f>
        <v>ºC</v>
      </c>
      <c r="O373" s="4" t="str">
        <f t="shared" si="8"/>
        <v>00204B21_00204B21_Dew_Point_min</v>
      </c>
      <c r="P373" s="4" t="str">
        <f t="shared" si="9"/>
        <v>The datastream containing mesures of field 00204B21 by sensor 00204B21 which measures Dew Point.</v>
      </c>
    </row>
    <row r="374" spans="1:16" ht="12.75">
      <c r="A374" s="4" t="s">
        <v>301</v>
      </c>
      <c r="B374" s="4" t="s">
        <v>762</v>
      </c>
      <c r="C374" s="4" t="s">
        <v>714</v>
      </c>
      <c r="D374" s="4">
        <v>35.991036000000001</v>
      </c>
      <c r="E374" s="4">
        <v>33.808067999999999</v>
      </c>
      <c r="F374" s="4" t="s">
        <v>762</v>
      </c>
      <c r="G374" s="4" t="s">
        <v>715</v>
      </c>
      <c r="H374" s="4" t="s">
        <v>690</v>
      </c>
      <c r="I374" s="4" t="s">
        <v>691</v>
      </c>
      <c r="J374" s="4" t="s">
        <v>743</v>
      </c>
      <c r="K374" s="4" t="s">
        <v>706</v>
      </c>
      <c r="L374" s="4" t="str">
        <f>VLOOKUP($K374,'Property names'!$A$1:$D$99,2,FALSE)</f>
        <v>The difference between the amount of moisture in the air and the maximum amount of moisture the air can hold at a given temperature.</v>
      </c>
      <c r="M374" s="4" t="str">
        <f>VLOOKUP($K374,'Property names'!$A$1:$D$99,3,FALSE)</f>
        <v>Kilopascal</v>
      </c>
      <c r="N374" s="4" t="str">
        <f>VLOOKUP($K374,'Property names'!$A$1:$D$99,4,FALSE)</f>
        <v>kPa</v>
      </c>
      <c r="O374" s="4" t="str">
        <f t="shared" si="8"/>
        <v>00204B21_00204B21_VPD_avg</v>
      </c>
      <c r="P374" s="4" t="str">
        <f t="shared" si="9"/>
        <v>The datastream containing mesures of field 00204B21 by sensor 00204B21 which measures VPD.</v>
      </c>
    </row>
    <row r="375" spans="1:16" ht="12.75">
      <c r="A375" s="4" t="s">
        <v>301</v>
      </c>
      <c r="B375" s="4" t="s">
        <v>762</v>
      </c>
      <c r="C375" s="4" t="s">
        <v>714</v>
      </c>
      <c r="D375" s="4">
        <v>35.991036000000001</v>
      </c>
      <c r="E375" s="4">
        <v>33.808067999999999</v>
      </c>
      <c r="F375" s="4" t="s">
        <v>762</v>
      </c>
      <c r="G375" s="4" t="s">
        <v>715</v>
      </c>
      <c r="H375" s="4" t="s">
        <v>690</v>
      </c>
      <c r="I375" s="4" t="s">
        <v>691</v>
      </c>
      <c r="J375" s="4" t="s">
        <v>744</v>
      </c>
      <c r="K375" s="4" t="s">
        <v>706</v>
      </c>
      <c r="L375" s="4" t="str">
        <f>VLOOKUP($K375,'Property names'!$A$1:$D$99,2,FALSE)</f>
        <v>The difference between the amount of moisture in the air and the maximum amount of moisture the air can hold at a given temperature.</v>
      </c>
      <c r="M375" s="4" t="str">
        <f>VLOOKUP($K375,'Property names'!$A$1:$D$99,3,FALSE)</f>
        <v>Kilopascal</v>
      </c>
      <c r="N375" s="4" t="str">
        <f>VLOOKUP($K375,'Property names'!$A$1:$D$99,4,FALSE)</f>
        <v>kPa</v>
      </c>
      <c r="O375" s="4" t="str">
        <f t="shared" si="8"/>
        <v>00204B21_00204B21_VPD_min</v>
      </c>
      <c r="P375" s="4" t="str">
        <f t="shared" si="9"/>
        <v>The datastream containing mesures of field 00204B21 by sensor 00204B21 which measures VPD.</v>
      </c>
    </row>
    <row r="376" spans="1:16" ht="12.75">
      <c r="A376" s="4" t="s">
        <v>301</v>
      </c>
      <c r="B376" s="4" t="s">
        <v>762</v>
      </c>
      <c r="C376" s="4" t="s">
        <v>714</v>
      </c>
      <c r="D376" s="4">
        <v>35.991036000000001</v>
      </c>
      <c r="E376" s="4">
        <v>33.808067999999999</v>
      </c>
      <c r="F376" s="4" t="s">
        <v>762</v>
      </c>
      <c r="G376" s="4" t="s">
        <v>715</v>
      </c>
      <c r="H376" s="4" t="s">
        <v>690</v>
      </c>
      <c r="I376" s="4" t="s">
        <v>691</v>
      </c>
      <c r="J376" s="4" t="s">
        <v>761</v>
      </c>
      <c r="K376" s="4" t="s">
        <v>709</v>
      </c>
      <c r="L376" s="4" t="str">
        <f>VLOOKUP($K376,'Property names'!$A$1:$D$99,2,FALSE)</f>
        <v>The rate at which the air is moving horizontally, often measured in miles per hour or meters per second.</v>
      </c>
      <c r="M376" s="4" t="str">
        <f>VLOOKUP($K376,'Property names'!$A$1:$D$99,3,FALSE)</f>
        <v>Meters per second</v>
      </c>
      <c r="N376" s="4" t="str">
        <f>VLOOKUP($K376,'Property names'!$A$1:$D$99,4,FALSE)</f>
        <v>m/s</v>
      </c>
      <c r="O376" s="4" t="str">
        <f t="shared" si="8"/>
        <v>00204B21_00204B21_Wind_speed_max_max</v>
      </c>
      <c r="P376" s="4" t="str">
        <f t="shared" si="9"/>
        <v>The datastream containing mesures of field 00204B21 by sensor 00204B21 which measures Wind Speed.</v>
      </c>
    </row>
    <row r="377" spans="1:16" ht="12.75">
      <c r="A377" s="4" t="s">
        <v>301</v>
      </c>
      <c r="B377" s="4" t="s">
        <v>762</v>
      </c>
      <c r="C377" s="4" t="s">
        <v>714</v>
      </c>
      <c r="D377" s="4">
        <v>35.991036000000001</v>
      </c>
      <c r="E377" s="4">
        <v>33.808067999999999</v>
      </c>
      <c r="F377" s="4" t="s">
        <v>762</v>
      </c>
      <c r="G377" s="4" t="s">
        <v>715</v>
      </c>
      <c r="H377" s="4" t="s">
        <v>690</v>
      </c>
      <c r="I377" s="4" t="s">
        <v>691</v>
      </c>
      <c r="J377" s="4" t="s">
        <v>766</v>
      </c>
      <c r="K377" s="4" t="s">
        <v>767</v>
      </c>
      <c r="L377" s="4" t="str">
        <f>VLOOKUP($K377,'Property names'!$A$1:$D$99,2,FALSE)</f>
        <v>The difference in time between two events, often used in various scientific contexts.</v>
      </c>
      <c r="M377" s="4" t="str">
        <f>VLOOKUP($K377,'Property names'!$A$1:$D$99,3,FALSE)</f>
        <v>Seconds</v>
      </c>
      <c r="N377" s="4" t="str">
        <f>VLOOKUP($K377,'Property names'!$A$1:$D$99,4,FALSE)</f>
        <v>s</v>
      </c>
      <c r="O377" s="4" t="str">
        <f t="shared" si="8"/>
        <v>00204B21_00204B21_DeltaT_avg</v>
      </c>
      <c r="P377" s="4" t="str">
        <f t="shared" si="9"/>
        <v>The datastream containing mesures of field 00204B21 by sensor 00204B21 which measures DeltaT.</v>
      </c>
    </row>
    <row r="378" spans="1:16" ht="12.75">
      <c r="A378" s="4" t="s">
        <v>301</v>
      </c>
      <c r="B378" s="4" t="s">
        <v>762</v>
      </c>
      <c r="C378" s="4" t="s">
        <v>714</v>
      </c>
      <c r="D378" s="4">
        <v>35.991036000000001</v>
      </c>
      <c r="E378" s="4">
        <v>33.808067999999999</v>
      </c>
      <c r="F378" s="4" t="s">
        <v>762</v>
      </c>
      <c r="G378" s="4" t="s">
        <v>715</v>
      </c>
      <c r="H378" s="4" t="s">
        <v>690</v>
      </c>
      <c r="I378" s="4" t="s">
        <v>691</v>
      </c>
      <c r="J378" s="4" t="s">
        <v>768</v>
      </c>
      <c r="K378" s="4" t="s">
        <v>767</v>
      </c>
      <c r="L378" s="4" t="str">
        <f>VLOOKUP($K378,'Property names'!$A$1:$D$99,2,FALSE)</f>
        <v>The difference in time between two events, often used in various scientific contexts.</v>
      </c>
      <c r="M378" s="4" t="str">
        <f>VLOOKUP($K378,'Property names'!$A$1:$D$99,3,FALSE)</f>
        <v>Seconds</v>
      </c>
      <c r="N378" s="4" t="str">
        <f>VLOOKUP($K378,'Property names'!$A$1:$D$99,4,FALSE)</f>
        <v>s</v>
      </c>
      <c r="O378" s="4" t="str">
        <f t="shared" si="8"/>
        <v>00204B21_00204B21_DeltaT_max</v>
      </c>
      <c r="P378" s="4" t="str">
        <f t="shared" si="9"/>
        <v>The datastream containing mesures of field 00204B21 by sensor 00204B21 which measures DeltaT.</v>
      </c>
    </row>
    <row r="379" spans="1:16" ht="12.75">
      <c r="A379" s="4" t="s">
        <v>301</v>
      </c>
      <c r="B379" s="4" t="s">
        <v>762</v>
      </c>
      <c r="C379" s="4" t="s">
        <v>714</v>
      </c>
      <c r="D379" s="4">
        <v>35.991036000000001</v>
      </c>
      <c r="E379" s="4">
        <v>33.808067999999999</v>
      </c>
      <c r="F379" s="4" t="s">
        <v>762</v>
      </c>
      <c r="G379" s="4" t="s">
        <v>715</v>
      </c>
      <c r="H379" s="4" t="s">
        <v>690</v>
      </c>
      <c r="I379" s="4" t="s">
        <v>691</v>
      </c>
      <c r="J379" s="4" t="s">
        <v>769</v>
      </c>
      <c r="K379" s="4" t="s">
        <v>767</v>
      </c>
      <c r="L379" s="4" t="str">
        <f>VLOOKUP($K379,'Property names'!$A$1:$D$99,2,FALSE)</f>
        <v>The difference in time between two events, often used in various scientific contexts.</v>
      </c>
      <c r="M379" s="4" t="str">
        <f>VLOOKUP($K379,'Property names'!$A$1:$D$99,3,FALSE)</f>
        <v>Seconds</v>
      </c>
      <c r="N379" s="4" t="str">
        <f>VLOOKUP($K379,'Property names'!$A$1:$D$99,4,FALSE)</f>
        <v>s</v>
      </c>
      <c r="O379" s="4" t="str">
        <f t="shared" si="8"/>
        <v>00204B21_00204B21_DeltaT_min</v>
      </c>
      <c r="P379" s="4" t="str">
        <f t="shared" si="9"/>
        <v>The datastream containing mesures of field 00204B21 by sensor 00204B21 which measures DeltaT.</v>
      </c>
    </row>
    <row r="380" spans="1:16" ht="12.75">
      <c r="A380" s="4" t="s">
        <v>301</v>
      </c>
      <c r="B380" s="4" t="s">
        <v>762</v>
      </c>
      <c r="C380" s="4" t="s">
        <v>714</v>
      </c>
      <c r="D380" s="4">
        <v>35.991036000000001</v>
      </c>
      <c r="E380" s="4">
        <v>33.808067999999999</v>
      </c>
      <c r="F380" s="4" t="s">
        <v>762</v>
      </c>
      <c r="G380" s="4" t="s">
        <v>715</v>
      </c>
      <c r="H380" s="4" t="s">
        <v>690</v>
      </c>
      <c r="I380" s="4" t="s">
        <v>691</v>
      </c>
      <c r="J380" s="4" t="s">
        <v>733</v>
      </c>
      <c r="K380" s="4" t="s">
        <v>692</v>
      </c>
      <c r="L380" s="4" t="str">
        <f>VLOOKUP($K380,'Property names'!$A$1:$D$99,2,FALSE)</f>
        <v>The force exerted by the weight of the air above a given point on Earth's surface, which can vary with changes in weather and altitude.</v>
      </c>
      <c r="M380" s="4" t="str">
        <f>VLOOKUP($K380,'Property names'!$A$1:$D$99,3,FALSE)</f>
        <v>Kilopascal</v>
      </c>
      <c r="N380" s="4" t="str">
        <f>VLOOKUP($K380,'Property names'!$A$1:$D$99,4,FALSE)</f>
        <v>kPa</v>
      </c>
      <c r="O380" s="4" t="str">
        <f t="shared" si="8"/>
        <v>00204B21_00204B21_Air_pressure_avg</v>
      </c>
      <c r="P380" s="4" t="str">
        <f t="shared" si="9"/>
        <v>The datastream containing mesures of field 00204B21 by sensor 00204B21 which measures Atmospheric Pressure.</v>
      </c>
    </row>
    <row r="381" spans="1:16" ht="12.75">
      <c r="A381" s="4" t="s">
        <v>301</v>
      </c>
      <c r="B381" s="4" t="s">
        <v>762</v>
      </c>
      <c r="C381" s="4" t="s">
        <v>714</v>
      </c>
      <c r="D381" s="4">
        <v>35.991036000000001</v>
      </c>
      <c r="E381" s="4">
        <v>33.808067999999999</v>
      </c>
      <c r="F381" s="4" t="s">
        <v>762</v>
      </c>
      <c r="G381" s="4" t="s">
        <v>715</v>
      </c>
      <c r="H381" s="4" t="s">
        <v>690</v>
      </c>
      <c r="I381" s="4" t="s">
        <v>691</v>
      </c>
      <c r="J381" s="4" t="s">
        <v>734</v>
      </c>
      <c r="K381" s="4" t="s">
        <v>692</v>
      </c>
      <c r="L381" s="4" t="str">
        <f>VLOOKUP($K381,'Property names'!$A$1:$D$99,2,FALSE)</f>
        <v>The force exerted by the weight of the air above a given point on Earth's surface, which can vary with changes in weather and altitude.</v>
      </c>
      <c r="M381" s="4" t="str">
        <f>VLOOKUP($K381,'Property names'!$A$1:$D$99,3,FALSE)</f>
        <v>Kilopascal</v>
      </c>
      <c r="N381" s="4" t="str">
        <f>VLOOKUP($K381,'Property names'!$A$1:$D$99,4,FALSE)</f>
        <v>kPa</v>
      </c>
      <c r="O381" s="4" t="str">
        <f t="shared" si="8"/>
        <v>00204B21_00204B21_Air_pressure_max</v>
      </c>
      <c r="P381" s="4" t="str">
        <f t="shared" si="9"/>
        <v>The datastream containing mesures of field 00204B21 by sensor 00204B21 which measures Atmospheric Pressure.</v>
      </c>
    </row>
    <row r="382" spans="1:16" ht="12.75">
      <c r="A382" s="4" t="s">
        <v>301</v>
      </c>
      <c r="B382" s="4" t="s">
        <v>762</v>
      </c>
      <c r="C382" s="4" t="s">
        <v>714</v>
      </c>
      <c r="D382" s="4">
        <v>35.991036000000001</v>
      </c>
      <c r="E382" s="4">
        <v>33.808067999999999</v>
      </c>
      <c r="F382" s="4" t="s">
        <v>762</v>
      </c>
      <c r="G382" s="4" t="s">
        <v>715</v>
      </c>
      <c r="H382" s="4" t="s">
        <v>690</v>
      </c>
      <c r="I382" s="4" t="s">
        <v>691</v>
      </c>
      <c r="J382" s="4" t="s">
        <v>735</v>
      </c>
      <c r="K382" s="4" t="s">
        <v>692</v>
      </c>
      <c r="L382" s="4" t="str">
        <f>VLOOKUP($K382,'Property names'!$A$1:$D$99,2,FALSE)</f>
        <v>The force exerted by the weight of the air above a given point on Earth's surface, which can vary with changes in weather and altitude.</v>
      </c>
      <c r="M382" s="4" t="str">
        <f>VLOOKUP($K382,'Property names'!$A$1:$D$99,3,FALSE)</f>
        <v>Kilopascal</v>
      </c>
      <c r="N382" s="4" t="str">
        <f>VLOOKUP($K382,'Property names'!$A$1:$D$99,4,FALSE)</f>
        <v>kPa</v>
      </c>
      <c r="O382" s="4" t="str">
        <f t="shared" si="8"/>
        <v>00204B21_00204B21_Air_pressure_min</v>
      </c>
      <c r="P382" s="4" t="str">
        <f t="shared" si="9"/>
        <v>The datastream containing mesures of field 00204B21 by sensor 00204B21 which measures Atmospheric Pressure.</v>
      </c>
    </row>
    <row r="383" spans="1:16" ht="12.75">
      <c r="A383" s="4" t="s">
        <v>301</v>
      </c>
      <c r="B383" s="4" t="s">
        <v>762</v>
      </c>
      <c r="C383" s="4" t="s">
        <v>714</v>
      </c>
      <c r="D383" s="4">
        <v>35.991036000000001</v>
      </c>
      <c r="E383" s="4">
        <v>33.808067999999999</v>
      </c>
      <c r="F383" s="4" t="s">
        <v>762</v>
      </c>
      <c r="G383" s="4" t="s">
        <v>715</v>
      </c>
      <c r="H383" s="4" t="s">
        <v>690</v>
      </c>
      <c r="I383" s="4" t="s">
        <v>691</v>
      </c>
      <c r="J383" s="4" t="s">
        <v>758</v>
      </c>
      <c r="K383" s="4" t="s">
        <v>759</v>
      </c>
      <c r="L383" s="4" t="str">
        <f>VLOOKUP($K383,'Property names'!$A$1:$D$99,2,FALSE)</f>
        <v>The measure of the amount of water evaporated from a standardized reference surface, often used in agriculture for irrigation management.</v>
      </c>
      <c r="M383" s="4" t="str">
        <f>VLOOKUP($K383,'Property names'!$A$1:$D$99,3,FALSE)</f>
        <v>Millimeters per day</v>
      </c>
      <c r="N383" s="4" t="str">
        <f>VLOOKUP($K383,'Property names'!$A$1:$D$99,4,FALSE)</f>
        <v>mm/day</v>
      </c>
      <c r="O383" s="4" t="str">
        <f t="shared" si="8"/>
        <v>00204B21_00204B21_ET0</v>
      </c>
      <c r="P383" s="4" t="str">
        <f t="shared" si="9"/>
        <v>The datastream containing mesures of field 00204B21 by sensor 00204B21 which measures Reference evapotranspiration.</v>
      </c>
    </row>
    <row r="384" spans="1:16" ht="12.75">
      <c r="A384" s="4" t="s">
        <v>301</v>
      </c>
      <c r="B384" s="4" t="s">
        <v>762</v>
      </c>
      <c r="C384" s="4" t="s">
        <v>714</v>
      </c>
      <c r="D384" s="4">
        <v>35.991036000000001</v>
      </c>
      <c r="E384" s="4">
        <v>33.808067999999999</v>
      </c>
      <c r="F384" s="4" t="s">
        <v>762</v>
      </c>
      <c r="G384" s="4" t="s">
        <v>715</v>
      </c>
      <c r="H384" s="4" t="s">
        <v>690</v>
      </c>
      <c r="I384" s="4" t="s">
        <v>691</v>
      </c>
      <c r="J384" s="4" t="s">
        <v>736</v>
      </c>
      <c r="K384" s="4" t="s">
        <v>708</v>
      </c>
      <c r="L384" s="4" t="str">
        <f>VLOOKUP($K384,'Property names'!$A$1:$D$99,2,FALSE)</f>
        <v>The compass direction from which the wind is blowing.</v>
      </c>
      <c r="M384" s="4" t="str">
        <f>VLOOKUP($K384,'Property names'!$A$1:$D$99,3,FALSE)</f>
        <v>Degrees</v>
      </c>
      <c r="N384" s="4" t="str">
        <f>VLOOKUP($K384,'Property names'!$A$1:$D$99,4,FALSE)</f>
        <v>º</v>
      </c>
      <c r="O384" s="4" t="str">
        <f t="shared" si="8"/>
        <v>00204B21_00204B21_Wind_orientation</v>
      </c>
      <c r="P384" s="4" t="str">
        <f t="shared" si="9"/>
        <v>The datastream containing mesures of field 00204B21 by sensor 00204B21 which measures Wind Direction.</v>
      </c>
    </row>
    <row r="385" spans="1:16" ht="12.75">
      <c r="A385" s="4" t="s">
        <v>301</v>
      </c>
      <c r="B385" s="4" t="s">
        <v>762</v>
      </c>
      <c r="C385" s="4" t="s">
        <v>714</v>
      </c>
      <c r="D385" s="4">
        <v>35.991036000000001</v>
      </c>
      <c r="E385" s="4">
        <v>33.808067999999999</v>
      </c>
      <c r="F385" s="4" t="s">
        <v>762</v>
      </c>
      <c r="G385" s="4" t="s">
        <v>715</v>
      </c>
      <c r="H385" s="4" t="s">
        <v>690</v>
      </c>
      <c r="I385" s="4" t="s">
        <v>691</v>
      </c>
      <c r="J385" s="4" t="s">
        <v>737</v>
      </c>
      <c r="K385" s="4" t="s">
        <v>737</v>
      </c>
      <c r="L385" s="4" t="str">
        <f>VLOOKUP($K385,'Property names'!$A$1:$D$99,2,FALSE)</f>
        <v>The point in time at the middle of the night, commonly defined as 12:00 AM.</v>
      </c>
      <c r="M385" s="4" t="str">
        <f>VLOOKUP($K385,'Property names'!$A$1:$D$99,3,FALSE)</f>
        <v>-</v>
      </c>
      <c r="N385" s="4" t="str">
        <f>VLOOKUP($K385,'Property names'!$A$1:$D$99,4,FALSE)</f>
        <v>-</v>
      </c>
      <c r="O385" s="4" t="str">
        <f t="shared" si="8"/>
        <v>00204B21_00204B21_Midnight</v>
      </c>
      <c r="P385" s="4" t="str">
        <f t="shared" si="9"/>
        <v>The datastream containing mesures of field 00204B21 by sensor 00204B21 which measures Midnight.</v>
      </c>
    </row>
    <row r="386" spans="1:16" ht="12.75">
      <c r="A386" s="4" t="s">
        <v>301</v>
      </c>
      <c r="B386" s="4" t="s">
        <v>770</v>
      </c>
      <c r="C386" s="4" t="s">
        <v>714</v>
      </c>
      <c r="D386" s="4">
        <v>36.145623000000001</v>
      </c>
      <c r="E386" s="4">
        <v>34.061762000000002</v>
      </c>
      <c r="F386" s="4" t="s">
        <v>770</v>
      </c>
      <c r="G386" s="4" t="s">
        <v>715</v>
      </c>
      <c r="H386" s="4" t="s">
        <v>690</v>
      </c>
      <c r="I386" s="4" t="s">
        <v>691</v>
      </c>
      <c r="J386" s="4" t="s">
        <v>747</v>
      </c>
      <c r="K386" s="4" t="s">
        <v>704</v>
      </c>
      <c r="L386" s="4" t="str">
        <f>VLOOKUP($K386,'Property names'!$A$1:$D$99,2,FALSE)</f>
        <v>Energy from the sun in the form of electromagnetic waves.</v>
      </c>
      <c r="M386" s="4" t="str">
        <f>VLOOKUP($K386,'Property names'!$A$1:$D$99,3,FALSE)</f>
        <v>Watts per square meter</v>
      </c>
      <c r="N386" s="4" t="str">
        <f>VLOOKUP($K386,'Property names'!$A$1:$D$99,4,FALSE)</f>
        <v>W/m²</v>
      </c>
      <c r="O386" s="4" t="str">
        <f t="shared" si="8"/>
        <v>00204EB1_00204EB1_Solar_radiation_avg</v>
      </c>
      <c r="P386" s="4" t="str">
        <f t="shared" si="9"/>
        <v>The datastream containing mesures of field 00204EB1 by sensor 00204EB1 which measures Solar Radiation.</v>
      </c>
    </row>
    <row r="387" spans="1:16" ht="12.75">
      <c r="A387" s="4" t="s">
        <v>301</v>
      </c>
      <c r="B387" s="4" t="s">
        <v>770</v>
      </c>
      <c r="C387" s="4" t="s">
        <v>714</v>
      </c>
      <c r="D387" s="4">
        <v>36.145623000000001</v>
      </c>
      <c r="E387" s="4">
        <v>34.061762000000002</v>
      </c>
      <c r="F387" s="4" t="s">
        <v>770</v>
      </c>
      <c r="G387" s="4" t="s">
        <v>715</v>
      </c>
      <c r="H387" s="4" t="s">
        <v>690</v>
      </c>
      <c r="I387" s="4" t="s">
        <v>691</v>
      </c>
      <c r="J387" s="4" t="s">
        <v>716</v>
      </c>
      <c r="K387" s="4" t="s">
        <v>708</v>
      </c>
      <c r="L387" s="4" t="str">
        <f>VLOOKUP($K387,'Property names'!$A$1:$D$99,2,FALSE)</f>
        <v>The compass direction from which the wind is blowing.</v>
      </c>
      <c r="M387" s="4" t="str">
        <f>VLOOKUP($K387,'Property names'!$A$1:$D$99,3,FALSE)</f>
        <v>Degrees</v>
      </c>
      <c r="N387" s="4" t="str">
        <f>VLOOKUP($K387,'Property names'!$A$1:$D$99,4,FALSE)</f>
        <v>º</v>
      </c>
      <c r="O387" s="4" t="str">
        <f t="shared" si="8"/>
        <v>00204EB1_00204EB1_Wind_direction_avg</v>
      </c>
      <c r="P387" s="4" t="str">
        <f t="shared" si="9"/>
        <v>The datastream containing mesures of field 00204EB1 by sensor 00204EB1 which measures Wind Direction.</v>
      </c>
    </row>
    <row r="388" spans="1:16" ht="12.75">
      <c r="A388" s="4" t="s">
        <v>301</v>
      </c>
      <c r="B388" s="4" t="s">
        <v>770</v>
      </c>
      <c r="C388" s="4" t="s">
        <v>714</v>
      </c>
      <c r="D388" s="4">
        <v>36.145623000000001</v>
      </c>
      <c r="E388" s="4">
        <v>34.061762000000002</v>
      </c>
      <c r="F388" s="4" t="s">
        <v>770</v>
      </c>
      <c r="G388" s="4" t="s">
        <v>715</v>
      </c>
      <c r="H388" s="4" t="s">
        <v>690</v>
      </c>
      <c r="I388" s="4" t="s">
        <v>691</v>
      </c>
      <c r="J388" s="4" t="s">
        <v>717</v>
      </c>
      <c r="K388" s="4" t="s">
        <v>708</v>
      </c>
      <c r="L388" s="4" t="str">
        <f>VLOOKUP($K388,'Property names'!$A$1:$D$99,2,FALSE)</f>
        <v>The compass direction from which the wind is blowing.</v>
      </c>
      <c r="M388" s="4" t="str">
        <f>VLOOKUP($K388,'Property names'!$A$1:$D$99,3,FALSE)</f>
        <v>Degrees</v>
      </c>
      <c r="N388" s="4" t="str">
        <f>VLOOKUP($K388,'Property names'!$A$1:$D$99,4,FALSE)</f>
        <v>º</v>
      </c>
      <c r="O388" s="4" t="str">
        <f t="shared" si="8"/>
        <v>00204EB1_00204EB1_Wind_direction_last</v>
      </c>
      <c r="P388" s="4" t="str">
        <f t="shared" si="9"/>
        <v>The datastream containing mesures of field 00204EB1 by sensor 00204EB1 which measures Wind Direction.</v>
      </c>
    </row>
    <row r="389" spans="1:16" ht="12.75">
      <c r="A389" s="4" t="s">
        <v>301</v>
      </c>
      <c r="B389" s="4" t="s">
        <v>770</v>
      </c>
      <c r="C389" s="4" t="s">
        <v>714</v>
      </c>
      <c r="D389" s="4">
        <v>36.145623000000001</v>
      </c>
      <c r="E389" s="4">
        <v>34.061762000000002</v>
      </c>
      <c r="F389" s="4" t="s">
        <v>770</v>
      </c>
      <c r="G389" s="4" t="s">
        <v>715</v>
      </c>
      <c r="H389" s="4" t="s">
        <v>690</v>
      </c>
      <c r="I389" s="4" t="s">
        <v>691</v>
      </c>
      <c r="J389" s="4" t="s">
        <v>771</v>
      </c>
      <c r="K389" s="4" t="s">
        <v>646</v>
      </c>
      <c r="L389" s="4" t="str">
        <f>VLOOKUP($K389,'Property names'!$A$1:$D$99,2,FALSE)</f>
        <v>The measure of temperature of the soil.</v>
      </c>
      <c r="M389" s="4" t="str">
        <f>VLOOKUP($K389,'Property names'!$A$1:$D$99,3,FALSE)</f>
        <v>Degrees Celsius</v>
      </c>
      <c r="N389" s="4" t="str">
        <f>VLOOKUP($K389,'Property names'!$A$1:$D$99,4,FALSE)</f>
        <v>ºC</v>
      </c>
      <c r="O389" s="4" t="str">
        <f t="shared" si="8"/>
        <v>00204EB1_00204EB1_Soil_temperature_avg</v>
      </c>
      <c r="P389" s="4" t="str">
        <f t="shared" si="9"/>
        <v>The datastream containing mesures of field 00204EB1 by sensor 00204EB1 which measures Soil Temperature.</v>
      </c>
    </row>
    <row r="390" spans="1:16" ht="12.75">
      <c r="A390" s="4" t="s">
        <v>301</v>
      </c>
      <c r="B390" s="4" t="s">
        <v>770</v>
      </c>
      <c r="C390" s="4" t="s">
        <v>714</v>
      </c>
      <c r="D390" s="4">
        <v>36.145623000000001</v>
      </c>
      <c r="E390" s="4">
        <v>34.061762000000002</v>
      </c>
      <c r="F390" s="4" t="s">
        <v>770</v>
      </c>
      <c r="G390" s="4" t="s">
        <v>715</v>
      </c>
      <c r="H390" s="4" t="s">
        <v>690</v>
      </c>
      <c r="I390" s="4" t="s">
        <v>691</v>
      </c>
      <c r="J390" s="4" t="s">
        <v>772</v>
      </c>
      <c r="K390" s="4" t="s">
        <v>646</v>
      </c>
      <c r="L390" s="4" t="str">
        <f>VLOOKUP($K390,'Property names'!$A$1:$D$99,2,FALSE)</f>
        <v>The measure of temperature of the soil.</v>
      </c>
      <c r="M390" s="4" t="str">
        <f>VLOOKUP($K390,'Property names'!$A$1:$D$99,3,FALSE)</f>
        <v>Degrees Celsius</v>
      </c>
      <c r="N390" s="4" t="str">
        <f>VLOOKUP($K390,'Property names'!$A$1:$D$99,4,FALSE)</f>
        <v>ºC</v>
      </c>
      <c r="O390" s="4" t="str">
        <f t="shared" si="8"/>
        <v>00204EB1_00204EB1_Soil_temperature_max</v>
      </c>
      <c r="P390" s="4" t="str">
        <f t="shared" si="9"/>
        <v>The datastream containing mesures of field 00204EB1 by sensor 00204EB1 which measures Soil Temperature.</v>
      </c>
    </row>
    <row r="391" spans="1:16" ht="12.75">
      <c r="A391" s="4" t="s">
        <v>301</v>
      </c>
      <c r="B391" s="4" t="s">
        <v>770</v>
      </c>
      <c r="C391" s="4" t="s">
        <v>714</v>
      </c>
      <c r="D391" s="4">
        <v>36.145623000000001</v>
      </c>
      <c r="E391" s="4">
        <v>34.061762000000002</v>
      </c>
      <c r="F391" s="4" t="s">
        <v>770</v>
      </c>
      <c r="G391" s="4" t="s">
        <v>715</v>
      </c>
      <c r="H391" s="4" t="s">
        <v>690</v>
      </c>
      <c r="I391" s="4" t="s">
        <v>691</v>
      </c>
      <c r="J391" s="4" t="s">
        <v>773</v>
      </c>
      <c r="K391" s="4" t="s">
        <v>646</v>
      </c>
      <c r="L391" s="4" t="str">
        <f>VLOOKUP($K391,'Property names'!$A$1:$D$99,2,FALSE)</f>
        <v>The measure of temperature of the soil.</v>
      </c>
      <c r="M391" s="4" t="str">
        <f>VLOOKUP($K391,'Property names'!$A$1:$D$99,3,FALSE)</f>
        <v>Degrees Celsius</v>
      </c>
      <c r="N391" s="4" t="str">
        <f>VLOOKUP($K391,'Property names'!$A$1:$D$99,4,FALSE)</f>
        <v>ºC</v>
      </c>
      <c r="O391" s="4" t="str">
        <f t="shared" si="8"/>
        <v>00204EB1_00204EB1_Soil_temperature_min</v>
      </c>
      <c r="P391" s="4" t="str">
        <f t="shared" si="9"/>
        <v>The datastream containing mesures of field 00204EB1 by sensor 00204EB1 which measures Soil Temperature.</v>
      </c>
    </row>
    <row r="392" spans="1:16" ht="12.75">
      <c r="A392" s="4" t="s">
        <v>301</v>
      </c>
      <c r="B392" s="4" t="s">
        <v>770</v>
      </c>
      <c r="C392" s="4" t="s">
        <v>714</v>
      </c>
      <c r="D392" s="4">
        <v>36.145623000000001</v>
      </c>
      <c r="E392" s="4">
        <v>34.061762000000002</v>
      </c>
      <c r="F392" s="4" t="s">
        <v>770</v>
      </c>
      <c r="G392" s="4" t="s">
        <v>715</v>
      </c>
      <c r="H392" s="4" t="s">
        <v>690</v>
      </c>
      <c r="I392" s="4" t="s">
        <v>691</v>
      </c>
      <c r="J392" s="4" t="s">
        <v>739</v>
      </c>
      <c r="K392" s="4" t="s">
        <v>740</v>
      </c>
      <c r="L392" s="4" t="str">
        <f>VLOOKUP($K392,'Property names'!$A$1:$D$99,2,FALSE)</f>
        <v>A device that converts sunlight into electricity by harnessing the photovoltaic effect.</v>
      </c>
      <c r="M392" s="4" t="str">
        <f>VLOOKUP($K392,'Property names'!$A$1:$D$99,3,FALSE)</f>
        <v>-</v>
      </c>
      <c r="N392" s="4" t="str">
        <f>VLOOKUP($K392,'Property names'!$A$1:$D$99,4,FALSE)</f>
        <v>-</v>
      </c>
      <c r="O392" s="4" t="str">
        <f t="shared" si="8"/>
        <v>00204EB1_00204EB1_Solar_Panel_last</v>
      </c>
      <c r="P392" s="4" t="str">
        <f t="shared" si="9"/>
        <v>The datastream containing mesures of field 00204EB1 by sensor 00204EB1 which measures Solar Panel.</v>
      </c>
    </row>
    <row r="393" spans="1:16" ht="12.75">
      <c r="A393" s="4" t="s">
        <v>301</v>
      </c>
      <c r="B393" s="4" t="s">
        <v>770</v>
      </c>
      <c r="C393" s="4" t="s">
        <v>714</v>
      </c>
      <c r="D393" s="4">
        <v>36.145623000000001</v>
      </c>
      <c r="E393" s="4">
        <v>34.061762000000002</v>
      </c>
      <c r="F393" s="4" t="s">
        <v>770</v>
      </c>
      <c r="G393" s="4" t="s">
        <v>715</v>
      </c>
      <c r="H393" s="4" t="s">
        <v>690</v>
      </c>
      <c r="I393" s="4" t="s">
        <v>691</v>
      </c>
      <c r="J393" s="4" t="s">
        <v>718</v>
      </c>
      <c r="K393" s="4" t="s">
        <v>701</v>
      </c>
      <c r="L393" s="4" t="str">
        <f>VLOOKUP($K393,'Property names'!$A$1:$D$99,2,FALSE)</f>
        <v>Any form of water, liquid or solid, falling from the sky, such as rain, snow, or sleet.</v>
      </c>
      <c r="M393" s="4" t="str">
        <f>VLOOKUP($K393,'Property names'!$A$1:$D$99,3,FALSE)</f>
        <v>Millimeters</v>
      </c>
      <c r="N393" s="4" t="str">
        <f>VLOOKUP($K393,'Property names'!$A$1:$D$99,4,FALSE)</f>
        <v>mm</v>
      </c>
      <c r="O393" s="4" t="str">
        <f t="shared" si="8"/>
        <v>00204EB1_00204EB1_Precipitation_sum</v>
      </c>
      <c r="P393" s="4" t="str">
        <f t="shared" si="9"/>
        <v>The datastream containing mesures of field 00204EB1 by sensor 00204EB1 which measures Precipitation.</v>
      </c>
    </row>
    <row r="394" spans="1:16" ht="12.75">
      <c r="A394" s="4" t="s">
        <v>301</v>
      </c>
      <c r="B394" s="4" t="s">
        <v>770</v>
      </c>
      <c r="C394" s="4" t="s">
        <v>714</v>
      </c>
      <c r="D394" s="4">
        <v>36.145623000000001</v>
      </c>
      <c r="E394" s="4">
        <v>34.061762000000002</v>
      </c>
      <c r="F394" s="4" t="s">
        <v>770</v>
      </c>
      <c r="G394" s="4" t="s">
        <v>715</v>
      </c>
      <c r="H394" s="4" t="s">
        <v>690</v>
      </c>
      <c r="I394" s="4" t="s">
        <v>691</v>
      </c>
      <c r="J394" s="4" t="s">
        <v>719</v>
      </c>
      <c r="K394" s="4" t="s">
        <v>709</v>
      </c>
      <c r="L394" s="4" t="str">
        <f>VLOOKUP($K394,'Property names'!$A$1:$D$99,2,FALSE)</f>
        <v>The rate at which the air is moving horizontally, often measured in miles per hour or meters per second.</v>
      </c>
      <c r="M394" s="4" t="str">
        <f>VLOOKUP($K394,'Property names'!$A$1:$D$99,3,FALSE)</f>
        <v>Meters per second</v>
      </c>
      <c r="N394" s="4" t="str">
        <f>VLOOKUP($K394,'Property names'!$A$1:$D$99,4,FALSE)</f>
        <v>m/s</v>
      </c>
      <c r="O394" s="4" t="str">
        <f t="shared" si="8"/>
        <v>00204EB1_00204EB1_Wind_speed_avg</v>
      </c>
      <c r="P394" s="4" t="str">
        <f t="shared" si="9"/>
        <v>The datastream containing mesures of field 00204EB1 by sensor 00204EB1 which measures Wind Speed.</v>
      </c>
    </row>
    <row r="395" spans="1:16" ht="12.75">
      <c r="A395" s="4" t="s">
        <v>301</v>
      </c>
      <c r="B395" s="4" t="s">
        <v>770</v>
      </c>
      <c r="C395" s="4" t="s">
        <v>714</v>
      </c>
      <c r="D395" s="4">
        <v>36.145623000000001</v>
      </c>
      <c r="E395" s="4">
        <v>34.061762000000002</v>
      </c>
      <c r="F395" s="4" t="s">
        <v>770</v>
      </c>
      <c r="G395" s="4" t="s">
        <v>715</v>
      </c>
      <c r="H395" s="4" t="s">
        <v>690</v>
      </c>
      <c r="I395" s="4" t="s">
        <v>691</v>
      </c>
      <c r="J395" s="4" t="s">
        <v>720</v>
      </c>
      <c r="K395" s="4" t="s">
        <v>709</v>
      </c>
      <c r="L395" s="4" t="str">
        <f>VLOOKUP($K395,'Property names'!$A$1:$D$99,2,FALSE)</f>
        <v>The rate at which the air is moving horizontally, often measured in miles per hour or meters per second.</v>
      </c>
      <c r="M395" s="4" t="str">
        <f>VLOOKUP($K395,'Property names'!$A$1:$D$99,3,FALSE)</f>
        <v>Meters per second</v>
      </c>
      <c r="N395" s="4" t="str">
        <f>VLOOKUP($K395,'Property names'!$A$1:$D$99,4,FALSE)</f>
        <v>m/s</v>
      </c>
      <c r="O395" s="4" t="str">
        <f t="shared" si="8"/>
        <v>00204EB1_00204EB1_Wind_speed_max</v>
      </c>
      <c r="P395" s="4" t="str">
        <f t="shared" si="9"/>
        <v>The datastream containing mesures of field 00204EB1 by sensor 00204EB1 which measures Wind Speed.</v>
      </c>
    </row>
    <row r="396" spans="1:16" ht="12.75">
      <c r="A396" s="4" t="s">
        <v>301</v>
      </c>
      <c r="B396" s="4" t="s">
        <v>770</v>
      </c>
      <c r="C396" s="4" t="s">
        <v>714</v>
      </c>
      <c r="D396" s="4">
        <v>36.145623000000001</v>
      </c>
      <c r="E396" s="4">
        <v>34.061762000000002</v>
      </c>
      <c r="F396" s="4" t="s">
        <v>770</v>
      </c>
      <c r="G396" s="4" t="s">
        <v>715</v>
      </c>
      <c r="H396" s="4" t="s">
        <v>690</v>
      </c>
      <c r="I396" s="4" t="s">
        <v>691</v>
      </c>
      <c r="J396" s="4" t="s">
        <v>721</v>
      </c>
      <c r="K396" s="4" t="s">
        <v>647</v>
      </c>
      <c r="L396" s="4" t="str">
        <f>VLOOKUP($K396,'Property names'!$A$1:$D$99,2,FALSE)</f>
        <v>The percentage of battery level associated to the specific sensor.</v>
      </c>
      <c r="M396" s="4" t="str">
        <f>VLOOKUP($K396,'Property names'!$A$1:$D$99,3,FALSE)</f>
        <v>Percentage</v>
      </c>
      <c r="N396" s="4" t="str">
        <f>VLOOKUP($K396,'Property names'!$A$1:$D$99,4,FALSE)</f>
        <v>%</v>
      </c>
      <c r="O396" s="4" t="str">
        <f t="shared" si="8"/>
        <v>00204EB1_00204EB1_Battery_last</v>
      </c>
      <c r="P396" s="4" t="str">
        <f t="shared" si="9"/>
        <v>The datastream containing mesures of field 00204EB1 by sensor 00204EB1 which measures Battery Level.</v>
      </c>
    </row>
    <row r="397" spans="1:16" ht="12.75">
      <c r="A397" s="4" t="s">
        <v>301</v>
      </c>
      <c r="B397" s="4" t="s">
        <v>770</v>
      </c>
      <c r="C397" s="4" t="s">
        <v>714</v>
      </c>
      <c r="D397" s="4">
        <v>36.145623000000001</v>
      </c>
      <c r="E397" s="4">
        <v>34.061762000000002</v>
      </c>
      <c r="F397" s="4" t="s">
        <v>770</v>
      </c>
      <c r="G397" s="4" t="s">
        <v>715</v>
      </c>
      <c r="H397" s="4" t="s">
        <v>690</v>
      </c>
      <c r="I397" s="4" t="s">
        <v>691</v>
      </c>
      <c r="J397" s="4" t="s">
        <v>722</v>
      </c>
      <c r="K397" s="4" t="s">
        <v>723</v>
      </c>
      <c r="L397" s="4" t="str">
        <f>VLOOKUP($K397,'Property names'!$A$1:$D$99,2,FALSE)</f>
        <v>The presence of moisture on the surface of plant leaves, often indicating favorable conditions for disease development.</v>
      </c>
      <c r="M397" s="4" t="str">
        <f>VLOOKUP($K397,'Property names'!$A$1:$D$99,3,FALSE)</f>
        <v>-</v>
      </c>
      <c r="N397" s="4" t="str">
        <f>VLOOKUP($K397,'Property names'!$A$1:$D$99,4,FALSE)</f>
        <v>-</v>
      </c>
      <c r="O397" s="4" t="str">
        <f t="shared" si="8"/>
        <v>00204EB1_00204EB1_Leaf_Wetness_time</v>
      </c>
      <c r="P397" s="4" t="str">
        <f t="shared" si="9"/>
        <v>The datastream containing mesures of field 00204EB1 by sensor 00204EB1 which measures Leaf Wetness.</v>
      </c>
    </row>
    <row r="398" spans="1:16" ht="12.75">
      <c r="A398" s="4" t="s">
        <v>301</v>
      </c>
      <c r="B398" s="4" t="s">
        <v>770</v>
      </c>
      <c r="C398" s="4" t="s">
        <v>714</v>
      </c>
      <c r="D398" s="4">
        <v>36.145623000000001</v>
      </c>
      <c r="E398" s="4">
        <v>34.061762000000002</v>
      </c>
      <c r="F398" s="4" t="s">
        <v>770</v>
      </c>
      <c r="G398" s="4" t="s">
        <v>715</v>
      </c>
      <c r="H398" s="4" t="s">
        <v>690</v>
      </c>
      <c r="I398" s="4" t="s">
        <v>691</v>
      </c>
      <c r="J398" s="4" t="s">
        <v>741</v>
      </c>
      <c r="K398" s="4" t="s">
        <v>742</v>
      </c>
      <c r="L398" s="4" t="str">
        <f>VLOOKUP($K398,'Property names'!$A$1:$D$99,2,FALSE)</f>
        <v>A unique identifier assigned to an individual item, facilitating its tracking and differentiation from others.</v>
      </c>
      <c r="M398" s="4" t="str">
        <f>VLOOKUP($K398,'Property names'!$A$1:$D$99,3,FALSE)</f>
        <v>-</v>
      </c>
      <c r="N398" s="4" t="str">
        <f>VLOOKUP($K398,'Property names'!$A$1:$D$99,4,FALSE)</f>
        <v>-</v>
      </c>
      <c r="O398" s="4" t="str">
        <f t="shared" si="8"/>
        <v>00204EB1_00204EB1_HC_Serial_Number_last</v>
      </c>
      <c r="P398" s="4" t="str">
        <f t="shared" si="9"/>
        <v>The datastream containing mesures of field 00204EB1 by sensor 00204EB1 which measures Serial Number.</v>
      </c>
    </row>
    <row r="399" spans="1:16" ht="12.75">
      <c r="A399" s="4" t="s">
        <v>301</v>
      </c>
      <c r="B399" s="4" t="s">
        <v>770</v>
      </c>
      <c r="C399" s="4" t="s">
        <v>714</v>
      </c>
      <c r="D399" s="4">
        <v>36.145623000000001</v>
      </c>
      <c r="E399" s="4">
        <v>34.061762000000002</v>
      </c>
      <c r="F399" s="4" t="s">
        <v>770</v>
      </c>
      <c r="G399" s="4" t="s">
        <v>715</v>
      </c>
      <c r="H399" s="4" t="s">
        <v>690</v>
      </c>
      <c r="I399" s="4" t="s">
        <v>691</v>
      </c>
      <c r="J399" s="4" t="s">
        <v>724</v>
      </c>
      <c r="K399" s="4" t="s">
        <v>638</v>
      </c>
      <c r="L399" s="4" t="str">
        <f>VLOOKUP($K399,'Property names'!$A$1:$D$99,2,FALSE)</f>
        <v>The measure of the hotness or coldness of the air.</v>
      </c>
      <c r="M399" s="4" t="str">
        <f>VLOOKUP($K399,'Property names'!$A$1:$D$99,3,FALSE)</f>
        <v>Degrees Celsius</v>
      </c>
      <c r="N399" s="4" t="str">
        <f>VLOOKUP($K399,'Property names'!$A$1:$D$99,4,FALSE)</f>
        <v>ºC</v>
      </c>
      <c r="O399" s="4" t="str">
        <f t="shared" si="8"/>
        <v>00204EB1_00204EB1_HC_Air_temperature_avg</v>
      </c>
      <c r="P399" s="4" t="str">
        <f t="shared" si="9"/>
        <v>The datastream containing mesures of field 00204EB1 by sensor 00204EB1 which measures Air Temperature.</v>
      </c>
    </row>
    <row r="400" spans="1:16" ht="12.75">
      <c r="A400" s="4" t="s">
        <v>301</v>
      </c>
      <c r="B400" s="4" t="s">
        <v>770</v>
      </c>
      <c r="C400" s="4" t="s">
        <v>714</v>
      </c>
      <c r="D400" s="4">
        <v>36.145623000000001</v>
      </c>
      <c r="E400" s="4">
        <v>34.061762000000002</v>
      </c>
      <c r="F400" s="4" t="s">
        <v>770</v>
      </c>
      <c r="G400" s="4" t="s">
        <v>715</v>
      </c>
      <c r="H400" s="4" t="s">
        <v>690</v>
      </c>
      <c r="I400" s="4" t="s">
        <v>691</v>
      </c>
      <c r="J400" s="4" t="s">
        <v>725</v>
      </c>
      <c r="K400" s="4" t="s">
        <v>638</v>
      </c>
      <c r="L400" s="4" t="str">
        <f>VLOOKUP($K400,'Property names'!$A$1:$D$99,2,FALSE)</f>
        <v>The measure of the hotness or coldness of the air.</v>
      </c>
      <c r="M400" s="4" t="str">
        <f>VLOOKUP($K400,'Property names'!$A$1:$D$99,3,FALSE)</f>
        <v>Degrees Celsius</v>
      </c>
      <c r="N400" s="4" t="str">
        <f>VLOOKUP($K400,'Property names'!$A$1:$D$99,4,FALSE)</f>
        <v>ºC</v>
      </c>
      <c r="O400" s="4" t="str">
        <f t="shared" si="8"/>
        <v>00204EB1_00204EB1_HC_Air_temperature_max</v>
      </c>
      <c r="P400" s="4" t="str">
        <f t="shared" si="9"/>
        <v>The datastream containing mesures of field 00204EB1 by sensor 00204EB1 which measures Air Temperature.</v>
      </c>
    </row>
    <row r="401" spans="1:16" ht="12.75">
      <c r="A401" s="4" t="s">
        <v>301</v>
      </c>
      <c r="B401" s="4" t="s">
        <v>770</v>
      </c>
      <c r="C401" s="4" t="s">
        <v>714</v>
      </c>
      <c r="D401" s="4">
        <v>36.145623000000001</v>
      </c>
      <c r="E401" s="4">
        <v>34.061762000000002</v>
      </c>
      <c r="F401" s="4" t="s">
        <v>770</v>
      </c>
      <c r="G401" s="4" t="s">
        <v>715</v>
      </c>
      <c r="H401" s="4" t="s">
        <v>690</v>
      </c>
      <c r="I401" s="4" t="s">
        <v>691</v>
      </c>
      <c r="J401" s="4" t="s">
        <v>726</v>
      </c>
      <c r="K401" s="4" t="s">
        <v>638</v>
      </c>
      <c r="L401" s="4" t="str">
        <f>VLOOKUP($K401,'Property names'!$A$1:$D$99,2,FALSE)</f>
        <v>The measure of the hotness or coldness of the air.</v>
      </c>
      <c r="M401" s="4" t="str">
        <f>VLOOKUP($K401,'Property names'!$A$1:$D$99,3,FALSE)</f>
        <v>Degrees Celsius</v>
      </c>
      <c r="N401" s="4" t="str">
        <f>VLOOKUP($K401,'Property names'!$A$1:$D$99,4,FALSE)</f>
        <v>ºC</v>
      </c>
      <c r="O401" s="4" t="str">
        <f t="shared" si="8"/>
        <v>00204EB1_00204EB1_HC_Air_temperature_min</v>
      </c>
      <c r="P401" s="4" t="str">
        <f t="shared" si="9"/>
        <v>The datastream containing mesures of field 00204EB1 by sensor 00204EB1 which measures Air Temperature.</v>
      </c>
    </row>
    <row r="402" spans="1:16" ht="12.75">
      <c r="A402" s="4" t="s">
        <v>301</v>
      </c>
      <c r="B402" s="4" t="s">
        <v>770</v>
      </c>
      <c r="C402" s="4" t="s">
        <v>714</v>
      </c>
      <c r="D402" s="4">
        <v>36.145623000000001</v>
      </c>
      <c r="E402" s="4">
        <v>34.061762000000002</v>
      </c>
      <c r="F402" s="4" t="s">
        <v>770</v>
      </c>
      <c r="G402" s="4" t="s">
        <v>715</v>
      </c>
      <c r="H402" s="4" t="s">
        <v>690</v>
      </c>
      <c r="I402" s="4" t="s">
        <v>691</v>
      </c>
      <c r="J402" s="4" t="s">
        <v>727</v>
      </c>
      <c r="K402" s="4" t="s">
        <v>640</v>
      </c>
      <c r="L402" s="4" t="str">
        <f>VLOOKUP($K402,'Property names'!$A$1:$D$99,2,FALSE)</f>
        <v>The amount of moisture or water vapor present in the air, often expressed as a percentage of the maximum amount the air could hold at a given temperature.</v>
      </c>
      <c r="M402" s="4" t="str">
        <f>VLOOKUP($K402,'Property names'!$A$1:$D$99,3,FALSE)</f>
        <v>Percentage</v>
      </c>
      <c r="N402" s="4" t="str">
        <f>VLOOKUP($K402,'Property names'!$A$1:$D$99,4,FALSE)</f>
        <v>%</v>
      </c>
      <c r="O402" s="4" t="str">
        <f t="shared" si="8"/>
        <v>00204EB1_00204EB1_HC_Relative_humidity_avg</v>
      </c>
      <c r="P402" s="4" t="str">
        <f t="shared" si="9"/>
        <v>The datastream containing mesures of field 00204EB1 by sensor 00204EB1 which measures Air Humidity.</v>
      </c>
    </row>
    <row r="403" spans="1:16" ht="12.75">
      <c r="A403" s="4" t="s">
        <v>301</v>
      </c>
      <c r="B403" s="4" t="s">
        <v>770</v>
      </c>
      <c r="C403" s="4" t="s">
        <v>714</v>
      </c>
      <c r="D403" s="4">
        <v>36.145623000000001</v>
      </c>
      <c r="E403" s="4">
        <v>34.061762000000002</v>
      </c>
      <c r="F403" s="4" t="s">
        <v>770</v>
      </c>
      <c r="G403" s="4" t="s">
        <v>715</v>
      </c>
      <c r="H403" s="4" t="s">
        <v>690</v>
      </c>
      <c r="I403" s="4" t="s">
        <v>691</v>
      </c>
      <c r="J403" s="4" t="s">
        <v>728</v>
      </c>
      <c r="K403" s="4" t="s">
        <v>640</v>
      </c>
      <c r="L403" s="4" t="str">
        <f>VLOOKUP($K403,'Property names'!$A$1:$D$99,2,FALSE)</f>
        <v>The amount of moisture or water vapor present in the air, often expressed as a percentage of the maximum amount the air could hold at a given temperature.</v>
      </c>
      <c r="M403" s="4" t="str">
        <f>VLOOKUP($K403,'Property names'!$A$1:$D$99,3,FALSE)</f>
        <v>Percentage</v>
      </c>
      <c r="N403" s="4" t="str">
        <f>VLOOKUP($K403,'Property names'!$A$1:$D$99,4,FALSE)</f>
        <v>%</v>
      </c>
      <c r="O403" s="4" t="str">
        <f t="shared" si="8"/>
        <v>00204EB1_00204EB1_HC_Relative_humidity_max</v>
      </c>
      <c r="P403" s="4" t="str">
        <f t="shared" si="9"/>
        <v>The datastream containing mesures of field 00204EB1 by sensor 00204EB1 which measures Air Humidity.</v>
      </c>
    </row>
    <row r="404" spans="1:16" ht="12.75">
      <c r="A404" s="4" t="s">
        <v>301</v>
      </c>
      <c r="B404" s="4" t="s">
        <v>770</v>
      </c>
      <c r="C404" s="4" t="s">
        <v>714</v>
      </c>
      <c r="D404" s="4">
        <v>36.145623000000001</v>
      </c>
      <c r="E404" s="4">
        <v>34.061762000000002</v>
      </c>
      <c r="F404" s="4" t="s">
        <v>770</v>
      </c>
      <c r="G404" s="4" t="s">
        <v>715</v>
      </c>
      <c r="H404" s="4" t="s">
        <v>690</v>
      </c>
      <c r="I404" s="4" t="s">
        <v>691</v>
      </c>
      <c r="J404" s="4" t="s">
        <v>729</v>
      </c>
      <c r="K404" s="4" t="s">
        <v>640</v>
      </c>
      <c r="L404" s="4" t="str">
        <f>VLOOKUP($K404,'Property names'!$A$1:$D$99,2,FALSE)</f>
        <v>The amount of moisture or water vapor present in the air, often expressed as a percentage of the maximum amount the air could hold at a given temperature.</v>
      </c>
      <c r="M404" s="4" t="str">
        <f>VLOOKUP($K404,'Property names'!$A$1:$D$99,3,FALSE)</f>
        <v>Percentage</v>
      </c>
      <c r="N404" s="4" t="str">
        <f>VLOOKUP($K404,'Property names'!$A$1:$D$99,4,FALSE)</f>
        <v>%</v>
      </c>
      <c r="O404" s="4" t="str">
        <f t="shared" si="8"/>
        <v>00204EB1_00204EB1_HC_Relative_humidity_min</v>
      </c>
      <c r="P404" s="4" t="str">
        <f t="shared" si="9"/>
        <v>The datastream containing mesures of field 00204EB1 by sensor 00204EB1 which measures Air Humidity.</v>
      </c>
    </row>
    <row r="405" spans="1:16" ht="12.75">
      <c r="A405" s="4" t="s">
        <v>301</v>
      </c>
      <c r="B405" s="4" t="s">
        <v>770</v>
      </c>
      <c r="C405" s="4" t="s">
        <v>714</v>
      </c>
      <c r="D405" s="4">
        <v>36.145623000000001</v>
      </c>
      <c r="E405" s="4">
        <v>34.061762000000002</v>
      </c>
      <c r="F405" s="4" t="s">
        <v>770</v>
      </c>
      <c r="G405" s="4" t="s">
        <v>715</v>
      </c>
      <c r="H405" s="4" t="s">
        <v>690</v>
      </c>
      <c r="I405" s="4" t="s">
        <v>691</v>
      </c>
      <c r="J405" s="4" t="s">
        <v>730</v>
      </c>
      <c r="K405" s="4" t="s">
        <v>731</v>
      </c>
      <c r="L405" s="4" t="str">
        <f>VLOOKUP($K405,'Property names'!$A$1:$D$99,2,FALSE)</f>
        <v>The temperature at which air becomes saturated with moisture, leading to the formation of dew or condensation.</v>
      </c>
      <c r="M405" s="4" t="str">
        <f>VLOOKUP($K405,'Property names'!$A$1:$D$99,3,FALSE)</f>
        <v>Degrees Celsius</v>
      </c>
      <c r="N405" s="4" t="str">
        <f>VLOOKUP($K405,'Property names'!$A$1:$D$99,4,FALSE)</f>
        <v>ºC</v>
      </c>
      <c r="O405" s="4" t="str">
        <f t="shared" si="8"/>
        <v>00204EB1_00204EB1_Dew_Point_avg</v>
      </c>
      <c r="P405" s="4" t="str">
        <f t="shared" si="9"/>
        <v>The datastream containing mesures of field 00204EB1 by sensor 00204EB1 which measures Dew Point.</v>
      </c>
    </row>
    <row r="406" spans="1:16" ht="12.75">
      <c r="A406" s="4" t="s">
        <v>301</v>
      </c>
      <c r="B406" s="4" t="s">
        <v>770</v>
      </c>
      <c r="C406" s="4" t="s">
        <v>714</v>
      </c>
      <c r="D406" s="4">
        <v>36.145623000000001</v>
      </c>
      <c r="E406" s="4">
        <v>34.061762000000002</v>
      </c>
      <c r="F406" s="4" t="s">
        <v>770</v>
      </c>
      <c r="G406" s="4" t="s">
        <v>715</v>
      </c>
      <c r="H406" s="4" t="s">
        <v>690</v>
      </c>
      <c r="I406" s="4" t="s">
        <v>691</v>
      </c>
      <c r="J406" s="4" t="s">
        <v>732</v>
      </c>
      <c r="K406" s="4" t="s">
        <v>731</v>
      </c>
      <c r="L406" s="4" t="str">
        <f>VLOOKUP($K406,'Property names'!$A$1:$D$99,2,FALSE)</f>
        <v>The temperature at which air becomes saturated with moisture, leading to the formation of dew or condensation.</v>
      </c>
      <c r="M406" s="4" t="str">
        <f>VLOOKUP($K406,'Property names'!$A$1:$D$99,3,FALSE)</f>
        <v>Degrees Celsius</v>
      </c>
      <c r="N406" s="4" t="str">
        <f>VLOOKUP($K406,'Property names'!$A$1:$D$99,4,FALSE)</f>
        <v>ºC</v>
      </c>
      <c r="O406" s="4" t="str">
        <f t="shared" si="8"/>
        <v>00204EB1_00204EB1_Dew_Point_min</v>
      </c>
      <c r="P406" s="4" t="str">
        <f t="shared" si="9"/>
        <v>The datastream containing mesures of field 00204EB1 by sensor 00204EB1 which measures Dew Point.</v>
      </c>
    </row>
    <row r="407" spans="1:16" ht="12.75">
      <c r="A407" s="4" t="s">
        <v>301</v>
      </c>
      <c r="B407" s="4" t="s">
        <v>770</v>
      </c>
      <c r="C407" s="4" t="s">
        <v>714</v>
      </c>
      <c r="D407" s="4">
        <v>36.145623000000001</v>
      </c>
      <c r="E407" s="4">
        <v>34.061762000000002</v>
      </c>
      <c r="F407" s="4" t="s">
        <v>770</v>
      </c>
      <c r="G407" s="4" t="s">
        <v>715</v>
      </c>
      <c r="H407" s="4" t="s">
        <v>690</v>
      </c>
      <c r="I407" s="4" t="s">
        <v>691</v>
      </c>
      <c r="J407" s="4" t="s">
        <v>774</v>
      </c>
      <c r="K407" s="4" t="s">
        <v>775</v>
      </c>
      <c r="L407" s="4" t="str">
        <f>VLOOKUP($K407,'Property names'!$A$1:$D$99,2,FALSE)</f>
        <v>The angular distance of a location north or south of the equator, measured in degrees.</v>
      </c>
      <c r="M407" s="4" t="str">
        <f>VLOOKUP($K407,'Property names'!$A$1:$D$99,3,FALSE)</f>
        <v>Degrees</v>
      </c>
      <c r="N407" s="4" t="str">
        <f>VLOOKUP($K407,'Property names'!$A$1:$D$99,4,FALSE)</f>
        <v>º</v>
      </c>
      <c r="O407" s="4" t="str">
        <f t="shared" si="8"/>
        <v>00204EB1_00204EB1_Latitude_last</v>
      </c>
      <c r="P407" s="4" t="str">
        <f t="shared" si="9"/>
        <v>The datastream containing mesures of field 00204EB1 by sensor 00204EB1 which measures Latitude.</v>
      </c>
    </row>
    <row r="408" spans="1:16" ht="12.75">
      <c r="A408" s="4" t="s">
        <v>301</v>
      </c>
      <c r="B408" s="4" t="s">
        <v>770</v>
      </c>
      <c r="C408" s="4" t="s">
        <v>714</v>
      </c>
      <c r="D408" s="4">
        <v>36.145623000000001</v>
      </c>
      <c r="E408" s="4">
        <v>34.061762000000002</v>
      </c>
      <c r="F408" s="4" t="s">
        <v>770</v>
      </c>
      <c r="G408" s="4" t="s">
        <v>715</v>
      </c>
      <c r="H408" s="4" t="s">
        <v>690</v>
      </c>
      <c r="I408" s="4" t="s">
        <v>691</v>
      </c>
      <c r="J408" s="4" t="s">
        <v>776</v>
      </c>
      <c r="K408" s="4" t="s">
        <v>777</v>
      </c>
      <c r="L408" s="4" t="str">
        <f>VLOOKUP($K408,'Property names'!$A$1:$D$99,2,FALSE)</f>
        <v>The angular distance of a location east or west of the prime meridian, measured in degrees.</v>
      </c>
      <c r="M408" s="4" t="str">
        <f>VLOOKUP($K408,'Property names'!$A$1:$D$99,3,FALSE)</f>
        <v>Degrees</v>
      </c>
      <c r="N408" s="4" t="str">
        <f>VLOOKUP($K408,'Property names'!$A$1:$D$99,4,FALSE)</f>
        <v>º</v>
      </c>
      <c r="O408" s="4" t="str">
        <f t="shared" si="8"/>
        <v>00204EB1_00204EB1_Longitude_last</v>
      </c>
      <c r="P408" s="4" t="str">
        <f t="shared" si="9"/>
        <v>The datastream containing mesures of field 00204EB1 by sensor 00204EB1 which measures Longitude.</v>
      </c>
    </row>
    <row r="409" spans="1:16" ht="12.75">
      <c r="A409" s="4" t="s">
        <v>301</v>
      </c>
      <c r="B409" s="4" t="s">
        <v>770</v>
      </c>
      <c r="C409" s="4" t="s">
        <v>714</v>
      </c>
      <c r="D409" s="4">
        <v>36.145623000000001</v>
      </c>
      <c r="E409" s="4">
        <v>34.061762000000002</v>
      </c>
      <c r="F409" s="4" t="s">
        <v>770</v>
      </c>
      <c r="G409" s="4" t="s">
        <v>715</v>
      </c>
      <c r="H409" s="4" t="s">
        <v>690</v>
      </c>
      <c r="I409" s="4" t="s">
        <v>691</v>
      </c>
      <c r="J409" s="4" t="s">
        <v>778</v>
      </c>
      <c r="K409" s="4" t="s">
        <v>779</v>
      </c>
      <c r="L409" s="4" t="str">
        <f>VLOOKUP($K409,'Property names'!$A$1:$D$99,2,FALSE)</f>
        <v>The vertical distance of a location above a reference point, typically sea level, measured in meters or feet.</v>
      </c>
      <c r="M409" s="4" t="str">
        <f>VLOOKUP($K409,'Property names'!$A$1:$D$99,3,FALSE)</f>
        <v>Meters</v>
      </c>
      <c r="N409" s="4" t="str">
        <f>VLOOKUP($K409,'Property names'!$A$1:$D$99,4,FALSE)</f>
        <v>m</v>
      </c>
      <c r="O409" s="4" t="str">
        <f t="shared" si="8"/>
        <v>00204EB1_00204EB1_Altitude_last</v>
      </c>
      <c r="P409" s="4" t="str">
        <f t="shared" si="9"/>
        <v>The datastream containing mesures of field 00204EB1 by sensor 00204EB1 which measures Altitude.</v>
      </c>
    </row>
    <row r="410" spans="1:16" ht="12.75">
      <c r="A410" s="4" t="s">
        <v>301</v>
      </c>
      <c r="B410" s="4" t="s">
        <v>770</v>
      </c>
      <c r="C410" s="4" t="s">
        <v>714</v>
      </c>
      <c r="D410" s="4">
        <v>36.145623000000001</v>
      </c>
      <c r="E410" s="4">
        <v>34.061762000000002</v>
      </c>
      <c r="F410" s="4" t="s">
        <v>770</v>
      </c>
      <c r="G410" s="4" t="s">
        <v>715</v>
      </c>
      <c r="H410" s="4" t="s">
        <v>690</v>
      </c>
      <c r="I410" s="4" t="s">
        <v>691</v>
      </c>
      <c r="J410" s="4" t="s">
        <v>780</v>
      </c>
      <c r="K410" s="4" t="s">
        <v>781</v>
      </c>
      <c r="L410" s="4" t="str">
        <f>VLOOKUP($K410,'Property names'!$A$1:$D$99,2,FALSE)</f>
        <v>A measure of the spread of GPS satellite signals as they reach a receiver on the Earth's surface, affecting the accuracy of position calculations.</v>
      </c>
      <c r="M410" s="4" t="str">
        <f>VLOOKUP($K410,'Property names'!$A$1:$D$99,3,FALSE)</f>
        <v>-</v>
      </c>
      <c r="N410" s="4" t="str">
        <f>VLOOKUP($K410,'Property names'!$A$1:$D$99,4,FALSE)</f>
        <v>-</v>
      </c>
      <c r="O410" s="4" t="str">
        <f t="shared" si="8"/>
        <v>00204EB1_00204EB1_Horizontal_dilusion_of_position_last</v>
      </c>
      <c r="P410" s="4" t="str">
        <f t="shared" si="9"/>
        <v>The datastream containing mesures of field 00204EB1 by sensor 00204EB1 which measures Horizontal dilusion.</v>
      </c>
    </row>
    <row r="411" spans="1:16" ht="12.75">
      <c r="A411" s="4" t="s">
        <v>301</v>
      </c>
      <c r="B411" s="4" t="s">
        <v>770</v>
      </c>
      <c r="C411" s="4" t="s">
        <v>714</v>
      </c>
      <c r="D411" s="4">
        <v>36.145623000000001</v>
      </c>
      <c r="E411" s="4">
        <v>34.061762000000002</v>
      </c>
      <c r="F411" s="4" t="s">
        <v>770</v>
      </c>
      <c r="G411" s="4" t="s">
        <v>715</v>
      </c>
      <c r="H411" s="4" t="s">
        <v>690</v>
      </c>
      <c r="I411" s="4" t="s">
        <v>691</v>
      </c>
      <c r="J411" s="4" t="s">
        <v>743</v>
      </c>
      <c r="K411" s="4" t="s">
        <v>706</v>
      </c>
      <c r="L411" s="4" t="str">
        <f>VLOOKUP($K411,'Property names'!$A$1:$D$99,2,FALSE)</f>
        <v>The difference between the amount of moisture in the air and the maximum amount of moisture the air can hold at a given temperature.</v>
      </c>
      <c r="M411" s="4" t="str">
        <f>VLOOKUP($K411,'Property names'!$A$1:$D$99,3,FALSE)</f>
        <v>Kilopascal</v>
      </c>
      <c r="N411" s="4" t="str">
        <f>VLOOKUP($K411,'Property names'!$A$1:$D$99,4,FALSE)</f>
        <v>kPa</v>
      </c>
      <c r="O411" s="4" t="str">
        <f t="shared" si="8"/>
        <v>00204EB1_00204EB1_VPD_avg</v>
      </c>
      <c r="P411" s="4" t="str">
        <f t="shared" si="9"/>
        <v>The datastream containing mesures of field 00204EB1 by sensor 00204EB1 which measures VPD.</v>
      </c>
    </row>
    <row r="412" spans="1:16" ht="12.75">
      <c r="A412" s="4" t="s">
        <v>301</v>
      </c>
      <c r="B412" s="4" t="s">
        <v>770</v>
      </c>
      <c r="C412" s="4" t="s">
        <v>714</v>
      </c>
      <c r="D412" s="4">
        <v>36.145623000000001</v>
      </c>
      <c r="E412" s="4">
        <v>34.061762000000002</v>
      </c>
      <c r="F412" s="4" t="s">
        <v>770</v>
      </c>
      <c r="G412" s="4" t="s">
        <v>715</v>
      </c>
      <c r="H412" s="4" t="s">
        <v>690</v>
      </c>
      <c r="I412" s="4" t="s">
        <v>691</v>
      </c>
      <c r="J412" s="4" t="s">
        <v>744</v>
      </c>
      <c r="K412" s="4" t="s">
        <v>706</v>
      </c>
      <c r="L412" s="4" t="str">
        <f>VLOOKUP($K412,'Property names'!$A$1:$D$99,2,FALSE)</f>
        <v>The difference between the amount of moisture in the air and the maximum amount of moisture the air can hold at a given temperature.</v>
      </c>
      <c r="M412" s="4" t="str">
        <f>VLOOKUP($K412,'Property names'!$A$1:$D$99,3,FALSE)</f>
        <v>Kilopascal</v>
      </c>
      <c r="N412" s="4" t="str">
        <f>VLOOKUP($K412,'Property names'!$A$1:$D$99,4,FALSE)</f>
        <v>kPa</v>
      </c>
      <c r="O412" s="4" t="str">
        <f t="shared" si="8"/>
        <v>00204EB1_00204EB1_VPD_min</v>
      </c>
      <c r="P412" s="4" t="str">
        <f t="shared" si="9"/>
        <v>The datastream containing mesures of field 00204EB1 by sensor 00204EB1 which measures VPD.</v>
      </c>
    </row>
    <row r="413" spans="1:16" ht="12.75">
      <c r="A413" s="4" t="s">
        <v>301</v>
      </c>
      <c r="B413" s="4" t="s">
        <v>770</v>
      </c>
      <c r="C413" s="4" t="s">
        <v>714</v>
      </c>
      <c r="D413" s="4">
        <v>36.145623000000001</v>
      </c>
      <c r="E413" s="4">
        <v>34.061762000000002</v>
      </c>
      <c r="F413" s="4" t="s">
        <v>770</v>
      </c>
      <c r="G413" s="4" t="s">
        <v>715</v>
      </c>
      <c r="H413" s="4" t="s">
        <v>690</v>
      </c>
      <c r="I413" s="4" t="s">
        <v>691</v>
      </c>
      <c r="J413" s="4" t="s">
        <v>733</v>
      </c>
      <c r="K413" s="4" t="s">
        <v>692</v>
      </c>
      <c r="L413" s="4" t="str">
        <f>VLOOKUP($K413,'Property names'!$A$1:$D$99,2,FALSE)</f>
        <v>The force exerted by the weight of the air above a given point on Earth's surface, which can vary with changes in weather and altitude.</v>
      </c>
      <c r="M413" s="4" t="str">
        <f>VLOOKUP($K413,'Property names'!$A$1:$D$99,3,FALSE)</f>
        <v>Kilopascal</v>
      </c>
      <c r="N413" s="4" t="str">
        <f>VLOOKUP($K413,'Property names'!$A$1:$D$99,4,FALSE)</f>
        <v>kPa</v>
      </c>
      <c r="O413" s="4" t="str">
        <f t="shared" si="8"/>
        <v>00204EB1_00204EB1_Air_pressure_avg</v>
      </c>
      <c r="P413" s="4" t="str">
        <f t="shared" si="9"/>
        <v>The datastream containing mesures of field 00204EB1 by sensor 00204EB1 which measures Atmospheric Pressure.</v>
      </c>
    </row>
    <row r="414" spans="1:16" ht="12.75">
      <c r="A414" s="4" t="s">
        <v>301</v>
      </c>
      <c r="B414" s="4" t="s">
        <v>770</v>
      </c>
      <c r="C414" s="4" t="s">
        <v>714</v>
      </c>
      <c r="D414" s="4">
        <v>36.145623000000001</v>
      </c>
      <c r="E414" s="4">
        <v>34.061762000000002</v>
      </c>
      <c r="F414" s="4" t="s">
        <v>770</v>
      </c>
      <c r="G414" s="4" t="s">
        <v>715</v>
      </c>
      <c r="H414" s="4" t="s">
        <v>690</v>
      </c>
      <c r="I414" s="4" t="s">
        <v>691</v>
      </c>
      <c r="J414" s="4" t="s">
        <v>734</v>
      </c>
      <c r="K414" s="4" t="s">
        <v>692</v>
      </c>
      <c r="L414" s="4" t="str">
        <f>VLOOKUP($K414,'Property names'!$A$1:$D$99,2,FALSE)</f>
        <v>The force exerted by the weight of the air above a given point on Earth's surface, which can vary with changes in weather and altitude.</v>
      </c>
      <c r="M414" s="4" t="str">
        <f>VLOOKUP($K414,'Property names'!$A$1:$D$99,3,FALSE)</f>
        <v>Kilopascal</v>
      </c>
      <c r="N414" s="4" t="str">
        <f>VLOOKUP($K414,'Property names'!$A$1:$D$99,4,FALSE)</f>
        <v>kPa</v>
      </c>
      <c r="O414" s="4" t="str">
        <f t="shared" si="8"/>
        <v>00204EB1_00204EB1_Air_pressure_max</v>
      </c>
      <c r="P414" s="4" t="str">
        <f t="shared" si="9"/>
        <v>The datastream containing mesures of field 00204EB1 by sensor 00204EB1 which measures Atmospheric Pressure.</v>
      </c>
    </row>
    <row r="415" spans="1:16" ht="12.75">
      <c r="A415" s="4" t="s">
        <v>301</v>
      </c>
      <c r="B415" s="4" t="s">
        <v>770</v>
      </c>
      <c r="C415" s="4" t="s">
        <v>714</v>
      </c>
      <c r="D415" s="4">
        <v>36.145623000000001</v>
      </c>
      <c r="E415" s="4">
        <v>34.061762000000002</v>
      </c>
      <c r="F415" s="4" t="s">
        <v>770</v>
      </c>
      <c r="G415" s="4" t="s">
        <v>715</v>
      </c>
      <c r="H415" s="4" t="s">
        <v>690</v>
      </c>
      <c r="I415" s="4" t="s">
        <v>691</v>
      </c>
      <c r="J415" s="4" t="s">
        <v>735</v>
      </c>
      <c r="K415" s="4" t="s">
        <v>692</v>
      </c>
      <c r="L415" s="4" t="str">
        <f>VLOOKUP($K415,'Property names'!$A$1:$D$99,2,FALSE)</f>
        <v>The force exerted by the weight of the air above a given point on Earth's surface, which can vary with changes in weather and altitude.</v>
      </c>
      <c r="M415" s="4" t="str">
        <f>VLOOKUP($K415,'Property names'!$A$1:$D$99,3,FALSE)</f>
        <v>Kilopascal</v>
      </c>
      <c r="N415" s="4" t="str">
        <f>VLOOKUP($K415,'Property names'!$A$1:$D$99,4,FALSE)</f>
        <v>kPa</v>
      </c>
      <c r="O415" s="4" t="str">
        <f t="shared" si="8"/>
        <v>00204EB1_00204EB1_Air_pressure_min</v>
      </c>
      <c r="P415" s="4" t="str">
        <f t="shared" si="9"/>
        <v>The datastream containing mesures of field 00204EB1 by sensor 00204EB1 which measures Atmospheric Pressure.</v>
      </c>
    </row>
    <row r="416" spans="1:16" ht="12.75">
      <c r="A416" s="4" t="s">
        <v>301</v>
      </c>
      <c r="B416" s="4" t="s">
        <v>770</v>
      </c>
      <c r="C416" s="4" t="s">
        <v>714</v>
      </c>
      <c r="D416" s="4">
        <v>36.145623000000001</v>
      </c>
      <c r="E416" s="4">
        <v>34.061762000000002</v>
      </c>
      <c r="F416" s="4" t="s">
        <v>770</v>
      </c>
      <c r="G416" s="4" t="s">
        <v>715</v>
      </c>
      <c r="H416" s="4" t="s">
        <v>690</v>
      </c>
      <c r="I416" s="4" t="s">
        <v>691</v>
      </c>
      <c r="J416" s="4" t="s">
        <v>782</v>
      </c>
      <c r="K416" s="4" t="s">
        <v>694</v>
      </c>
      <c r="L416" s="4" t="str">
        <f>VLOOKUP($K416,'Property names'!$A$1:$D$99,2,FALSE)</f>
        <v>The electrical potential in a battery, indicating its charge level.</v>
      </c>
      <c r="M416" s="4" t="str">
        <f>VLOOKUP($K416,'Property names'!$A$1:$D$99,3,FALSE)</f>
        <v>Millivolts</v>
      </c>
      <c r="N416" s="4" t="str">
        <f>VLOOKUP($K416,'Property names'!$A$1:$D$99,4,FALSE)</f>
        <v>mV</v>
      </c>
      <c r="O416" s="4" t="str">
        <f t="shared" si="8"/>
        <v>00204EB1_00204EB1_5TE_Battery_voltage_last</v>
      </c>
      <c r="P416" s="4" t="str">
        <f t="shared" si="9"/>
        <v>The datastream containing mesures of field 00204EB1 by sensor 00204EB1 which measures Battery Voltage.</v>
      </c>
    </row>
    <row r="417" spans="1:16" ht="12.75">
      <c r="A417" s="4" t="s">
        <v>301</v>
      </c>
      <c r="B417" s="4" t="s">
        <v>770</v>
      </c>
      <c r="C417" s="4" t="s">
        <v>714</v>
      </c>
      <c r="D417" s="4">
        <v>36.145623000000001</v>
      </c>
      <c r="E417" s="4">
        <v>34.061762000000002</v>
      </c>
      <c r="F417" s="4" t="s">
        <v>770</v>
      </c>
      <c r="G417" s="4" t="s">
        <v>715</v>
      </c>
      <c r="H417" s="4" t="s">
        <v>690</v>
      </c>
      <c r="I417" s="4" t="s">
        <v>691</v>
      </c>
      <c r="J417" s="4" t="s">
        <v>783</v>
      </c>
      <c r="K417" s="4" t="s">
        <v>694</v>
      </c>
      <c r="L417" s="4" t="str">
        <f>VLOOKUP($K417,'Property names'!$A$1:$D$99,2,FALSE)</f>
        <v>The electrical potential in a battery, indicating its charge level.</v>
      </c>
      <c r="M417" s="4" t="str">
        <f>VLOOKUP($K417,'Property names'!$A$1:$D$99,3,FALSE)</f>
        <v>Millivolts</v>
      </c>
      <c r="N417" s="4" t="str">
        <f>VLOOKUP($K417,'Property names'!$A$1:$D$99,4,FALSE)</f>
        <v>mV</v>
      </c>
      <c r="O417" s="4" t="str">
        <f t="shared" si="8"/>
        <v>00204EB1_00204EB1_PI54a_(VWC)_avg</v>
      </c>
      <c r="P417" s="4" t="str">
        <f t="shared" si="9"/>
        <v>The datastream containing mesures of field 00204EB1 by sensor 00204EB1 which measures Battery Voltage.</v>
      </c>
    </row>
    <row r="418" spans="1:16" ht="12.75">
      <c r="A418" s="4" t="s">
        <v>301</v>
      </c>
      <c r="B418" s="4" t="s">
        <v>770</v>
      </c>
      <c r="C418" s="4" t="s">
        <v>714</v>
      </c>
      <c r="D418" s="4">
        <v>36.145623000000001</v>
      </c>
      <c r="E418" s="4">
        <v>34.061762000000002</v>
      </c>
      <c r="F418" s="4" t="s">
        <v>770</v>
      </c>
      <c r="G418" s="4" t="s">
        <v>715</v>
      </c>
      <c r="H418" s="4" t="s">
        <v>690</v>
      </c>
      <c r="I418" s="4" t="s">
        <v>691</v>
      </c>
      <c r="J418" s="4" t="s">
        <v>784</v>
      </c>
      <c r="K418" s="4" t="s">
        <v>665</v>
      </c>
      <c r="L418" s="4" t="str">
        <f>VLOOKUP($K418,'Property names'!$A$1:$D$99,2,FALSE)</f>
        <v>A warning in case of water leak detected</v>
      </c>
      <c r="M418" s="4" t="str">
        <f>VLOOKUP($K418,'Property names'!$A$1:$D$99,3,FALSE)</f>
        <v>True / False</v>
      </c>
      <c r="N418" s="4" t="str">
        <f>VLOOKUP($K418,'Property names'!$A$1:$D$99,4,FALSE)</f>
        <v>N/A</v>
      </c>
      <c r="O418" s="4" t="str">
        <f t="shared" si="8"/>
        <v>00204EB1_00204EB1_Watermark_1_avg</v>
      </c>
      <c r="P418" s="4" t="str">
        <f t="shared" si="9"/>
        <v>The datastream containing mesures of field 00204EB1 by sensor 00204EB1 which measures Leak warning.</v>
      </c>
    </row>
    <row r="419" spans="1:16" ht="12.75">
      <c r="A419" s="4" t="s">
        <v>301</v>
      </c>
      <c r="B419" s="4" t="s">
        <v>770</v>
      </c>
      <c r="C419" s="4" t="s">
        <v>714</v>
      </c>
      <c r="D419" s="4">
        <v>36.145623000000001</v>
      </c>
      <c r="E419" s="4">
        <v>34.061762000000002</v>
      </c>
      <c r="F419" s="4" t="s">
        <v>770</v>
      </c>
      <c r="G419" s="4" t="s">
        <v>715</v>
      </c>
      <c r="H419" s="4" t="s">
        <v>690</v>
      </c>
      <c r="I419" s="4" t="s">
        <v>691</v>
      </c>
      <c r="J419" s="4" t="s">
        <v>785</v>
      </c>
      <c r="K419" s="4" t="s">
        <v>665</v>
      </c>
      <c r="L419" s="4" t="str">
        <f>VLOOKUP($K419,'Property names'!$A$1:$D$99,2,FALSE)</f>
        <v>A warning in case of water leak detected</v>
      </c>
      <c r="M419" s="4" t="str">
        <f>VLOOKUP($K419,'Property names'!$A$1:$D$99,3,FALSE)</f>
        <v>True / False</v>
      </c>
      <c r="N419" s="4" t="str">
        <f>VLOOKUP($K419,'Property names'!$A$1:$D$99,4,FALSE)</f>
        <v>N/A</v>
      </c>
      <c r="O419" s="4" t="str">
        <f t="shared" si="8"/>
        <v>00204EB1_00204EB1_Watermark_2_avg</v>
      </c>
      <c r="P419" s="4" t="str">
        <f t="shared" si="9"/>
        <v>The datastream containing mesures of field 00204EB1 by sensor 00204EB1 which measures Leak warning.</v>
      </c>
    </row>
    <row r="420" spans="1:16" ht="12.75">
      <c r="A420" s="4" t="s">
        <v>301</v>
      </c>
      <c r="B420" s="4" t="s">
        <v>770</v>
      </c>
      <c r="C420" s="4" t="s">
        <v>714</v>
      </c>
      <c r="D420" s="4">
        <v>36.145623000000001</v>
      </c>
      <c r="E420" s="4">
        <v>34.061762000000002</v>
      </c>
      <c r="F420" s="4" t="s">
        <v>770</v>
      </c>
      <c r="G420" s="4" t="s">
        <v>715</v>
      </c>
      <c r="H420" s="4" t="s">
        <v>690</v>
      </c>
      <c r="I420" s="4" t="s">
        <v>691</v>
      </c>
      <c r="J420" s="4" t="s">
        <v>763</v>
      </c>
      <c r="K420" s="4" t="s">
        <v>638</v>
      </c>
      <c r="L420" s="4" t="str">
        <f>VLOOKUP($K420,'Property names'!$A$1:$D$99,2,FALSE)</f>
        <v>The measure of the hotness or coldness of the air.</v>
      </c>
      <c r="M420" s="4" t="str">
        <f>VLOOKUP($K420,'Property names'!$A$1:$D$99,3,FALSE)</f>
        <v>Degrees Celsius</v>
      </c>
      <c r="N420" s="4" t="str">
        <f>VLOOKUP($K420,'Property names'!$A$1:$D$99,4,FALSE)</f>
        <v>ºC</v>
      </c>
      <c r="O420" s="4" t="str">
        <f t="shared" si="8"/>
        <v>00204EB1_00204EB1_Wetbulb_temperature_avg</v>
      </c>
      <c r="P420" s="4" t="str">
        <f t="shared" si="9"/>
        <v>The datastream containing mesures of field 00204EB1 by sensor 00204EB1 which measures Air Temperature.</v>
      </c>
    </row>
    <row r="421" spans="1:16" ht="12.75">
      <c r="A421" s="4" t="s">
        <v>301</v>
      </c>
      <c r="B421" s="4" t="s">
        <v>770</v>
      </c>
      <c r="C421" s="4" t="s">
        <v>714</v>
      </c>
      <c r="D421" s="4">
        <v>36.145623000000001</v>
      </c>
      <c r="E421" s="4">
        <v>34.061762000000002</v>
      </c>
      <c r="F421" s="4" t="s">
        <v>770</v>
      </c>
      <c r="G421" s="4" t="s">
        <v>715</v>
      </c>
      <c r="H421" s="4" t="s">
        <v>690</v>
      </c>
      <c r="I421" s="4" t="s">
        <v>691</v>
      </c>
      <c r="J421" s="4" t="s">
        <v>764</v>
      </c>
      <c r="K421" s="4" t="s">
        <v>638</v>
      </c>
      <c r="L421" s="4" t="str">
        <f>VLOOKUP($K421,'Property names'!$A$1:$D$99,2,FALSE)</f>
        <v>The measure of the hotness or coldness of the air.</v>
      </c>
      <c r="M421" s="4" t="str">
        <f>VLOOKUP($K421,'Property names'!$A$1:$D$99,3,FALSE)</f>
        <v>Degrees Celsius</v>
      </c>
      <c r="N421" s="4" t="str">
        <f>VLOOKUP($K421,'Property names'!$A$1:$D$99,4,FALSE)</f>
        <v>ºC</v>
      </c>
      <c r="O421" s="4" t="str">
        <f t="shared" si="8"/>
        <v>00204EB1_00204EB1_Wetbulb_temperature_max</v>
      </c>
      <c r="P421" s="4" t="str">
        <f t="shared" si="9"/>
        <v>The datastream containing mesures of field 00204EB1 by sensor 00204EB1 which measures Air Temperature.</v>
      </c>
    </row>
    <row r="422" spans="1:16" ht="12.75">
      <c r="A422" s="4" t="s">
        <v>301</v>
      </c>
      <c r="B422" s="4" t="s">
        <v>770</v>
      </c>
      <c r="C422" s="4" t="s">
        <v>714</v>
      </c>
      <c r="D422" s="4">
        <v>36.145623000000001</v>
      </c>
      <c r="E422" s="4">
        <v>34.061762000000002</v>
      </c>
      <c r="F422" s="4" t="s">
        <v>770</v>
      </c>
      <c r="G422" s="4" t="s">
        <v>715</v>
      </c>
      <c r="H422" s="4" t="s">
        <v>690</v>
      </c>
      <c r="I422" s="4" t="s">
        <v>691</v>
      </c>
      <c r="J422" s="4" t="s">
        <v>765</v>
      </c>
      <c r="K422" s="4" t="s">
        <v>638</v>
      </c>
      <c r="L422" s="4" t="str">
        <f>VLOOKUP($K422,'Property names'!$A$1:$D$99,2,FALSE)</f>
        <v>The measure of the hotness or coldness of the air.</v>
      </c>
      <c r="M422" s="4" t="str">
        <f>VLOOKUP($K422,'Property names'!$A$1:$D$99,3,FALSE)</f>
        <v>Degrees Celsius</v>
      </c>
      <c r="N422" s="4" t="str">
        <f>VLOOKUP($K422,'Property names'!$A$1:$D$99,4,FALSE)</f>
        <v>ºC</v>
      </c>
      <c r="O422" s="4" t="str">
        <f t="shared" si="8"/>
        <v>00204EB1_00204EB1_Wetbulb_temperature_min</v>
      </c>
      <c r="P422" s="4" t="str">
        <f t="shared" si="9"/>
        <v>The datastream containing mesures of field 00204EB1 by sensor 00204EB1 which measures Air Temperature.</v>
      </c>
    </row>
    <row r="423" spans="1:16" ht="12.75">
      <c r="A423" s="4" t="s">
        <v>301</v>
      </c>
      <c r="B423" s="4" t="s">
        <v>770</v>
      </c>
      <c r="C423" s="4" t="s">
        <v>714</v>
      </c>
      <c r="D423" s="4">
        <v>36.145623000000001</v>
      </c>
      <c r="E423" s="4">
        <v>34.061762000000002</v>
      </c>
      <c r="F423" s="4" t="s">
        <v>770</v>
      </c>
      <c r="G423" s="4" t="s">
        <v>715</v>
      </c>
      <c r="H423" s="4" t="s">
        <v>690</v>
      </c>
      <c r="I423" s="4" t="s">
        <v>691</v>
      </c>
      <c r="J423" s="4" t="s">
        <v>786</v>
      </c>
      <c r="K423" s="4" t="s">
        <v>638</v>
      </c>
      <c r="L423" s="4" t="str">
        <f>VLOOKUP($K423,'Property names'!$A$1:$D$99,2,FALSE)</f>
        <v>The measure of the hotness or coldness of the air.</v>
      </c>
      <c r="M423" s="4" t="str">
        <f>VLOOKUP($K423,'Property names'!$A$1:$D$99,3,FALSE)</f>
        <v>Degrees Celsius</v>
      </c>
      <c r="N423" s="4" t="str">
        <f>VLOOKUP($K423,'Property names'!$A$1:$D$99,4,FALSE)</f>
        <v>ºC</v>
      </c>
      <c r="O423" s="4" t="str">
        <f t="shared" si="8"/>
        <v>00204EB1_00204EB1_Drybulb_temperature_avg</v>
      </c>
      <c r="P423" s="4" t="str">
        <f t="shared" si="9"/>
        <v>The datastream containing mesures of field 00204EB1 by sensor 00204EB1 which measures Air Temperature.</v>
      </c>
    </row>
    <row r="424" spans="1:16" ht="12.75">
      <c r="A424" s="4" t="s">
        <v>301</v>
      </c>
      <c r="B424" s="4" t="s">
        <v>770</v>
      </c>
      <c r="C424" s="4" t="s">
        <v>714</v>
      </c>
      <c r="D424" s="4">
        <v>36.145623000000001</v>
      </c>
      <c r="E424" s="4">
        <v>34.061762000000002</v>
      </c>
      <c r="F424" s="4" t="s">
        <v>770</v>
      </c>
      <c r="G424" s="4" t="s">
        <v>715</v>
      </c>
      <c r="H424" s="4" t="s">
        <v>690</v>
      </c>
      <c r="I424" s="4" t="s">
        <v>691</v>
      </c>
      <c r="J424" s="4" t="s">
        <v>787</v>
      </c>
      <c r="K424" s="4" t="s">
        <v>638</v>
      </c>
      <c r="L424" s="4" t="str">
        <f>VLOOKUP($K424,'Property names'!$A$1:$D$99,2,FALSE)</f>
        <v>The measure of the hotness or coldness of the air.</v>
      </c>
      <c r="M424" s="4" t="str">
        <f>VLOOKUP($K424,'Property names'!$A$1:$D$99,3,FALSE)</f>
        <v>Degrees Celsius</v>
      </c>
      <c r="N424" s="4" t="str">
        <f>VLOOKUP($K424,'Property names'!$A$1:$D$99,4,FALSE)</f>
        <v>ºC</v>
      </c>
      <c r="O424" s="4" t="str">
        <f t="shared" si="8"/>
        <v>00204EB1_00204EB1_Drybulb_temperature_max</v>
      </c>
      <c r="P424" s="4" t="str">
        <f t="shared" si="9"/>
        <v>The datastream containing mesures of field 00204EB1 by sensor 00204EB1 which measures Air Temperature.</v>
      </c>
    </row>
    <row r="425" spans="1:16" ht="12.75">
      <c r="A425" s="4" t="s">
        <v>301</v>
      </c>
      <c r="B425" s="4" t="s">
        <v>770</v>
      </c>
      <c r="C425" s="4" t="s">
        <v>714</v>
      </c>
      <c r="D425" s="4">
        <v>36.145623000000001</v>
      </c>
      <c r="E425" s="4">
        <v>34.061762000000002</v>
      </c>
      <c r="F425" s="4" t="s">
        <v>770</v>
      </c>
      <c r="G425" s="4" t="s">
        <v>715</v>
      </c>
      <c r="H425" s="4" t="s">
        <v>690</v>
      </c>
      <c r="I425" s="4" t="s">
        <v>691</v>
      </c>
      <c r="J425" s="4" t="s">
        <v>788</v>
      </c>
      <c r="K425" s="4" t="s">
        <v>638</v>
      </c>
      <c r="L425" s="4" t="str">
        <f>VLOOKUP($K425,'Property names'!$A$1:$D$99,2,FALSE)</f>
        <v>The measure of the hotness or coldness of the air.</v>
      </c>
      <c r="M425" s="4" t="str">
        <f>VLOOKUP($K425,'Property names'!$A$1:$D$99,3,FALSE)</f>
        <v>Degrees Celsius</v>
      </c>
      <c r="N425" s="4" t="str">
        <f>VLOOKUP($K425,'Property names'!$A$1:$D$99,4,FALSE)</f>
        <v>ºC</v>
      </c>
      <c r="O425" s="4" t="str">
        <f t="shared" si="8"/>
        <v>00204EB1_00204EB1_Drybulb_temperature_min</v>
      </c>
      <c r="P425" s="4" t="str">
        <f t="shared" si="9"/>
        <v>The datastream containing mesures of field 00204EB1 by sensor 00204EB1 which measures Air Temperature.</v>
      </c>
    </row>
    <row r="426" spans="1:16" ht="12.75">
      <c r="A426" s="4" t="s">
        <v>301</v>
      </c>
      <c r="B426" s="4" t="s">
        <v>770</v>
      </c>
      <c r="C426" s="4" t="s">
        <v>714</v>
      </c>
      <c r="D426" s="4">
        <v>36.145623000000001</v>
      </c>
      <c r="E426" s="4">
        <v>34.061762000000002</v>
      </c>
      <c r="F426" s="4" t="s">
        <v>770</v>
      </c>
      <c r="G426" s="4" t="s">
        <v>715</v>
      </c>
      <c r="H426" s="4" t="s">
        <v>690</v>
      </c>
      <c r="I426" s="4" t="s">
        <v>691</v>
      </c>
      <c r="J426" s="4" t="s">
        <v>758</v>
      </c>
      <c r="K426" s="4" t="s">
        <v>759</v>
      </c>
      <c r="L426" s="4" t="str">
        <f>VLOOKUP($K426,'Property names'!$A$1:$D$99,2,FALSE)</f>
        <v>The measure of the amount of water evaporated from a standardized reference surface, often used in agriculture for irrigation management.</v>
      </c>
      <c r="M426" s="4" t="str">
        <f>VLOOKUP($K426,'Property names'!$A$1:$D$99,3,FALSE)</f>
        <v>Millimeters per day</v>
      </c>
      <c r="N426" s="4" t="str">
        <f>VLOOKUP($K426,'Property names'!$A$1:$D$99,4,FALSE)</f>
        <v>mm/day</v>
      </c>
      <c r="O426" s="4" t="str">
        <f t="shared" si="8"/>
        <v>00204EB1_00204EB1_ET0</v>
      </c>
      <c r="P426" s="4" t="str">
        <f t="shared" si="9"/>
        <v>The datastream containing mesures of field 00204EB1 by sensor 00204EB1 which measures Reference evapotranspiration.</v>
      </c>
    </row>
    <row r="427" spans="1:16" ht="12.75">
      <c r="A427" s="4" t="s">
        <v>301</v>
      </c>
      <c r="B427" s="4" t="s">
        <v>770</v>
      </c>
      <c r="C427" s="4" t="s">
        <v>714</v>
      </c>
      <c r="D427" s="4">
        <v>36.145623000000001</v>
      </c>
      <c r="E427" s="4">
        <v>34.061762000000002</v>
      </c>
      <c r="F427" s="4" t="s">
        <v>770</v>
      </c>
      <c r="G427" s="4" t="s">
        <v>715</v>
      </c>
      <c r="H427" s="4" t="s">
        <v>690</v>
      </c>
      <c r="I427" s="4" t="s">
        <v>691</v>
      </c>
      <c r="J427" s="4" t="s">
        <v>736</v>
      </c>
      <c r="K427" s="4" t="s">
        <v>708</v>
      </c>
      <c r="L427" s="4" t="str">
        <f>VLOOKUP($K427,'Property names'!$A$1:$D$99,2,FALSE)</f>
        <v>The compass direction from which the wind is blowing.</v>
      </c>
      <c r="M427" s="4" t="str">
        <f>VLOOKUP($K427,'Property names'!$A$1:$D$99,3,FALSE)</f>
        <v>Degrees</v>
      </c>
      <c r="N427" s="4" t="str">
        <f>VLOOKUP($K427,'Property names'!$A$1:$D$99,4,FALSE)</f>
        <v>º</v>
      </c>
      <c r="O427" s="4" t="str">
        <f t="shared" si="8"/>
        <v>00204EB1_00204EB1_Wind_orientation</v>
      </c>
      <c r="P427" s="4" t="str">
        <f t="shared" si="9"/>
        <v>The datastream containing mesures of field 00204EB1 by sensor 00204EB1 which measures Wind Direction.</v>
      </c>
    </row>
    <row r="428" spans="1:16" ht="12.75">
      <c r="A428" s="4" t="s">
        <v>301</v>
      </c>
      <c r="B428" s="4" t="s">
        <v>770</v>
      </c>
      <c r="C428" s="4" t="s">
        <v>714</v>
      </c>
      <c r="D428" s="4">
        <v>36.145623000000001</v>
      </c>
      <c r="E428" s="4">
        <v>34.061762000000002</v>
      </c>
      <c r="F428" s="4" t="s">
        <v>770</v>
      </c>
      <c r="G428" s="4" t="s">
        <v>715</v>
      </c>
      <c r="H428" s="4" t="s">
        <v>690</v>
      </c>
      <c r="I428" s="4" t="s">
        <v>691</v>
      </c>
      <c r="J428" s="4" t="s">
        <v>737</v>
      </c>
      <c r="K428" s="4" t="s">
        <v>737</v>
      </c>
      <c r="L428" s="4" t="str">
        <f>VLOOKUP($K428,'Property names'!$A$1:$D$99,2,FALSE)</f>
        <v>The point in time at the middle of the night, commonly defined as 12:00 AM.</v>
      </c>
      <c r="M428" s="4" t="str">
        <f>VLOOKUP($K428,'Property names'!$A$1:$D$99,3,FALSE)</f>
        <v>-</v>
      </c>
      <c r="N428" s="4" t="str">
        <f>VLOOKUP($K428,'Property names'!$A$1:$D$99,4,FALSE)</f>
        <v>-</v>
      </c>
      <c r="O428" s="4" t="str">
        <f t="shared" si="8"/>
        <v>00204EB1_00204EB1_Midnight</v>
      </c>
      <c r="P428" s="4" t="str">
        <f t="shared" si="9"/>
        <v>The datastream containing mesures of field 00204EB1 by sensor 00204EB1 which measures Midnight.</v>
      </c>
    </row>
    <row r="429" spans="1:16" ht="12.75">
      <c r="A429" s="4" t="s">
        <v>301</v>
      </c>
      <c r="B429" s="4" t="s">
        <v>789</v>
      </c>
      <c r="C429" s="4" t="s">
        <v>714</v>
      </c>
      <c r="D429" s="4">
        <v>35.910629999999998</v>
      </c>
      <c r="E429" s="4">
        <v>33.815888000000001</v>
      </c>
      <c r="F429" s="4" t="s">
        <v>789</v>
      </c>
      <c r="G429" s="4" t="s">
        <v>715</v>
      </c>
      <c r="H429" s="4" t="s">
        <v>690</v>
      </c>
      <c r="I429" s="4" t="s">
        <v>691</v>
      </c>
      <c r="J429" s="4" t="s">
        <v>718</v>
      </c>
      <c r="K429" s="4" t="s">
        <v>701</v>
      </c>
      <c r="L429" s="4" t="str">
        <f>VLOOKUP($K429,'Property names'!$A$1:$D$99,2,FALSE)</f>
        <v>Any form of water, liquid or solid, falling from the sky, such as rain, snow, or sleet.</v>
      </c>
      <c r="M429" s="4" t="str">
        <f>VLOOKUP($K429,'Property names'!$A$1:$D$99,3,FALSE)</f>
        <v>Millimeters</v>
      </c>
      <c r="N429" s="4" t="str">
        <f>VLOOKUP($K429,'Property names'!$A$1:$D$99,4,FALSE)</f>
        <v>mm</v>
      </c>
      <c r="O429" s="4" t="str">
        <f t="shared" si="8"/>
        <v>000008D6_000008D6_Precipitation_sum</v>
      </c>
      <c r="P429" s="4" t="str">
        <f t="shared" si="9"/>
        <v>The datastream containing mesures of field 000008D6 by sensor 000008D6 which measures Precipitation.</v>
      </c>
    </row>
    <row r="430" spans="1:16" ht="12.75">
      <c r="A430" s="4" t="s">
        <v>301</v>
      </c>
      <c r="B430" s="4" t="s">
        <v>789</v>
      </c>
      <c r="C430" s="4" t="s">
        <v>714</v>
      </c>
      <c r="D430" s="4">
        <v>35.910629999999998</v>
      </c>
      <c r="E430" s="4">
        <v>33.815888000000001</v>
      </c>
      <c r="F430" s="4" t="s">
        <v>789</v>
      </c>
      <c r="G430" s="4" t="s">
        <v>715</v>
      </c>
      <c r="H430" s="4" t="s">
        <v>690</v>
      </c>
      <c r="I430" s="4" t="s">
        <v>691</v>
      </c>
      <c r="J430" s="4" t="s">
        <v>721</v>
      </c>
      <c r="K430" s="4" t="s">
        <v>647</v>
      </c>
      <c r="L430" s="4" t="str">
        <f>VLOOKUP($K430,'Property names'!$A$1:$D$99,2,FALSE)</f>
        <v>The percentage of battery level associated to the specific sensor.</v>
      </c>
      <c r="M430" s="4" t="str">
        <f>VLOOKUP($K430,'Property names'!$A$1:$D$99,3,FALSE)</f>
        <v>Percentage</v>
      </c>
      <c r="N430" s="4" t="str">
        <f>VLOOKUP($K430,'Property names'!$A$1:$D$99,4,FALSE)</f>
        <v>%</v>
      </c>
      <c r="O430" s="4" t="str">
        <f t="shared" si="8"/>
        <v>000008D6_000008D6_Battery_last</v>
      </c>
      <c r="P430" s="4" t="str">
        <f t="shared" si="9"/>
        <v>The datastream containing mesures of field 000008D6 by sensor 000008D6 which measures Battery Level.</v>
      </c>
    </row>
    <row r="431" spans="1:16" ht="12.75">
      <c r="A431" s="4" t="s">
        <v>301</v>
      </c>
      <c r="B431" s="4" t="s">
        <v>789</v>
      </c>
      <c r="C431" s="4" t="s">
        <v>714</v>
      </c>
      <c r="D431" s="4">
        <v>35.910629999999998</v>
      </c>
      <c r="E431" s="4">
        <v>33.815888000000001</v>
      </c>
      <c r="F431" s="4" t="s">
        <v>789</v>
      </c>
      <c r="G431" s="4" t="s">
        <v>715</v>
      </c>
      <c r="H431" s="4" t="s">
        <v>690</v>
      </c>
      <c r="I431" s="4" t="s">
        <v>691</v>
      </c>
      <c r="J431" s="4" t="s">
        <v>722</v>
      </c>
      <c r="K431" s="4" t="s">
        <v>723</v>
      </c>
      <c r="L431" s="4" t="str">
        <f>VLOOKUP($K431,'Property names'!$A$1:$D$99,2,FALSE)</f>
        <v>The presence of moisture on the surface of plant leaves, often indicating favorable conditions for disease development.</v>
      </c>
      <c r="M431" s="4" t="str">
        <f>VLOOKUP($K431,'Property names'!$A$1:$D$99,3,FALSE)</f>
        <v>-</v>
      </c>
      <c r="N431" s="4" t="str">
        <f>VLOOKUP($K431,'Property names'!$A$1:$D$99,4,FALSE)</f>
        <v>-</v>
      </c>
      <c r="O431" s="4" t="str">
        <f t="shared" si="8"/>
        <v>000008D6_000008D6_Leaf_Wetness_time</v>
      </c>
      <c r="P431" s="4" t="str">
        <f t="shared" si="9"/>
        <v>The datastream containing mesures of field 000008D6 by sensor 000008D6 which measures Leaf Wetness.</v>
      </c>
    </row>
    <row r="432" spans="1:16" ht="12.75">
      <c r="A432" s="4" t="s">
        <v>301</v>
      </c>
      <c r="B432" s="4" t="s">
        <v>789</v>
      </c>
      <c r="C432" s="4" t="s">
        <v>714</v>
      </c>
      <c r="D432" s="4">
        <v>35.910629999999998</v>
      </c>
      <c r="E432" s="4">
        <v>33.815888000000001</v>
      </c>
      <c r="F432" s="4" t="s">
        <v>789</v>
      </c>
      <c r="G432" s="4" t="s">
        <v>715</v>
      </c>
      <c r="H432" s="4" t="s">
        <v>690</v>
      </c>
      <c r="I432" s="4" t="s">
        <v>691</v>
      </c>
      <c r="J432" s="4" t="s">
        <v>724</v>
      </c>
      <c r="K432" s="4" t="s">
        <v>638</v>
      </c>
      <c r="L432" s="4" t="str">
        <f>VLOOKUP($K432,'Property names'!$A$1:$D$99,2,FALSE)</f>
        <v>The measure of the hotness or coldness of the air.</v>
      </c>
      <c r="M432" s="4" t="str">
        <f>VLOOKUP($K432,'Property names'!$A$1:$D$99,3,FALSE)</f>
        <v>Degrees Celsius</v>
      </c>
      <c r="N432" s="4" t="str">
        <f>VLOOKUP($K432,'Property names'!$A$1:$D$99,4,FALSE)</f>
        <v>ºC</v>
      </c>
      <c r="O432" s="4" t="str">
        <f t="shared" si="8"/>
        <v>000008D6_000008D6_HC_Air_temperature_avg</v>
      </c>
      <c r="P432" s="4" t="str">
        <f t="shared" si="9"/>
        <v>The datastream containing mesures of field 000008D6 by sensor 000008D6 which measures Air Temperature.</v>
      </c>
    </row>
    <row r="433" spans="1:16" ht="12.75">
      <c r="A433" s="4" t="s">
        <v>301</v>
      </c>
      <c r="B433" s="4" t="s">
        <v>789</v>
      </c>
      <c r="C433" s="4" t="s">
        <v>714</v>
      </c>
      <c r="D433" s="4">
        <v>35.910629999999998</v>
      </c>
      <c r="E433" s="4">
        <v>33.815888000000001</v>
      </c>
      <c r="F433" s="4" t="s">
        <v>789</v>
      </c>
      <c r="G433" s="4" t="s">
        <v>715</v>
      </c>
      <c r="H433" s="4" t="s">
        <v>690</v>
      </c>
      <c r="I433" s="4" t="s">
        <v>691</v>
      </c>
      <c r="J433" s="4" t="s">
        <v>725</v>
      </c>
      <c r="K433" s="4" t="s">
        <v>638</v>
      </c>
      <c r="L433" s="4" t="str">
        <f>VLOOKUP($K433,'Property names'!$A$1:$D$99,2,FALSE)</f>
        <v>The measure of the hotness or coldness of the air.</v>
      </c>
      <c r="M433" s="4" t="str">
        <f>VLOOKUP($K433,'Property names'!$A$1:$D$99,3,FALSE)</f>
        <v>Degrees Celsius</v>
      </c>
      <c r="N433" s="4" t="str">
        <f>VLOOKUP($K433,'Property names'!$A$1:$D$99,4,FALSE)</f>
        <v>ºC</v>
      </c>
      <c r="O433" s="4" t="str">
        <f t="shared" si="8"/>
        <v>000008D6_000008D6_HC_Air_temperature_max</v>
      </c>
      <c r="P433" s="4" t="str">
        <f t="shared" si="9"/>
        <v>The datastream containing mesures of field 000008D6 by sensor 000008D6 which measures Air Temperature.</v>
      </c>
    </row>
    <row r="434" spans="1:16" ht="12.75">
      <c r="A434" s="4" t="s">
        <v>301</v>
      </c>
      <c r="B434" s="4" t="s">
        <v>789</v>
      </c>
      <c r="C434" s="4" t="s">
        <v>714</v>
      </c>
      <c r="D434" s="4">
        <v>35.910629999999998</v>
      </c>
      <c r="E434" s="4">
        <v>33.815888000000001</v>
      </c>
      <c r="F434" s="4" t="s">
        <v>789</v>
      </c>
      <c r="G434" s="4" t="s">
        <v>715</v>
      </c>
      <c r="H434" s="4" t="s">
        <v>690</v>
      </c>
      <c r="I434" s="4" t="s">
        <v>691</v>
      </c>
      <c r="J434" s="4" t="s">
        <v>726</v>
      </c>
      <c r="K434" s="4" t="s">
        <v>638</v>
      </c>
      <c r="L434" s="4" t="str">
        <f>VLOOKUP($K434,'Property names'!$A$1:$D$99,2,FALSE)</f>
        <v>The measure of the hotness or coldness of the air.</v>
      </c>
      <c r="M434" s="4" t="str">
        <f>VLOOKUP($K434,'Property names'!$A$1:$D$99,3,FALSE)</f>
        <v>Degrees Celsius</v>
      </c>
      <c r="N434" s="4" t="str">
        <f>VLOOKUP($K434,'Property names'!$A$1:$D$99,4,FALSE)</f>
        <v>ºC</v>
      </c>
      <c r="O434" s="4" t="str">
        <f t="shared" si="8"/>
        <v>000008D6_000008D6_HC_Air_temperature_min</v>
      </c>
      <c r="P434" s="4" t="str">
        <f t="shared" si="9"/>
        <v>The datastream containing mesures of field 000008D6 by sensor 000008D6 which measures Air Temperature.</v>
      </c>
    </row>
    <row r="435" spans="1:16" ht="12.75">
      <c r="A435" s="4" t="s">
        <v>301</v>
      </c>
      <c r="B435" s="4" t="s">
        <v>789</v>
      </c>
      <c r="C435" s="4" t="s">
        <v>714</v>
      </c>
      <c r="D435" s="4">
        <v>35.910629999999998</v>
      </c>
      <c r="E435" s="4">
        <v>33.815888000000001</v>
      </c>
      <c r="F435" s="4" t="s">
        <v>789</v>
      </c>
      <c r="G435" s="4" t="s">
        <v>715</v>
      </c>
      <c r="H435" s="4" t="s">
        <v>690</v>
      </c>
      <c r="I435" s="4" t="s">
        <v>691</v>
      </c>
      <c r="J435" s="4" t="s">
        <v>727</v>
      </c>
      <c r="K435" s="4" t="s">
        <v>640</v>
      </c>
      <c r="L435" s="4" t="str">
        <f>VLOOKUP($K435,'Property names'!$A$1:$D$99,2,FALSE)</f>
        <v>The amount of moisture or water vapor present in the air, often expressed as a percentage of the maximum amount the air could hold at a given temperature.</v>
      </c>
      <c r="M435" s="4" t="str">
        <f>VLOOKUP($K435,'Property names'!$A$1:$D$99,3,FALSE)</f>
        <v>Percentage</v>
      </c>
      <c r="N435" s="4" t="str">
        <f>VLOOKUP($K435,'Property names'!$A$1:$D$99,4,FALSE)</f>
        <v>%</v>
      </c>
      <c r="O435" s="4" t="str">
        <f t="shared" si="8"/>
        <v>000008D6_000008D6_HC_Relative_humidity_avg</v>
      </c>
      <c r="P435" s="4" t="str">
        <f t="shared" si="9"/>
        <v>The datastream containing mesures of field 000008D6 by sensor 000008D6 which measures Air Humidity.</v>
      </c>
    </row>
    <row r="436" spans="1:16" ht="12.75">
      <c r="A436" s="4" t="s">
        <v>301</v>
      </c>
      <c r="B436" s="4" t="s">
        <v>789</v>
      </c>
      <c r="C436" s="4" t="s">
        <v>714</v>
      </c>
      <c r="D436" s="4">
        <v>35.910629999999998</v>
      </c>
      <c r="E436" s="4">
        <v>33.815888000000001</v>
      </c>
      <c r="F436" s="4" t="s">
        <v>789</v>
      </c>
      <c r="G436" s="4" t="s">
        <v>715</v>
      </c>
      <c r="H436" s="4" t="s">
        <v>690</v>
      </c>
      <c r="I436" s="4" t="s">
        <v>691</v>
      </c>
      <c r="J436" s="4" t="s">
        <v>728</v>
      </c>
      <c r="K436" s="4" t="s">
        <v>640</v>
      </c>
      <c r="L436" s="4" t="str">
        <f>VLOOKUP($K436,'Property names'!$A$1:$D$99,2,FALSE)</f>
        <v>The amount of moisture or water vapor present in the air, often expressed as a percentage of the maximum amount the air could hold at a given temperature.</v>
      </c>
      <c r="M436" s="4" t="str">
        <f>VLOOKUP($K436,'Property names'!$A$1:$D$99,3,FALSE)</f>
        <v>Percentage</v>
      </c>
      <c r="N436" s="4" t="str">
        <f>VLOOKUP($K436,'Property names'!$A$1:$D$99,4,FALSE)</f>
        <v>%</v>
      </c>
      <c r="O436" s="4" t="str">
        <f t="shared" si="8"/>
        <v>000008D6_000008D6_HC_Relative_humidity_max</v>
      </c>
      <c r="P436" s="4" t="str">
        <f t="shared" si="9"/>
        <v>The datastream containing mesures of field 000008D6 by sensor 000008D6 which measures Air Humidity.</v>
      </c>
    </row>
    <row r="437" spans="1:16" ht="12.75">
      <c r="A437" s="4" t="s">
        <v>301</v>
      </c>
      <c r="B437" s="4" t="s">
        <v>789</v>
      </c>
      <c r="C437" s="4" t="s">
        <v>714</v>
      </c>
      <c r="D437" s="4">
        <v>35.910629999999998</v>
      </c>
      <c r="E437" s="4">
        <v>33.815888000000001</v>
      </c>
      <c r="F437" s="4" t="s">
        <v>789</v>
      </c>
      <c r="G437" s="4" t="s">
        <v>715</v>
      </c>
      <c r="H437" s="4" t="s">
        <v>690</v>
      </c>
      <c r="I437" s="4" t="s">
        <v>691</v>
      </c>
      <c r="J437" s="4" t="s">
        <v>729</v>
      </c>
      <c r="K437" s="4" t="s">
        <v>640</v>
      </c>
      <c r="L437" s="4" t="str">
        <f>VLOOKUP($K437,'Property names'!$A$1:$D$99,2,FALSE)</f>
        <v>The amount of moisture or water vapor present in the air, often expressed as a percentage of the maximum amount the air could hold at a given temperature.</v>
      </c>
      <c r="M437" s="4" t="str">
        <f>VLOOKUP($K437,'Property names'!$A$1:$D$99,3,FALSE)</f>
        <v>Percentage</v>
      </c>
      <c r="N437" s="4" t="str">
        <f>VLOOKUP($K437,'Property names'!$A$1:$D$99,4,FALSE)</f>
        <v>%</v>
      </c>
      <c r="O437" s="4" t="str">
        <f t="shared" si="8"/>
        <v>000008D6_000008D6_HC_Relative_humidity_min</v>
      </c>
      <c r="P437" s="4" t="str">
        <f t="shared" si="9"/>
        <v>The datastream containing mesures of field 000008D6 by sensor 000008D6 which measures Air Humidity.</v>
      </c>
    </row>
    <row r="438" spans="1:16" ht="12.75">
      <c r="A438" s="4" t="s">
        <v>301</v>
      </c>
      <c r="B438" s="4" t="s">
        <v>789</v>
      </c>
      <c r="C438" s="4" t="s">
        <v>714</v>
      </c>
      <c r="D438" s="4">
        <v>35.910629999999998</v>
      </c>
      <c r="E438" s="4">
        <v>33.815888000000001</v>
      </c>
      <c r="F438" s="4" t="s">
        <v>789</v>
      </c>
      <c r="G438" s="4" t="s">
        <v>715</v>
      </c>
      <c r="H438" s="4" t="s">
        <v>690</v>
      </c>
      <c r="I438" s="4" t="s">
        <v>691</v>
      </c>
      <c r="J438" s="4" t="s">
        <v>730</v>
      </c>
      <c r="K438" s="4" t="s">
        <v>731</v>
      </c>
      <c r="L438" s="4" t="str">
        <f>VLOOKUP($K438,'Property names'!$A$1:$D$99,2,FALSE)</f>
        <v>The temperature at which air becomes saturated with moisture, leading to the formation of dew or condensation.</v>
      </c>
      <c r="M438" s="4" t="str">
        <f>VLOOKUP($K438,'Property names'!$A$1:$D$99,3,FALSE)</f>
        <v>Degrees Celsius</v>
      </c>
      <c r="N438" s="4" t="str">
        <f>VLOOKUP($K438,'Property names'!$A$1:$D$99,4,FALSE)</f>
        <v>ºC</v>
      </c>
      <c r="O438" s="4" t="str">
        <f t="shared" si="8"/>
        <v>000008D6_000008D6_Dew_Point_avg</v>
      </c>
      <c r="P438" s="4" t="str">
        <f t="shared" si="9"/>
        <v>The datastream containing mesures of field 000008D6 by sensor 000008D6 which measures Dew Point.</v>
      </c>
    </row>
    <row r="439" spans="1:16" ht="12.75">
      <c r="A439" s="4" t="s">
        <v>301</v>
      </c>
      <c r="B439" s="4" t="s">
        <v>789</v>
      </c>
      <c r="C439" s="4" t="s">
        <v>714</v>
      </c>
      <c r="D439" s="4">
        <v>35.910629999999998</v>
      </c>
      <c r="E439" s="4">
        <v>33.815888000000001</v>
      </c>
      <c r="F439" s="4" t="s">
        <v>789</v>
      </c>
      <c r="G439" s="4" t="s">
        <v>715</v>
      </c>
      <c r="H439" s="4" t="s">
        <v>690</v>
      </c>
      <c r="I439" s="4" t="s">
        <v>691</v>
      </c>
      <c r="J439" s="4" t="s">
        <v>732</v>
      </c>
      <c r="K439" s="4" t="s">
        <v>731</v>
      </c>
      <c r="L439" s="4" t="str">
        <f>VLOOKUP($K439,'Property names'!$A$1:$D$99,2,FALSE)</f>
        <v>The temperature at which air becomes saturated with moisture, leading to the formation of dew or condensation.</v>
      </c>
      <c r="M439" s="4" t="str">
        <f>VLOOKUP($K439,'Property names'!$A$1:$D$99,3,FALSE)</f>
        <v>Degrees Celsius</v>
      </c>
      <c r="N439" s="4" t="str">
        <f>VLOOKUP($K439,'Property names'!$A$1:$D$99,4,FALSE)</f>
        <v>ºC</v>
      </c>
      <c r="O439" s="4" t="str">
        <f t="shared" si="8"/>
        <v>000008D6_000008D6_Dew_Point_min</v>
      </c>
      <c r="P439" s="4" t="str">
        <f t="shared" si="9"/>
        <v>The datastream containing mesures of field 000008D6 by sensor 000008D6 which measures Dew Point.</v>
      </c>
    </row>
    <row r="440" spans="1:16" ht="12.75">
      <c r="A440" s="4" t="s">
        <v>301</v>
      </c>
      <c r="B440" s="4" t="s">
        <v>789</v>
      </c>
      <c r="C440" s="4" t="s">
        <v>714</v>
      </c>
      <c r="D440" s="4">
        <v>35.910629999999998</v>
      </c>
      <c r="E440" s="4">
        <v>33.815888000000001</v>
      </c>
      <c r="F440" s="4" t="s">
        <v>789</v>
      </c>
      <c r="G440" s="4" t="s">
        <v>715</v>
      </c>
      <c r="H440" s="4" t="s">
        <v>690</v>
      </c>
      <c r="I440" s="4" t="s">
        <v>691</v>
      </c>
      <c r="J440" s="4" t="s">
        <v>790</v>
      </c>
      <c r="K440" s="4" t="s">
        <v>791</v>
      </c>
      <c r="L440" s="4" t="str">
        <f>VLOOKUP($K440,'Property names'!$A$1:$D$99,2,FALSE)</f>
        <v>Device used to measure the surface tension of a liquid, typically by observing the height to which the liquid rises in a fine tube against the force of gravity.</v>
      </c>
      <c r="M440" s="4" t="str">
        <f>VLOOKUP($K440,'Property names'!$A$1:$D$99,3,FALSE)</f>
        <v>Newtons per meter</v>
      </c>
      <c r="N440" s="4" t="str">
        <f>VLOOKUP($K440,'Property names'!$A$1:$D$99,4,FALSE)</f>
        <v>N/m</v>
      </c>
      <c r="O440" s="4" t="str">
        <f t="shared" si="8"/>
        <v>000008D6_000008D6_Tensiometer_avg</v>
      </c>
      <c r="P440" s="4" t="str">
        <f t="shared" si="9"/>
        <v>The datastream containing mesures of field 000008D6 by sensor 000008D6 which measures Tensiometer.</v>
      </c>
    </row>
    <row r="441" spans="1:16" ht="12.75">
      <c r="A441" s="4" t="s">
        <v>301</v>
      </c>
      <c r="B441" s="4" t="s">
        <v>789</v>
      </c>
      <c r="C441" s="4" t="s">
        <v>714</v>
      </c>
      <c r="D441" s="4">
        <v>35.910629999999998</v>
      </c>
      <c r="E441" s="4">
        <v>33.815888000000001</v>
      </c>
      <c r="F441" s="4" t="s">
        <v>789</v>
      </c>
      <c r="G441" s="4" t="s">
        <v>715</v>
      </c>
      <c r="H441" s="4" t="s">
        <v>690</v>
      </c>
      <c r="I441" s="4" t="s">
        <v>691</v>
      </c>
      <c r="J441" s="4" t="s">
        <v>792</v>
      </c>
      <c r="K441" s="4" t="s">
        <v>791</v>
      </c>
      <c r="L441" s="4" t="str">
        <f>VLOOKUP($K441,'Property names'!$A$1:$D$99,2,FALSE)</f>
        <v>Device used to measure the surface tension of a liquid, typically by observing the height to which the liquid rises in a fine tube against the force of gravity.</v>
      </c>
      <c r="M441" s="4" t="str">
        <f>VLOOKUP($K441,'Property names'!$A$1:$D$99,3,FALSE)</f>
        <v>Newtons per meter</v>
      </c>
      <c r="N441" s="4" t="str">
        <f>VLOOKUP($K441,'Property names'!$A$1:$D$99,4,FALSE)</f>
        <v>N/m</v>
      </c>
      <c r="O441" s="4" t="str">
        <f t="shared" si="8"/>
        <v>000008D6_000008D6_Tensiometer_max</v>
      </c>
      <c r="P441" s="4" t="str">
        <f t="shared" si="9"/>
        <v>The datastream containing mesures of field 000008D6 by sensor 000008D6 which measures Tensiometer.</v>
      </c>
    </row>
    <row r="442" spans="1:16" ht="12.75">
      <c r="A442" s="4" t="s">
        <v>301</v>
      </c>
      <c r="B442" s="4" t="s">
        <v>789</v>
      </c>
      <c r="C442" s="4" t="s">
        <v>714</v>
      </c>
      <c r="D442" s="4">
        <v>35.910629999999998</v>
      </c>
      <c r="E442" s="4">
        <v>33.815888000000001</v>
      </c>
      <c r="F442" s="4" t="s">
        <v>789</v>
      </c>
      <c r="G442" s="4" t="s">
        <v>715</v>
      </c>
      <c r="H442" s="4" t="s">
        <v>690</v>
      </c>
      <c r="I442" s="4" t="s">
        <v>691</v>
      </c>
      <c r="J442" s="4" t="s">
        <v>793</v>
      </c>
      <c r="K442" s="4" t="s">
        <v>791</v>
      </c>
      <c r="L442" s="4" t="str">
        <f>VLOOKUP($K442,'Property names'!$A$1:$D$99,2,FALSE)</f>
        <v>Device used to measure the surface tension of a liquid, typically by observing the height to which the liquid rises in a fine tube against the force of gravity.</v>
      </c>
      <c r="M442" s="4" t="str">
        <f>VLOOKUP($K442,'Property names'!$A$1:$D$99,3,FALSE)</f>
        <v>Newtons per meter</v>
      </c>
      <c r="N442" s="4" t="str">
        <f>VLOOKUP($K442,'Property names'!$A$1:$D$99,4,FALSE)</f>
        <v>N/m</v>
      </c>
      <c r="O442" s="4" t="str">
        <f t="shared" si="8"/>
        <v>000008D6_000008D6_Tensiometer_min</v>
      </c>
      <c r="P442" s="4" t="str">
        <f t="shared" si="9"/>
        <v>The datastream containing mesures of field 000008D6 by sensor 000008D6 which measures Tensiometer.</v>
      </c>
    </row>
    <row r="443" spans="1:16" ht="12.75">
      <c r="A443" s="4" t="s">
        <v>301</v>
      </c>
      <c r="B443" s="4" t="s">
        <v>789</v>
      </c>
      <c r="C443" s="4" t="s">
        <v>714</v>
      </c>
      <c r="D443" s="4">
        <v>35.910629999999998</v>
      </c>
      <c r="E443" s="4">
        <v>33.815888000000001</v>
      </c>
      <c r="F443" s="4" t="s">
        <v>789</v>
      </c>
      <c r="G443" s="4" t="s">
        <v>715</v>
      </c>
      <c r="H443" s="4" t="s">
        <v>690</v>
      </c>
      <c r="I443" s="4" t="s">
        <v>691</v>
      </c>
      <c r="J443" s="4" t="s">
        <v>794</v>
      </c>
      <c r="K443" s="4" t="s">
        <v>665</v>
      </c>
      <c r="L443" s="4" t="str">
        <f>VLOOKUP($K443,'Property names'!$A$1:$D$99,2,FALSE)</f>
        <v>A warning in case of water leak detected</v>
      </c>
      <c r="M443" s="4" t="str">
        <f>VLOOKUP($K443,'Property names'!$A$1:$D$99,3,FALSE)</f>
        <v>True / False</v>
      </c>
      <c r="N443" s="4" t="str">
        <f>VLOOKUP($K443,'Property names'!$A$1:$D$99,4,FALSE)</f>
        <v>N/A</v>
      </c>
      <c r="O443" s="4" t="str">
        <f t="shared" si="8"/>
        <v>000008D6_000008D6_Watermark_avg</v>
      </c>
      <c r="P443" s="4" t="str">
        <f t="shared" si="9"/>
        <v>The datastream containing mesures of field 000008D6 by sensor 000008D6 which measures Leak warning.</v>
      </c>
    </row>
    <row r="444" spans="1:16" ht="12.75">
      <c r="A444" s="4" t="s">
        <v>301</v>
      </c>
      <c r="B444" s="4" t="s">
        <v>789</v>
      </c>
      <c r="C444" s="4" t="s">
        <v>714</v>
      </c>
      <c r="D444" s="4">
        <v>35.910629999999998</v>
      </c>
      <c r="E444" s="4">
        <v>33.815888000000001</v>
      </c>
      <c r="F444" s="4" t="s">
        <v>789</v>
      </c>
      <c r="G444" s="4" t="s">
        <v>715</v>
      </c>
      <c r="H444" s="4" t="s">
        <v>690</v>
      </c>
      <c r="I444" s="4" t="s">
        <v>691</v>
      </c>
      <c r="J444" s="4" t="s">
        <v>737</v>
      </c>
      <c r="K444" s="4" t="s">
        <v>737</v>
      </c>
      <c r="L444" s="4" t="str">
        <f>VLOOKUP($K444,'Property names'!$A$1:$D$99,2,FALSE)</f>
        <v>The point in time at the middle of the night, commonly defined as 12:00 AM.</v>
      </c>
      <c r="M444" s="4" t="str">
        <f>VLOOKUP($K444,'Property names'!$A$1:$D$99,3,FALSE)</f>
        <v>-</v>
      </c>
      <c r="N444" s="4" t="str">
        <f>VLOOKUP($K444,'Property names'!$A$1:$D$99,4,FALSE)</f>
        <v>-</v>
      </c>
      <c r="O444" s="4" t="str">
        <f t="shared" si="8"/>
        <v>000008D6_000008D6_Midnight</v>
      </c>
      <c r="P444" s="4" t="str">
        <f t="shared" si="9"/>
        <v>The datastream containing mesures of field 000008D6 by sensor 000008D6 which measures Midnight.</v>
      </c>
    </row>
    <row r="445" spans="1:16" ht="12.75">
      <c r="A445" s="4" t="s">
        <v>301</v>
      </c>
      <c r="B445" s="148" t="s">
        <v>795</v>
      </c>
      <c r="C445" s="4" t="s">
        <v>714</v>
      </c>
      <c r="D445" s="4">
        <v>36.085245</v>
      </c>
      <c r="E445" s="4">
        <v>34.154980000000002</v>
      </c>
      <c r="F445" s="148" t="s">
        <v>795</v>
      </c>
      <c r="G445" s="4" t="s">
        <v>715</v>
      </c>
      <c r="H445" s="4" t="s">
        <v>690</v>
      </c>
      <c r="I445" s="4" t="s">
        <v>691</v>
      </c>
      <c r="J445" s="4" t="s">
        <v>718</v>
      </c>
      <c r="K445" s="4" t="s">
        <v>701</v>
      </c>
      <c r="L445" s="4" t="str">
        <f>VLOOKUP($K445,'Property names'!$A$1:$D$99,2,FALSE)</f>
        <v>Any form of water, liquid or solid, falling from the sky, such as rain, snow, or sleet.</v>
      </c>
      <c r="M445" s="4" t="str">
        <f>VLOOKUP($K445,'Property names'!$A$1:$D$99,3,FALSE)</f>
        <v>Millimeters</v>
      </c>
      <c r="N445" s="4" t="str">
        <f>VLOOKUP($K445,'Property names'!$A$1:$D$99,4,FALSE)</f>
        <v>mm</v>
      </c>
      <c r="O445" s="4" t="str">
        <f t="shared" si="8"/>
        <v>000008E5_000008E5_Precipitation_sum</v>
      </c>
      <c r="P445" s="4" t="str">
        <f t="shared" si="9"/>
        <v>The datastream containing mesures of field 000008E5 by sensor 000008E5 which measures Precipitation.</v>
      </c>
    </row>
    <row r="446" spans="1:16" ht="12.75">
      <c r="A446" s="4" t="s">
        <v>301</v>
      </c>
      <c r="B446" s="148" t="s">
        <v>795</v>
      </c>
      <c r="C446" s="4" t="s">
        <v>714</v>
      </c>
      <c r="D446" s="4">
        <v>36.085245</v>
      </c>
      <c r="E446" s="4">
        <v>34.154980000000002</v>
      </c>
      <c r="F446" s="148" t="s">
        <v>795</v>
      </c>
      <c r="G446" s="4" t="s">
        <v>715</v>
      </c>
      <c r="H446" s="4" t="s">
        <v>690</v>
      </c>
      <c r="I446" s="4" t="s">
        <v>691</v>
      </c>
      <c r="J446" s="4" t="s">
        <v>721</v>
      </c>
      <c r="K446" s="4" t="s">
        <v>647</v>
      </c>
      <c r="L446" s="4" t="str">
        <f>VLOOKUP($K446,'Property names'!$A$1:$D$99,2,FALSE)</f>
        <v>The percentage of battery level associated to the specific sensor.</v>
      </c>
      <c r="M446" s="4" t="str">
        <f>VLOOKUP($K446,'Property names'!$A$1:$D$99,3,FALSE)</f>
        <v>Percentage</v>
      </c>
      <c r="N446" s="4" t="str">
        <f>VLOOKUP($K446,'Property names'!$A$1:$D$99,4,FALSE)</f>
        <v>%</v>
      </c>
      <c r="O446" s="4" t="str">
        <f t="shared" si="8"/>
        <v>000008E5_000008E5_Battery_last</v>
      </c>
      <c r="P446" s="4" t="str">
        <f t="shared" si="9"/>
        <v>The datastream containing mesures of field 000008E5 by sensor 000008E5 which measures Battery Level.</v>
      </c>
    </row>
    <row r="447" spans="1:16" ht="12.75">
      <c r="A447" s="4" t="s">
        <v>301</v>
      </c>
      <c r="B447" s="148" t="s">
        <v>795</v>
      </c>
      <c r="C447" s="4" t="s">
        <v>714</v>
      </c>
      <c r="D447" s="4">
        <v>36.085245</v>
      </c>
      <c r="E447" s="4">
        <v>34.154980000000002</v>
      </c>
      <c r="F447" s="148" t="s">
        <v>795</v>
      </c>
      <c r="G447" s="4" t="s">
        <v>715</v>
      </c>
      <c r="H447" s="4" t="s">
        <v>690</v>
      </c>
      <c r="I447" s="4" t="s">
        <v>691</v>
      </c>
      <c r="J447" s="4" t="s">
        <v>722</v>
      </c>
      <c r="K447" s="4" t="s">
        <v>723</v>
      </c>
      <c r="L447" s="4" t="str">
        <f>VLOOKUP($K447,'Property names'!$A$1:$D$99,2,FALSE)</f>
        <v>The presence of moisture on the surface of plant leaves, often indicating favorable conditions for disease development.</v>
      </c>
      <c r="M447" s="4" t="str">
        <f>VLOOKUP($K447,'Property names'!$A$1:$D$99,3,FALSE)</f>
        <v>-</v>
      </c>
      <c r="N447" s="4" t="str">
        <f>VLOOKUP($K447,'Property names'!$A$1:$D$99,4,FALSE)</f>
        <v>-</v>
      </c>
      <c r="O447" s="4" t="str">
        <f t="shared" si="8"/>
        <v>000008E5_000008E5_Leaf_Wetness_time</v>
      </c>
      <c r="P447" s="4" t="str">
        <f t="shared" si="9"/>
        <v>The datastream containing mesures of field 000008E5 by sensor 000008E5 which measures Leaf Wetness.</v>
      </c>
    </row>
    <row r="448" spans="1:16" ht="12.75">
      <c r="A448" s="4" t="s">
        <v>301</v>
      </c>
      <c r="B448" s="148" t="s">
        <v>795</v>
      </c>
      <c r="C448" s="4" t="s">
        <v>714</v>
      </c>
      <c r="D448" s="4">
        <v>36.085245</v>
      </c>
      <c r="E448" s="4">
        <v>34.154980000000002</v>
      </c>
      <c r="F448" s="148" t="s">
        <v>795</v>
      </c>
      <c r="G448" s="4" t="s">
        <v>715</v>
      </c>
      <c r="H448" s="4" t="s">
        <v>690</v>
      </c>
      <c r="I448" s="4" t="s">
        <v>691</v>
      </c>
      <c r="J448" s="4" t="s">
        <v>724</v>
      </c>
      <c r="K448" s="4" t="s">
        <v>638</v>
      </c>
      <c r="L448" s="4" t="str">
        <f>VLOOKUP($K448,'Property names'!$A$1:$D$99,2,FALSE)</f>
        <v>The measure of the hotness or coldness of the air.</v>
      </c>
      <c r="M448" s="4" t="str">
        <f>VLOOKUP($K448,'Property names'!$A$1:$D$99,3,FALSE)</f>
        <v>Degrees Celsius</v>
      </c>
      <c r="N448" s="4" t="str">
        <f>VLOOKUP($K448,'Property names'!$A$1:$D$99,4,FALSE)</f>
        <v>ºC</v>
      </c>
      <c r="O448" s="4" t="str">
        <f t="shared" si="8"/>
        <v>000008E5_000008E5_HC_Air_temperature_avg</v>
      </c>
      <c r="P448" s="4" t="str">
        <f t="shared" si="9"/>
        <v>The datastream containing mesures of field 000008E5 by sensor 000008E5 which measures Air Temperature.</v>
      </c>
    </row>
    <row r="449" spans="1:16" ht="12.75">
      <c r="A449" s="4" t="s">
        <v>301</v>
      </c>
      <c r="B449" s="148" t="s">
        <v>795</v>
      </c>
      <c r="C449" s="4" t="s">
        <v>714</v>
      </c>
      <c r="D449" s="4">
        <v>36.085245</v>
      </c>
      <c r="E449" s="4">
        <v>34.154980000000002</v>
      </c>
      <c r="F449" s="148" t="s">
        <v>795</v>
      </c>
      <c r="G449" s="4" t="s">
        <v>715</v>
      </c>
      <c r="H449" s="4" t="s">
        <v>690</v>
      </c>
      <c r="I449" s="4" t="s">
        <v>691</v>
      </c>
      <c r="J449" s="4" t="s">
        <v>725</v>
      </c>
      <c r="K449" s="4" t="s">
        <v>638</v>
      </c>
      <c r="L449" s="4" t="str">
        <f>VLOOKUP($K449,'Property names'!$A$1:$D$99,2,FALSE)</f>
        <v>The measure of the hotness or coldness of the air.</v>
      </c>
      <c r="M449" s="4" t="str">
        <f>VLOOKUP($K449,'Property names'!$A$1:$D$99,3,FALSE)</f>
        <v>Degrees Celsius</v>
      </c>
      <c r="N449" s="4" t="str">
        <f>VLOOKUP($K449,'Property names'!$A$1:$D$99,4,FALSE)</f>
        <v>ºC</v>
      </c>
      <c r="O449" s="4" t="str">
        <f t="shared" si="8"/>
        <v>000008E5_000008E5_HC_Air_temperature_max</v>
      </c>
      <c r="P449" s="4" t="str">
        <f t="shared" si="9"/>
        <v>The datastream containing mesures of field 000008E5 by sensor 000008E5 which measures Air Temperature.</v>
      </c>
    </row>
    <row r="450" spans="1:16" ht="12.75">
      <c r="A450" s="4" t="s">
        <v>301</v>
      </c>
      <c r="B450" s="148" t="s">
        <v>795</v>
      </c>
      <c r="C450" s="4" t="s">
        <v>714</v>
      </c>
      <c r="D450" s="4">
        <v>36.085245</v>
      </c>
      <c r="E450" s="4">
        <v>34.154980000000002</v>
      </c>
      <c r="F450" s="148" t="s">
        <v>795</v>
      </c>
      <c r="G450" s="4" t="s">
        <v>715</v>
      </c>
      <c r="H450" s="4" t="s">
        <v>690</v>
      </c>
      <c r="I450" s="4" t="s">
        <v>691</v>
      </c>
      <c r="J450" s="4" t="s">
        <v>726</v>
      </c>
      <c r="K450" s="4" t="s">
        <v>638</v>
      </c>
      <c r="L450" s="4" t="str">
        <f>VLOOKUP($K450,'Property names'!$A$1:$D$99,2,FALSE)</f>
        <v>The measure of the hotness or coldness of the air.</v>
      </c>
      <c r="M450" s="4" t="str">
        <f>VLOOKUP($K450,'Property names'!$A$1:$D$99,3,FALSE)</f>
        <v>Degrees Celsius</v>
      </c>
      <c r="N450" s="4" t="str">
        <f>VLOOKUP($K450,'Property names'!$A$1:$D$99,4,FALSE)</f>
        <v>ºC</v>
      </c>
      <c r="O450" s="4" t="str">
        <f t="shared" si="8"/>
        <v>000008E5_000008E5_HC_Air_temperature_min</v>
      </c>
      <c r="P450" s="4" t="str">
        <f t="shared" si="9"/>
        <v>The datastream containing mesures of field 000008E5 by sensor 000008E5 which measures Air Temperature.</v>
      </c>
    </row>
    <row r="451" spans="1:16" ht="12.75">
      <c r="A451" s="4" t="s">
        <v>301</v>
      </c>
      <c r="B451" s="148" t="s">
        <v>795</v>
      </c>
      <c r="C451" s="4" t="s">
        <v>714</v>
      </c>
      <c r="D451" s="4">
        <v>36.085245</v>
      </c>
      <c r="E451" s="4">
        <v>34.154980000000002</v>
      </c>
      <c r="F451" s="148" t="s">
        <v>795</v>
      </c>
      <c r="G451" s="4" t="s">
        <v>715</v>
      </c>
      <c r="H451" s="4" t="s">
        <v>690</v>
      </c>
      <c r="I451" s="4" t="s">
        <v>691</v>
      </c>
      <c r="J451" s="4" t="s">
        <v>727</v>
      </c>
      <c r="K451" s="4" t="s">
        <v>640</v>
      </c>
      <c r="L451" s="4" t="str">
        <f>VLOOKUP($K451,'Property names'!$A$1:$D$99,2,FALSE)</f>
        <v>The amount of moisture or water vapor present in the air, often expressed as a percentage of the maximum amount the air could hold at a given temperature.</v>
      </c>
      <c r="M451" s="4" t="str">
        <f>VLOOKUP($K451,'Property names'!$A$1:$D$99,3,FALSE)</f>
        <v>Percentage</v>
      </c>
      <c r="N451" s="4" t="str">
        <f>VLOOKUP($K451,'Property names'!$A$1:$D$99,4,FALSE)</f>
        <v>%</v>
      </c>
      <c r="O451" s="4" t="str">
        <f t="shared" si="8"/>
        <v>000008E5_000008E5_HC_Relative_humidity_avg</v>
      </c>
      <c r="P451" s="4" t="str">
        <f t="shared" si="9"/>
        <v>The datastream containing mesures of field 000008E5 by sensor 000008E5 which measures Air Humidity.</v>
      </c>
    </row>
    <row r="452" spans="1:16" ht="12.75">
      <c r="A452" s="4" t="s">
        <v>301</v>
      </c>
      <c r="B452" s="148" t="s">
        <v>795</v>
      </c>
      <c r="C452" s="4" t="s">
        <v>714</v>
      </c>
      <c r="D452" s="4">
        <v>36.085245</v>
      </c>
      <c r="E452" s="4">
        <v>34.154980000000002</v>
      </c>
      <c r="F452" s="148" t="s">
        <v>795</v>
      </c>
      <c r="G452" s="4" t="s">
        <v>715</v>
      </c>
      <c r="H452" s="4" t="s">
        <v>690</v>
      </c>
      <c r="I452" s="4" t="s">
        <v>691</v>
      </c>
      <c r="J452" s="4" t="s">
        <v>728</v>
      </c>
      <c r="K452" s="4" t="s">
        <v>640</v>
      </c>
      <c r="L452" s="4" t="str">
        <f>VLOOKUP($K452,'Property names'!$A$1:$D$99,2,FALSE)</f>
        <v>The amount of moisture or water vapor present in the air, often expressed as a percentage of the maximum amount the air could hold at a given temperature.</v>
      </c>
      <c r="M452" s="4" t="str">
        <f>VLOOKUP($K452,'Property names'!$A$1:$D$99,3,FALSE)</f>
        <v>Percentage</v>
      </c>
      <c r="N452" s="4" t="str">
        <f>VLOOKUP($K452,'Property names'!$A$1:$D$99,4,FALSE)</f>
        <v>%</v>
      </c>
      <c r="O452" s="4" t="str">
        <f t="shared" si="8"/>
        <v>000008E5_000008E5_HC_Relative_humidity_max</v>
      </c>
      <c r="P452" s="4" t="str">
        <f t="shared" si="9"/>
        <v>The datastream containing mesures of field 000008E5 by sensor 000008E5 which measures Air Humidity.</v>
      </c>
    </row>
    <row r="453" spans="1:16" ht="12.75">
      <c r="A453" s="4" t="s">
        <v>301</v>
      </c>
      <c r="B453" s="148" t="s">
        <v>795</v>
      </c>
      <c r="C453" s="4" t="s">
        <v>714</v>
      </c>
      <c r="D453" s="4">
        <v>36.085245</v>
      </c>
      <c r="E453" s="4">
        <v>34.154980000000002</v>
      </c>
      <c r="F453" s="148" t="s">
        <v>795</v>
      </c>
      <c r="G453" s="4" t="s">
        <v>715</v>
      </c>
      <c r="H453" s="4" t="s">
        <v>690</v>
      </c>
      <c r="I453" s="4" t="s">
        <v>691</v>
      </c>
      <c r="J453" s="4" t="s">
        <v>729</v>
      </c>
      <c r="K453" s="4" t="s">
        <v>640</v>
      </c>
      <c r="L453" s="4" t="str">
        <f>VLOOKUP($K453,'Property names'!$A$1:$D$99,2,FALSE)</f>
        <v>The amount of moisture or water vapor present in the air, often expressed as a percentage of the maximum amount the air could hold at a given temperature.</v>
      </c>
      <c r="M453" s="4" t="str">
        <f>VLOOKUP($K453,'Property names'!$A$1:$D$99,3,FALSE)</f>
        <v>Percentage</v>
      </c>
      <c r="N453" s="4" t="str">
        <f>VLOOKUP($K453,'Property names'!$A$1:$D$99,4,FALSE)</f>
        <v>%</v>
      </c>
      <c r="O453" s="4" t="str">
        <f t="shared" si="8"/>
        <v>000008E5_000008E5_HC_Relative_humidity_min</v>
      </c>
      <c r="P453" s="4" t="str">
        <f t="shared" si="9"/>
        <v>The datastream containing mesures of field 000008E5 by sensor 000008E5 which measures Air Humidity.</v>
      </c>
    </row>
    <row r="454" spans="1:16" ht="12.75">
      <c r="A454" s="4" t="s">
        <v>301</v>
      </c>
      <c r="B454" s="148" t="s">
        <v>795</v>
      </c>
      <c r="C454" s="4" t="s">
        <v>714</v>
      </c>
      <c r="D454" s="4">
        <v>36.085245</v>
      </c>
      <c r="E454" s="4">
        <v>34.154980000000002</v>
      </c>
      <c r="F454" s="148" t="s">
        <v>795</v>
      </c>
      <c r="G454" s="4" t="s">
        <v>715</v>
      </c>
      <c r="H454" s="4" t="s">
        <v>690</v>
      </c>
      <c r="I454" s="4" t="s">
        <v>691</v>
      </c>
      <c r="J454" s="4" t="s">
        <v>730</v>
      </c>
      <c r="K454" s="4" t="s">
        <v>731</v>
      </c>
      <c r="L454" s="4" t="str">
        <f>VLOOKUP($K454,'Property names'!$A$1:$D$99,2,FALSE)</f>
        <v>The temperature at which air becomes saturated with moisture, leading to the formation of dew or condensation.</v>
      </c>
      <c r="M454" s="4" t="str">
        <f>VLOOKUP($K454,'Property names'!$A$1:$D$99,3,FALSE)</f>
        <v>Degrees Celsius</v>
      </c>
      <c r="N454" s="4" t="str">
        <f>VLOOKUP($K454,'Property names'!$A$1:$D$99,4,FALSE)</f>
        <v>ºC</v>
      </c>
      <c r="O454" s="4" t="str">
        <f t="shared" si="8"/>
        <v>000008E5_000008E5_Dew_Point_avg</v>
      </c>
      <c r="P454" s="4" t="str">
        <f t="shared" si="9"/>
        <v>The datastream containing mesures of field 000008E5 by sensor 000008E5 which measures Dew Point.</v>
      </c>
    </row>
    <row r="455" spans="1:16" ht="12.75">
      <c r="A455" s="4" t="s">
        <v>301</v>
      </c>
      <c r="B455" s="148" t="s">
        <v>795</v>
      </c>
      <c r="C455" s="4" t="s">
        <v>714</v>
      </c>
      <c r="D455" s="4">
        <v>36.085245</v>
      </c>
      <c r="E455" s="4">
        <v>34.154980000000002</v>
      </c>
      <c r="F455" s="148" t="s">
        <v>795</v>
      </c>
      <c r="G455" s="4" t="s">
        <v>715</v>
      </c>
      <c r="H455" s="4" t="s">
        <v>690</v>
      </c>
      <c r="I455" s="4" t="s">
        <v>691</v>
      </c>
      <c r="J455" s="4" t="s">
        <v>732</v>
      </c>
      <c r="K455" s="4" t="s">
        <v>731</v>
      </c>
      <c r="L455" s="4" t="str">
        <f>VLOOKUP($K455,'Property names'!$A$1:$D$99,2,FALSE)</f>
        <v>The temperature at which air becomes saturated with moisture, leading to the formation of dew or condensation.</v>
      </c>
      <c r="M455" s="4" t="str">
        <f>VLOOKUP($K455,'Property names'!$A$1:$D$99,3,FALSE)</f>
        <v>Degrees Celsius</v>
      </c>
      <c r="N455" s="4" t="str">
        <f>VLOOKUP($K455,'Property names'!$A$1:$D$99,4,FALSE)</f>
        <v>ºC</v>
      </c>
      <c r="O455" s="4" t="str">
        <f t="shared" si="8"/>
        <v>000008E5_000008E5_Dew_Point_min</v>
      </c>
      <c r="P455" s="4" t="str">
        <f t="shared" si="9"/>
        <v>The datastream containing mesures of field 000008E5 by sensor 000008E5 which measures Dew Point.</v>
      </c>
    </row>
    <row r="456" spans="1:16" ht="12.75">
      <c r="A456" s="4" t="s">
        <v>301</v>
      </c>
      <c r="B456" s="148" t="s">
        <v>795</v>
      </c>
      <c r="C456" s="4" t="s">
        <v>714</v>
      </c>
      <c r="D456" s="4">
        <v>36.085245</v>
      </c>
      <c r="E456" s="4">
        <v>34.154980000000002</v>
      </c>
      <c r="F456" s="148" t="s">
        <v>795</v>
      </c>
      <c r="G456" s="4" t="s">
        <v>715</v>
      </c>
      <c r="H456" s="4" t="s">
        <v>690</v>
      </c>
      <c r="I456" s="4" t="s">
        <v>691</v>
      </c>
      <c r="J456" s="4" t="s">
        <v>790</v>
      </c>
      <c r="K456" s="4" t="s">
        <v>791</v>
      </c>
      <c r="L456" s="4" t="str">
        <f>VLOOKUP($K456,'Property names'!$A$1:$D$99,2,FALSE)</f>
        <v>Device used to measure the surface tension of a liquid, typically by observing the height to which the liquid rises in a fine tube against the force of gravity.</v>
      </c>
      <c r="M456" s="4" t="str">
        <f>VLOOKUP($K456,'Property names'!$A$1:$D$99,3,FALSE)</f>
        <v>Newtons per meter</v>
      </c>
      <c r="N456" s="4" t="str">
        <f>VLOOKUP($K456,'Property names'!$A$1:$D$99,4,FALSE)</f>
        <v>N/m</v>
      </c>
      <c r="O456" s="4" t="str">
        <f t="shared" si="8"/>
        <v>000008E5_000008E5_Tensiometer_avg</v>
      </c>
      <c r="P456" s="4" t="str">
        <f t="shared" si="9"/>
        <v>The datastream containing mesures of field 000008E5 by sensor 000008E5 which measures Tensiometer.</v>
      </c>
    </row>
    <row r="457" spans="1:16" ht="12.75">
      <c r="A457" s="4" t="s">
        <v>301</v>
      </c>
      <c r="B457" s="148" t="s">
        <v>795</v>
      </c>
      <c r="C457" s="4" t="s">
        <v>714</v>
      </c>
      <c r="D457" s="4">
        <v>36.085245</v>
      </c>
      <c r="E457" s="4">
        <v>34.154980000000002</v>
      </c>
      <c r="F457" s="148" t="s">
        <v>795</v>
      </c>
      <c r="G457" s="4" t="s">
        <v>715</v>
      </c>
      <c r="H457" s="4" t="s">
        <v>690</v>
      </c>
      <c r="I457" s="4" t="s">
        <v>691</v>
      </c>
      <c r="J457" s="4" t="s">
        <v>792</v>
      </c>
      <c r="K457" s="4" t="s">
        <v>791</v>
      </c>
      <c r="L457" s="4" t="str">
        <f>VLOOKUP($K457,'Property names'!$A$1:$D$99,2,FALSE)</f>
        <v>Device used to measure the surface tension of a liquid, typically by observing the height to which the liquid rises in a fine tube against the force of gravity.</v>
      </c>
      <c r="M457" s="4" t="str">
        <f>VLOOKUP($K457,'Property names'!$A$1:$D$99,3,FALSE)</f>
        <v>Newtons per meter</v>
      </c>
      <c r="N457" s="4" t="str">
        <f>VLOOKUP($K457,'Property names'!$A$1:$D$99,4,FALSE)</f>
        <v>N/m</v>
      </c>
      <c r="O457" s="4" t="str">
        <f t="shared" si="8"/>
        <v>000008E5_000008E5_Tensiometer_max</v>
      </c>
      <c r="P457" s="4" t="str">
        <f t="shared" si="9"/>
        <v>The datastream containing mesures of field 000008E5 by sensor 000008E5 which measures Tensiometer.</v>
      </c>
    </row>
    <row r="458" spans="1:16" ht="12.75">
      <c r="A458" s="4" t="s">
        <v>301</v>
      </c>
      <c r="B458" s="148" t="s">
        <v>795</v>
      </c>
      <c r="C458" s="4" t="s">
        <v>714</v>
      </c>
      <c r="D458" s="4">
        <v>36.085245</v>
      </c>
      <c r="E458" s="4">
        <v>34.154980000000002</v>
      </c>
      <c r="F458" s="148" t="s">
        <v>795</v>
      </c>
      <c r="G458" s="4" t="s">
        <v>715</v>
      </c>
      <c r="H458" s="4" t="s">
        <v>690</v>
      </c>
      <c r="I458" s="4" t="s">
        <v>691</v>
      </c>
      <c r="J458" s="4" t="s">
        <v>793</v>
      </c>
      <c r="K458" s="4" t="s">
        <v>791</v>
      </c>
      <c r="L458" s="4" t="str">
        <f>VLOOKUP($K458,'Property names'!$A$1:$D$99,2,FALSE)</f>
        <v>Device used to measure the surface tension of a liquid, typically by observing the height to which the liquid rises in a fine tube against the force of gravity.</v>
      </c>
      <c r="M458" s="4" t="str">
        <f>VLOOKUP($K458,'Property names'!$A$1:$D$99,3,FALSE)</f>
        <v>Newtons per meter</v>
      </c>
      <c r="N458" s="4" t="str">
        <f>VLOOKUP($K458,'Property names'!$A$1:$D$99,4,FALSE)</f>
        <v>N/m</v>
      </c>
      <c r="O458" s="4" t="str">
        <f t="shared" si="8"/>
        <v>000008E5_000008E5_Tensiometer_min</v>
      </c>
      <c r="P458" s="4" t="str">
        <f t="shared" si="9"/>
        <v>The datastream containing mesures of field 000008E5 by sensor 000008E5 which measures Tensiometer.</v>
      </c>
    </row>
    <row r="459" spans="1:16" ht="12.75">
      <c r="A459" s="4" t="s">
        <v>301</v>
      </c>
      <c r="B459" s="148" t="s">
        <v>795</v>
      </c>
      <c r="C459" s="4" t="s">
        <v>714</v>
      </c>
      <c r="D459" s="4">
        <v>36.085245</v>
      </c>
      <c r="E459" s="4">
        <v>34.154980000000002</v>
      </c>
      <c r="F459" s="148" t="s">
        <v>795</v>
      </c>
      <c r="G459" s="4" t="s">
        <v>715</v>
      </c>
      <c r="H459" s="4" t="s">
        <v>690</v>
      </c>
      <c r="I459" s="4" t="s">
        <v>691</v>
      </c>
      <c r="J459" s="4" t="s">
        <v>794</v>
      </c>
      <c r="K459" s="4" t="s">
        <v>665</v>
      </c>
      <c r="L459" s="4" t="str">
        <f>VLOOKUP($K459,'Property names'!$A$1:$D$99,2,FALSE)</f>
        <v>A warning in case of water leak detected</v>
      </c>
      <c r="M459" s="4" t="str">
        <f>VLOOKUP($K459,'Property names'!$A$1:$D$99,3,FALSE)</f>
        <v>True / False</v>
      </c>
      <c r="N459" s="4" t="str">
        <f>VLOOKUP($K459,'Property names'!$A$1:$D$99,4,FALSE)</f>
        <v>N/A</v>
      </c>
      <c r="O459" s="4" t="str">
        <f t="shared" si="8"/>
        <v>000008E5_000008E5_Watermark_avg</v>
      </c>
      <c r="P459" s="4" t="str">
        <f t="shared" si="9"/>
        <v>The datastream containing mesures of field 000008E5 by sensor 000008E5 which measures Leak warning.</v>
      </c>
    </row>
    <row r="460" spans="1:16" ht="12.75">
      <c r="A460" s="4" t="s">
        <v>301</v>
      </c>
      <c r="B460" s="148" t="s">
        <v>795</v>
      </c>
      <c r="C460" s="4" t="s">
        <v>714</v>
      </c>
      <c r="D460" s="4">
        <v>36.085245</v>
      </c>
      <c r="E460" s="4">
        <v>34.154980000000002</v>
      </c>
      <c r="F460" s="148" t="s">
        <v>795</v>
      </c>
      <c r="G460" s="4" t="s">
        <v>715</v>
      </c>
      <c r="H460" s="4" t="s">
        <v>690</v>
      </c>
      <c r="I460" s="4" t="s">
        <v>691</v>
      </c>
      <c r="J460" s="4" t="s">
        <v>737</v>
      </c>
      <c r="K460" s="4" t="s">
        <v>737</v>
      </c>
      <c r="L460" s="4" t="str">
        <f>VLOOKUP($K460,'Property names'!$A$1:$D$99,2,FALSE)</f>
        <v>The point in time at the middle of the night, commonly defined as 12:00 AM.</v>
      </c>
      <c r="M460" s="4" t="str">
        <f>VLOOKUP($K460,'Property names'!$A$1:$D$99,3,FALSE)</f>
        <v>-</v>
      </c>
      <c r="N460" s="4" t="str">
        <f>VLOOKUP($K460,'Property names'!$A$1:$D$99,4,FALSE)</f>
        <v>-</v>
      </c>
      <c r="O460" s="4" t="str">
        <f t="shared" si="8"/>
        <v>000008E5_000008E5_Midnight</v>
      </c>
      <c r="P460" s="4" t="str">
        <f t="shared" si="9"/>
        <v>The datastream containing mesures of field 000008E5 by sensor 000008E5 which measures Midnight.</v>
      </c>
    </row>
    <row r="461" spans="1:16" ht="12.75">
      <c r="G461" s="4"/>
      <c r="L461" s="4"/>
      <c r="M461" s="4"/>
      <c r="N461" s="4"/>
      <c r="P461" s="4"/>
    </row>
    <row r="462" spans="1:16" ht="12.75">
      <c r="A462" s="4" t="s">
        <v>336</v>
      </c>
      <c r="B462" s="4" t="s">
        <v>796</v>
      </c>
      <c r="C462" s="4" t="s">
        <v>797</v>
      </c>
      <c r="D462" s="4" t="s">
        <v>691</v>
      </c>
      <c r="E462" s="4" t="s">
        <v>691</v>
      </c>
      <c r="F462" s="4" t="s">
        <v>796</v>
      </c>
      <c r="G462" s="4" t="s">
        <v>798</v>
      </c>
      <c r="H462" s="4" t="s">
        <v>690</v>
      </c>
      <c r="I462" s="4" t="s">
        <v>691</v>
      </c>
      <c r="J462" s="4" t="s">
        <v>799</v>
      </c>
      <c r="K462" s="4" t="s">
        <v>800</v>
      </c>
      <c r="L462" s="4" t="str">
        <f>VLOOKUP($K462,'Property names'!$A$1:$D$99,2,FALSE)</f>
        <v>Unknown</v>
      </c>
      <c r="M462" s="4" t="str">
        <f>VLOOKUP($K462,'Property names'!$A$1:$D$99,3,FALSE)</f>
        <v>-</v>
      </c>
      <c r="N462" s="4" t="str">
        <f>VLOOKUP($K462,'Property names'!$A$1:$D$99,4,FALSE)</f>
        <v>-</v>
      </c>
      <c r="O462" s="4" t="str">
        <f t="shared" ref="O462:O509" si="10">SUBSTITUTE(CONCATENATE(B462,"_",F462,"_",J462)," ","_")</f>
        <v>ed_11174_ed_11174_MEAS_1</v>
      </c>
      <c r="P462" s="4" t="str">
        <f t="shared" ref="P462:P509" si="11">CONCATENATE("The datastream containing mesures of field ",B462," by sensor ",F462," which measures ",K462,".")</f>
        <v>The datastream containing mesures of field ed_11174 by sensor ed_11174 which measures Unknown.</v>
      </c>
    </row>
    <row r="463" spans="1:16" ht="12.75">
      <c r="A463" s="4" t="s">
        <v>336</v>
      </c>
      <c r="B463" s="4" t="s">
        <v>796</v>
      </c>
      <c r="C463" s="4" t="s">
        <v>797</v>
      </c>
      <c r="D463" s="4" t="s">
        <v>691</v>
      </c>
      <c r="E463" s="4" t="s">
        <v>691</v>
      </c>
      <c r="F463" s="4" t="s">
        <v>796</v>
      </c>
      <c r="G463" s="4" t="s">
        <v>798</v>
      </c>
      <c r="H463" s="4" t="s">
        <v>690</v>
      </c>
      <c r="I463" s="4" t="s">
        <v>691</v>
      </c>
      <c r="J463" s="4" t="s">
        <v>801</v>
      </c>
      <c r="K463" s="4" t="s">
        <v>800</v>
      </c>
      <c r="L463" s="4" t="str">
        <f>VLOOKUP($K463,'Property names'!$A$1:$D$99,2,FALSE)</f>
        <v>Unknown</v>
      </c>
      <c r="M463" s="4" t="str">
        <f>VLOOKUP($K463,'Property names'!$A$1:$D$99,3,FALSE)</f>
        <v>-</v>
      </c>
      <c r="N463" s="4" t="str">
        <f>VLOOKUP($K463,'Property names'!$A$1:$D$99,4,FALSE)</f>
        <v>-</v>
      </c>
      <c r="O463" s="4" t="str">
        <f t="shared" si="10"/>
        <v>ed_11174_ed_11174_MEAS_2</v>
      </c>
      <c r="P463" s="4" t="str">
        <f t="shared" si="11"/>
        <v>The datastream containing mesures of field ed_11174 by sensor ed_11174 which measures Unknown.</v>
      </c>
    </row>
    <row r="464" spans="1:16" ht="12.75">
      <c r="A464" s="4" t="s">
        <v>336</v>
      </c>
      <c r="B464" s="4" t="s">
        <v>796</v>
      </c>
      <c r="C464" s="4" t="s">
        <v>797</v>
      </c>
      <c r="D464" s="4" t="s">
        <v>691</v>
      </c>
      <c r="E464" s="4" t="s">
        <v>691</v>
      </c>
      <c r="F464" s="4" t="s">
        <v>796</v>
      </c>
      <c r="G464" s="4" t="s">
        <v>798</v>
      </c>
      <c r="H464" s="4" t="s">
        <v>690</v>
      </c>
      <c r="I464" s="4" t="s">
        <v>691</v>
      </c>
      <c r="J464" s="4" t="s">
        <v>802</v>
      </c>
      <c r="K464" s="4" t="s">
        <v>800</v>
      </c>
      <c r="L464" s="4" t="str">
        <f>VLOOKUP($K464,'Property names'!$A$1:$D$99,2,FALSE)</f>
        <v>Unknown</v>
      </c>
      <c r="M464" s="4" t="str">
        <f>VLOOKUP($K464,'Property names'!$A$1:$D$99,3,FALSE)</f>
        <v>-</v>
      </c>
      <c r="N464" s="4" t="str">
        <f>VLOOKUP($K464,'Property names'!$A$1:$D$99,4,FALSE)</f>
        <v>-</v>
      </c>
      <c r="O464" s="4" t="str">
        <f t="shared" si="10"/>
        <v>ed_11174_ed_11174_MEAS_3</v>
      </c>
      <c r="P464" s="4" t="str">
        <f t="shared" si="11"/>
        <v>The datastream containing mesures of field ed_11174 by sensor ed_11174 which measures Unknown.</v>
      </c>
    </row>
    <row r="465" spans="1:16" ht="12.75">
      <c r="A465" s="4" t="s">
        <v>336</v>
      </c>
      <c r="B465" s="4" t="s">
        <v>796</v>
      </c>
      <c r="C465" s="4" t="s">
        <v>797</v>
      </c>
      <c r="D465" s="4" t="s">
        <v>691</v>
      </c>
      <c r="E465" s="4" t="s">
        <v>691</v>
      </c>
      <c r="F465" s="4" t="s">
        <v>796</v>
      </c>
      <c r="G465" s="4" t="s">
        <v>798</v>
      </c>
      <c r="H465" s="4" t="s">
        <v>690</v>
      </c>
      <c r="I465" s="4" t="s">
        <v>691</v>
      </c>
      <c r="J465" s="4" t="s">
        <v>803</v>
      </c>
      <c r="K465" s="4" t="s">
        <v>800</v>
      </c>
      <c r="L465" s="4" t="str">
        <f>VLOOKUP($K465,'Property names'!$A$1:$D$99,2,FALSE)</f>
        <v>Unknown</v>
      </c>
      <c r="M465" s="4" t="str">
        <f>VLOOKUP($K465,'Property names'!$A$1:$D$99,3,FALSE)</f>
        <v>-</v>
      </c>
      <c r="N465" s="4" t="str">
        <f>VLOOKUP($K465,'Property names'!$A$1:$D$99,4,FALSE)</f>
        <v>-</v>
      </c>
      <c r="O465" s="4" t="str">
        <f t="shared" si="10"/>
        <v>ed_11174_ed_11174_MEAS_4</v>
      </c>
      <c r="P465" s="4" t="str">
        <f t="shared" si="11"/>
        <v>The datastream containing mesures of field ed_11174 by sensor ed_11174 which measures Unknown.</v>
      </c>
    </row>
    <row r="466" spans="1:16" ht="12.75">
      <c r="A466" s="4" t="s">
        <v>336</v>
      </c>
      <c r="B466" s="4" t="s">
        <v>796</v>
      </c>
      <c r="C466" s="4" t="s">
        <v>797</v>
      </c>
      <c r="D466" s="4" t="s">
        <v>691</v>
      </c>
      <c r="E466" s="4" t="s">
        <v>691</v>
      </c>
      <c r="F466" s="4" t="s">
        <v>796</v>
      </c>
      <c r="G466" s="4" t="s">
        <v>798</v>
      </c>
      <c r="H466" s="4" t="s">
        <v>690</v>
      </c>
      <c r="I466" s="4" t="s">
        <v>691</v>
      </c>
      <c r="J466" s="4" t="s">
        <v>804</v>
      </c>
      <c r="K466" s="4" t="s">
        <v>800</v>
      </c>
      <c r="L466" s="4" t="str">
        <f>VLOOKUP($K466,'Property names'!$A$1:$D$99,2,FALSE)</f>
        <v>Unknown</v>
      </c>
      <c r="M466" s="4" t="str">
        <f>VLOOKUP($K466,'Property names'!$A$1:$D$99,3,FALSE)</f>
        <v>-</v>
      </c>
      <c r="N466" s="4" t="str">
        <f>VLOOKUP($K466,'Property names'!$A$1:$D$99,4,FALSE)</f>
        <v>-</v>
      </c>
      <c r="O466" s="4" t="str">
        <f t="shared" si="10"/>
        <v>ed_11174_ed_11174_MEAS_5</v>
      </c>
      <c r="P466" s="4" t="str">
        <f t="shared" si="11"/>
        <v>The datastream containing mesures of field ed_11174 by sensor ed_11174 which measures Unknown.</v>
      </c>
    </row>
    <row r="467" spans="1:16" ht="12.75">
      <c r="A467" s="4" t="s">
        <v>336</v>
      </c>
      <c r="B467" s="4" t="s">
        <v>796</v>
      </c>
      <c r="C467" s="4" t="s">
        <v>797</v>
      </c>
      <c r="D467" s="4" t="s">
        <v>691</v>
      </c>
      <c r="E467" s="4" t="s">
        <v>691</v>
      </c>
      <c r="F467" s="4" t="s">
        <v>796</v>
      </c>
      <c r="G467" s="4" t="s">
        <v>798</v>
      </c>
      <c r="H467" s="4" t="s">
        <v>690</v>
      </c>
      <c r="I467" s="4" t="s">
        <v>691</v>
      </c>
      <c r="J467" s="4" t="s">
        <v>805</v>
      </c>
      <c r="K467" s="4" t="s">
        <v>800</v>
      </c>
      <c r="L467" s="4" t="str">
        <f>VLOOKUP($K467,'Property names'!$A$1:$D$99,2,FALSE)</f>
        <v>Unknown</v>
      </c>
      <c r="M467" s="4" t="str">
        <f>VLOOKUP($K467,'Property names'!$A$1:$D$99,3,FALSE)</f>
        <v>-</v>
      </c>
      <c r="N467" s="4" t="str">
        <f>VLOOKUP($K467,'Property names'!$A$1:$D$99,4,FALSE)</f>
        <v>-</v>
      </c>
      <c r="O467" s="4" t="str">
        <f t="shared" si="10"/>
        <v>ed_11174_ed_11174_MEAS_6</v>
      </c>
      <c r="P467" s="4" t="str">
        <f t="shared" si="11"/>
        <v>The datastream containing mesures of field ed_11174 by sensor ed_11174 which measures Unknown.</v>
      </c>
    </row>
    <row r="468" spans="1:16" ht="12.75">
      <c r="A468" s="4" t="s">
        <v>336</v>
      </c>
      <c r="B468" s="4" t="s">
        <v>796</v>
      </c>
      <c r="C468" s="4" t="s">
        <v>797</v>
      </c>
      <c r="D468" s="4" t="s">
        <v>691</v>
      </c>
      <c r="E468" s="4" t="s">
        <v>691</v>
      </c>
      <c r="F468" s="4" t="s">
        <v>796</v>
      </c>
      <c r="G468" s="4" t="s">
        <v>798</v>
      </c>
      <c r="H468" s="4" t="s">
        <v>690</v>
      </c>
      <c r="I468" s="4" t="s">
        <v>691</v>
      </c>
      <c r="J468" s="4" t="s">
        <v>806</v>
      </c>
      <c r="K468" s="4" t="s">
        <v>800</v>
      </c>
      <c r="L468" s="4" t="str">
        <f>VLOOKUP($K468,'Property names'!$A$1:$D$99,2,FALSE)</f>
        <v>Unknown</v>
      </c>
      <c r="M468" s="4" t="str">
        <f>VLOOKUP($K468,'Property names'!$A$1:$D$99,3,FALSE)</f>
        <v>-</v>
      </c>
      <c r="N468" s="4" t="str">
        <f>VLOOKUP($K468,'Property names'!$A$1:$D$99,4,FALSE)</f>
        <v>-</v>
      </c>
      <c r="O468" s="4" t="str">
        <f t="shared" si="10"/>
        <v>ed_11174_ed_11174_MEAS_7</v>
      </c>
      <c r="P468" s="4" t="str">
        <f t="shared" si="11"/>
        <v>The datastream containing mesures of field ed_11174 by sensor ed_11174 which measures Unknown.</v>
      </c>
    </row>
    <row r="469" spans="1:16" ht="12.75">
      <c r="A469" s="4" t="s">
        <v>336</v>
      </c>
      <c r="B469" s="4" t="s">
        <v>796</v>
      </c>
      <c r="C469" s="4" t="s">
        <v>797</v>
      </c>
      <c r="D469" s="4" t="s">
        <v>691</v>
      </c>
      <c r="E469" s="4" t="s">
        <v>691</v>
      </c>
      <c r="F469" s="4" t="s">
        <v>796</v>
      </c>
      <c r="G469" s="4" t="s">
        <v>798</v>
      </c>
      <c r="H469" s="4" t="s">
        <v>690</v>
      </c>
      <c r="I469" s="4" t="s">
        <v>691</v>
      </c>
      <c r="J469" s="4" t="s">
        <v>807</v>
      </c>
      <c r="K469" s="4" t="s">
        <v>800</v>
      </c>
      <c r="L469" s="4" t="str">
        <f>VLOOKUP($K469,'Property names'!$A$1:$D$99,2,FALSE)</f>
        <v>Unknown</v>
      </c>
      <c r="M469" s="4" t="str">
        <f>VLOOKUP($K469,'Property names'!$A$1:$D$99,3,FALSE)</f>
        <v>-</v>
      </c>
      <c r="N469" s="4" t="str">
        <f>VLOOKUP($K469,'Property names'!$A$1:$D$99,4,FALSE)</f>
        <v>-</v>
      </c>
      <c r="O469" s="4" t="str">
        <f t="shared" si="10"/>
        <v>ed_11174_ed_11174_MEAS_8</v>
      </c>
      <c r="P469" s="4" t="str">
        <f t="shared" si="11"/>
        <v>The datastream containing mesures of field ed_11174 by sensor ed_11174 which measures Unknown.</v>
      </c>
    </row>
    <row r="470" spans="1:16" ht="12.75">
      <c r="A470" s="4" t="s">
        <v>336</v>
      </c>
      <c r="B470" s="4" t="s">
        <v>796</v>
      </c>
      <c r="C470" s="4" t="s">
        <v>797</v>
      </c>
      <c r="D470" s="4" t="s">
        <v>691</v>
      </c>
      <c r="E470" s="4" t="s">
        <v>691</v>
      </c>
      <c r="F470" s="4" t="s">
        <v>796</v>
      </c>
      <c r="G470" s="4" t="s">
        <v>798</v>
      </c>
      <c r="H470" s="4" t="s">
        <v>690</v>
      </c>
      <c r="I470" s="4" t="s">
        <v>691</v>
      </c>
      <c r="J470" s="4" t="s">
        <v>808</v>
      </c>
      <c r="K470" s="4" t="s">
        <v>800</v>
      </c>
      <c r="L470" s="4" t="str">
        <f>VLOOKUP($K470,'Property names'!$A$1:$D$99,2,FALSE)</f>
        <v>Unknown</v>
      </c>
      <c r="M470" s="4" t="str">
        <f>VLOOKUP($K470,'Property names'!$A$1:$D$99,3,FALSE)</f>
        <v>-</v>
      </c>
      <c r="N470" s="4" t="str">
        <f>VLOOKUP($K470,'Property names'!$A$1:$D$99,4,FALSE)</f>
        <v>-</v>
      </c>
      <c r="O470" s="4" t="str">
        <f t="shared" si="10"/>
        <v>ed_11174_ed_11174_MEAS_9</v>
      </c>
      <c r="P470" s="4" t="str">
        <f t="shared" si="11"/>
        <v>The datastream containing mesures of field ed_11174 by sensor ed_11174 which measures Unknown.</v>
      </c>
    </row>
    <row r="471" spans="1:16" ht="12.75">
      <c r="A471" s="4" t="s">
        <v>336</v>
      </c>
      <c r="B471" s="4" t="s">
        <v>796</v>
      </c>
      <c r="C471" s="4" t="s">
        <v>797</v>
      </c>
      <c r="D471" s="4" t="s">
        <v>691</v>
      </c>
      <c r="E471" s="4" t="s">
        <v>691</v>
      </c>
      <c r="F471" s="4" t="s">
        <v>796</v>
      </c>
      <c r="G471" s="4" t="s">
        <v>798</v>
      </c>
      <c r="H471" s="4" t="s">
        <v>690</v>
      </c>
      <c r="I471" s="4" t="s">
        <v>691</v>
      </c>
      <c r="J471" s="4" t="s">
        <v>809</v>
      </c>
      <c r="K471" s="4" t="s">
        <v>800</v>
      </c>
      <c r="L471" s="4" t="str">
        <f>VLOOKUP($K471,'Property names'!$A$1:$D$99,2,FALSE)</f>
        <v>Unknown</v>
      </c>
      <c r="M471" s="4" t="str">
        <f>VLOOKUP($K471,'Property names'!$A$1:$D$99,3,FALSE)</f>
        <v>-</v>
      </c>
      <c r="N471" s="4" t="str">
        <f>VLOOKUP($K471,'Property names'!$A$1:$D$99,4,FALSE)</f>
        <v>-</v>
      </c>
      <c r="O471" s="4" t="str">
        <f t="shared" si="10"/>
        <v>ed_11174_ed_11174_MEAS_10</v>
      </c>
      <c r="P471" s="4" t="str">
        <f t="shared" si="11"/>
        <v>The datastream containing mesures of field ed_11174 by sensor ed_11174 which measures Unknown.</v>
      </c>
    </row>
    <row r="472" spans="1:16" ht="12.75">
      <c r="A472" s="4" t="s">
        <v>336</v>
      </c>
      <c r="B472" s="4" t="s">
        <v>796</v>
      </c>
      <c r="C472" s="4" t="s">
        <v>797</v>
      </c>
      <c r="D472" s="4" t="s">
        <v>691</v>
      </c>
      <c r="E472" s="4" t="s">
        <v>691</v>
      </c>
      <c r="F472" s="4" t="s">
        <v>796</v>
      </c>
      <c r="G472" s="4" t="s">
        <v>798</v>
      </c>
      <c r="H472" s="4" t="s">
        <v>690</v>
      </c>
      <c r="I472" s="4" t="s">
        <v>691</v>
      </c>
      <c r="J472" s="4" t="s">
        <v>810</v>
      </c>
      <c r="K472" s="4" t="s">
        <v>800</v>
      </c>
      <c r="L472" s="4" t="str">
        <f>VLOOKUP($K472,'Property names'!$A$1:$D$99,2,FALSE)</f>
        <v>Unknown</v>
      </c>
      <c r="M472" s="4" t="str">
        <f>VLOOKUP($K472,'Property names'!$A$1:$D$99,3,FALSE)</f>
        <v>-</v>
      </c>
      <c r="N472" s="4" t="str">
        <f>VLOOKUP($K472,'Property names'!$A$1:$D$99,4,FALSE)</f>
        <v>-</v>
      </c>
      <c r="O472" s="4" t="str">
        <f t="shared" si="10"/>
        <v>ed_11174_ed_11174_MEAS_11</v>
      </c>
      <c r="P472" s="4" t="str">
        <f t="shared" si="11"/>
        <v>The datastream containing mesures of field ed_11174 by sensor ed_11174 which measures Unknown.</v>
      </c>
    </row>
    <row r="473" spans="1:16" ht="12.75">
      <c r="A473" s="4" t="s">
        <v>336</v>
      </c>
      <c r="B473" s="4" t="s">
        <v>796</v>
      </c>
      <c r="C473" s="4" t="s">
        <v>797</v>
      </c>
      <c r="D473" s="4" t="s">
        <v>691</v>
      </c>
      <c r="E473" s="4" t="s">
        <v>691</v>
      </c>
      <c r="F473" s="4" t="s">
        <v>796</v>
      </c>
      <c r="G473" s="4" t="s">
        <v>798</v>
      </c>
      <c r="H473" s="4" t="s">
        <v>690</v>
      </c>
      <c r="I473" s="4" t="s">
        <v>691</v>
      </c>
      <c r="J473" s="4" t="s">
        <v>811</v>
      </c>
      <c r="K473" s="4" t="s">
        <v>800</v>
      </c>
      <c r="L473" s="4" t="str">
        <f>VLOOKUP($K473,'Property names'!$A$1:$D$99,2,FALSE)</f>
        <v>Unknown</v>
      </c>
      <c r="M473" s="4" t="str">
        <f>VLOOKUP($K473,'Property names'!$A$1:$D$99,3,FALSE)</f>
        <v>-</v>
      </c>
      <c r="N473" s="4" t="str">
        <f>VLOOKUP($K473,'Property names'!$A$1:$D$99,4,FALSE)</f>
        <v>-</v>
      </c>
      <c r="O473" s="4" t="str">
        <f t="shared" si="10"/>
        <v>ed_11174_ed_11174_MEAS_12</v>
      </c>
      <c r="P473" s="4" t="str">
        <f t="shared" si="11"/>
        <v>The datastream containing mesures of field ed_11174 by sensor ed_11174 which measures Unknown.</v>
      </c>
    </row>
    <row r="474" spans="1:16" ht="12.75">
      <c r="A474" s="4" t="s">
        <v>336</v>
      </c>
      <c r="B474" s="4" t="s">
        <v>812</v>
      </c>
      <c r="C474" s="4" t="s">
        <v>797</v>
      </c>
      <c r="D474" s="4" t="s">
        <v>691</v>
      </c>
      <c r="E474" s="4" t="s">
        <v>691</v>
      </c>
      <c r="F474" s="4" t="s">
        <v>812</v>
      </c>
      <c r="G474" s="4" t="s">
        <v>798</v>
      </c>
      <c r="H474" s="4" t="s">
        <v>690</v>
      </c>
      <c r="I474" s="4" t="s">
        <v>691</v>
      </c>
      <c r="J474" s="4" t="s">
        <v>799</v>
      </c>
      <c r="K474" s="4" t="s">
        <v>800</v>
      </c>
      <c r="L474" s="4" t="str">
        <f>VLOOKUP($K474,'Property names'!$A$1:$D$99,2,FALSE)</f>
        <v>Unknown</v>
      </c>
      <c r="M474" s="4" t="str">
        <f>VLOOKUP($K474,'Property names'!$A$1:$D$99,3,FALSE)</f>
        <v>-</v>
      </c>
      <c r="N474" s="4" t="str">
        <f>VLOOKUP($K474,'Property names'!$A$1:$D$99,4,FALSE)</f>
        <v>-</v>
      </c>
      <c r="O474" s="4" t="str">
        <f t="shared" si="10"/>
        <v>ed_11181_ed_11181_MEAS_1</v>
      </c>
      <c r="P474" s="4" t="str">
        <f t="shared" si="11"/>
        <v>The datastream containing mesures of field ed_11181 by sensor ed_11181 which measures Unknown.</v>
      </c>
    </row>
    <row r="475" spans="1:16" ht="12.75">
      <c r="A475" s="4" t="s">
        <v>336</v>
      </c>
      <c r="B475" s="4" t="s">
        <v>812</v>
      </c>
      <c r="C475" s="4" t="s">
        <v>797</v>
      </c>
      <c r="D475" s="4" t="s">
        <v>691</v>
      </c>
      <c r="E475" s="4" t="s">
        <v>691</v>
      </c>
      <c r="F475" s="4" t="s">
        <v>812</v>
      </c>
      <c r="G475" s="4" t="s">
        <v>798</v>
      </c>
      <c r="H475" s="4" t="s">
        <v>690</v>
      </c>
      <c r="I475" s="4" t="s">
        <v>691</v>
      </c>
      <c r="J475" s="4" t="s">
        <v>801</v>
      </c>
      <c r="K475" s="4" t="s">
        <v>800</v>
      </c>
      <c r="L475" s="4" t="str">
        <f>VLOOKUP($K475,'Property names'!$A$1:$D$99,2,FALSE)</f>
        <v>Unknown</v>
      </c>
      <c r="M475" s="4" t="str">
        <f>VLOOKUP($K475,'Property names'!$A$1:$D$99,3,FALSE)</f>
        <v>-</v>
      </c>
      <c r="N475" s="4" t="str">
        <f>VLOOKUP($K475,'Property names'!$A$1:$D$99,4,FALSE)</f>
        <v>-</v>
      </c>
      <c r="O475" s="4" t="str">
        <f t="shared" si="10"/>
        <v>ed_11181_ed_11181_MEAS_2</v>
      </c>
      <c r="P475" s="4" t="str">
        <f t="shared" si="11"/>
        <v>The datastream containing mesures of field ed_11181 by sensor ed_11181 which measures Unknown.</v>
      </c>
    </row>
    <row r="476" spans="1:16" ht="12.75">
      <c r="A476" s="4" t="s">
        <v>336</v>
      </c>
      <c r="B476" s="4" t="s">
        <v>812</v>
      </c>
      <c r="C476" s="4" t="s">
        <v>797</v>
      </c>
      <c r="D476" s="4" t="s">
        <v>691</v>
      </c>
      <c r="E476" s="4" t="s">
        <v>691</v>
      </c>
      <c r="F476" s="4" t="s">
        <v>812</v>
      </c>
      <c r="G476" s="4" t="s">
        <v>798</v>
      </c>
      <c r="H476" s="4" t="s">
        <v>690</v>
      </c>
      <c r="I476" s="4" t="s">
        <v>691</v>
      </c>
      <c r="J476" s="4" t="s">
        <v>802</v>
      </c>
      <c r="K476" s="4" t="s">
        <v>800</v>
      </c>
      <c r="L476" s="4" t="str">
        <f>VLOOKUP($K476,'Property names'!$A$1:$D$99,2,FALSE)</f>
        <v>Unknown</v>
      </c>
      <c r="M476" s="4" t="str">
        <f>VLOOKUP($K476,'Property names'!$A$1:$D$99,3,FALSE)</f>
        <v>-</v>
      </c>
      <c r="N476" s="4" t="str">
        <f>VLOOKUP($K476,'Property names'!$A$1:$D$99,4,FALSE)</f>
        <v>-</v>
      </c>
      <c r="O476" s="4" t="str">
        <f t="shared" si="10"/>
        <v>ed_11181_ed_11181_MEAS_3</v>
      </c>
      <c r="P476" s="4" t="str">
        <f t="shared" si="11"/>
        <v>The datastream containing mesures of field ed_11181 by sensor ed_11181 which measures Unknown.</v>
      </c>
    </row>
    <row r="477" spans="1:16" ht="12.75">
      <c r="A477" s="4" t="s">
        <v>336</v>
      </c>
      <c r="B477" s="4" t="s">
        <v>812</v>
      </c>
      <c r="C477" s="4" t="s">
        <v>797</v>
      </c>
      <c r="D477" s="4" t="s">
        <v>691</v>
      </c>
      <c r="E477" s="4" t="s">
        <v>691</v>
      </c>
      <c r="F477" s="4" t="s">
        <v>812</v>
      </c>
      <c r="G477" s="4" t="s">
        <v>798</v>
      </c>
      <c r="H477" s="4" t="s">
        <v>690</v>
      </c>
      <c r="I477" s="4" t="s">
        <v>691</v>
      </c>
      <c r="J477" s="4" t="s">
        <v>803</v>
      </c>
      <c r="K477" s="4" t="s">
        <v>800</v>
      </c>
      <c r="L477" s="4" t="str">
        <f>VLOOKUP($K477,'Property names'!$A$1:$D$99,2,FALSE)</f>
        <v>Unknown</v>
      </c>
      <c r="M477" s="4" t="str">
        <f>VLOOKUP($K477,'Property names'!$A$1:$D$99,3,FALSE)</f>
        <v>-</v>
      </c>
      <c r="N477" s="4" t="str">
        <f>VLOOKUP($K477,'Property names'!$A$1:$D$99,4,FALSE)</f>
        <v>-</v>
      </c>
      <c r="O477" s="4" t="str">
        <f t="shared" si="10"/>
        <v>ed_11181_ed_11181_MEAS_4</v>
      </c>
      <c r="P477" s="4" t="str">
        <f t="shared" si="11"/>
        <v>The datastream containing mesures of field ed_11181 by sensor ed_11181 which measures Unknown.</v>
      </c>
    </row>
    <row r="478" spans="1:16" ht="12.75">
      <c r="A478" s="4" t="s">
        <v>336</v>
      </c>
      <c r="B478" s="4" t="s">
        <v>812</v>
      </c>
      <c r="C478" s="4" t="s">
        <v>797</v>
      </c>
      <c r="D478" s="4" t="s">
        <v>691</v>
      </c>
      <c r="E478" s="4" t="s">
        <v>691</v>
      </c>
      <c r="F478" s="4" t="s">
        <v>812</v>
      </c>
      <c r="G478" s="4" t="s">
        <v>798</v>
      </c>
      <c r="H478" s="4" t="s">
        <v>690</v>
      </c>
      <c r="I478" s="4" t="s">
        <v>691</v>
      </c>
      <c r="J478" s="4" t="s">
        <v>804</v>
      </c>
      <c r="K478" s="4" t="s">
        <v>800</v>
      </c>
      <c r="L478" s="4" t="str">
        <f>VLOOKUP($K478,'Property names'!$A$1:$D$99,2,FALSE)</f>
        <v>Unknown</v>
      </c>
      <c r="M478" s="4" t="str">
        <f>VLOOKUP($K478,'Property names'!$A$1:$D$99,3,FALSE)</f>
        <v>-</v>
      </c>
      <c r="N478" s="4" t="str">
        <f>VLOOKUP($K478,'Property names'!$A$1:$D$99,4,FALSE)</f>
        <v>-</v>
      </c>
      <c r="O478" s="4" t="str">
        <f t="shared" si="10"/>
        <v>ed_11181_ed_11181_MEAS_5</v>
      </c>
      <c r="P478" s="4" t="str">
        <f t="shared" si="11"/>
        <v>The datastream containing mesures of field ed_11181 by sensor ed_11181 which measures Unknown.</v>
      </c>
    </row>
    <row r="479" spans="1:16" ht="12.75">
      <c r="A479" s="4" t="s">
        <v>336</v>
      </c>
      <c r="B479" s="4" t="s">
        <v>812</v>
      </c>
      <c r="C479" s="4" t="s">
        <v>797</v>
      </c>
      <c r="D479" s="4" t="s">
        <v>691</v>
      </c>
      <c r="E479" s="4" t="s">
        <v>691</v>
      </c>
      <c r="F479" s="4" t="s">
        <v>812</v>
      </c>
      <c r="G479" s="4" t="s">
        <v>798</v>
      </c>
      <c r="H479" s="4" t="s">
        <v>690</v>
      </c>
      <c r="I479" s="4" t="s">
        <v>691</v>
      </c>
      <c r="J479" s="4" t="s">
        <v>805</v>
      </c>
      <c r="K479" s="4" t="s">
        <v>800</v>
      </c>
      <c r="L479" s="4" t="str">
        <f>VLOOKUP($K479,'Property names'!$A$1:$D$99,2,FALSE)</f>
        <v>Unknown</v>
      </c>
      <c r="M479" s="4" t="str">
        <f>VLOOKUP($K479,'Property names'!$A$1:$D$99,3,FALSE)</f>
        <v>-</v>
      </c>
      <c r="N479" s="4" t="str">
        <f>VLOOKUP($K479,'Property names'!$A$1:$D$99,4,FALSE)</f>
        <v>-</v>
      </c>
      <c r="O479" s="4" t="str">
        <f t="shared" si="10"/>
        <v>ed_11181_ed_11181_MEAS_6</v>
      </c>
      <c r="P479" s="4" t="str">
        <f t="shared" si="11"/>
        <v>The datastream containing mesures of field ed_11181 by sensor ed_11181 which measures Unknown.</v>
      </c>
    </row>
    <row r="480" spans="1:16" ht="12.75">
      <c r="A480" s="4" t="s">
        <v>336</v>
      </c>
      <c r="B480" s="4" t="s">
        <v>812</v>
      </c>
      <c r="C480" s="4" t="s">
        <v>797</v>
      </c>
      <c r="D480" s="4" t="s">
        <v>691</v>
      </c>
      <c r="E480" s="4" t="s">
        <v>691</v>
      </c>
      <c r="F480" s="4" t="s">
        <v>812</v>
      </c>
      <c r="G480" s="4" t="s">
        <v>798</v>
      </c>
      <c r="H480" s="4" t="s">
        <v>690</v>
      </c>
      <c r="I480" s="4" t="s">
        <v>691</v>
      </c>
      <c r="J480" s="4" t="s">
        <v>806</v>
      </c>
      <c r="K480" s="4" t="s">
        <v>800</v>
      </c>
      <c r="L480" s="4" t="str">
        <f>VLOOKUP($K480,'Property names'!$A$1:$D$99,2,FALSE)</f>
        <v>Unknown</v>
      </c>
      <c r="M480" s="4" t="str">
        <f>VLOOKUP($K480,'Property names'!$A$1:$D$99,3,FALSE)</f>
        <v>-</v>
      </c>
      <c r="N480" s="4" t="str">
        <f>VLOOKUP($K480,'Property names'!$A$1:$D$99,4,FALSE)</f>
        <v>-</v>
      </c>
      <c r="O480" s="4" t="str">
        <f t="shared" si="10"/>
        <v>ed_11181_ed_11181_MEAS_7</v>
      </c>
      <c r="P480" s="4" t="str">
        <f t="shared" si="11"/>
        <v>The datastream containing mesures of field ed_11181 by sensor ed_11181 which measures Unknown.</v>
      </c>
    </row>
    <row r="481" spans="1:16" ht="12.75">
      <c r="A481" s="4" t="s">
        <v>336</v>
      </c>
      <c r="B481" s="4" t="s">
        <v>812</v>
      </c>
      <c r="C481" s="4" t="s">
        <v>797</v>
      </c>
      <c r="D481" s="4" t="s">
        <v>691</v>
      </c>
      <c r="E481" s="4" t="s">
        <v>691</v>
      </c>
      <c r="F481" s="4" t="s">
        <v>812</v>
      </c>
      <c r="G481" s="4" t="s">
        <v>798</v>
      </c>
      <c r="H481" s="4" t="s">
        <v>690</v>
      </c>
      <c r="I481" s="4" t="s">
        <v>691</v>
      </c>
      <c r="J481" s="4" t="s">
        <v>807</v>
      </c>
      <c r="K481" s="4" t="s">
        <v>800</v>
      </c>
      <c r="L481" s="4" t="str">
        <f>VLOOKUP($K481,'Property names'!$A$1:$D$99,2,FALSE)</f>
        <v>Unknown</v>
      </c>
      <c r="M481" s="4" t="str">
        <f>VLOOKUP($K481,'Property names'!$A$1:$D$99,3,FALSE)</f>
        <v>-</v>
      </c>
      <c r="N481" s="4" t="str">
        <f>VLOOKUP($K481,'Property names'!$A$1:$D$99,4,FALSE)</f>
        <v>-</v>
      </c>
      <c r="O481" s="4" t="str">
        <f t="shared" si="10"/>
        <v>ed_11181_ed_11181_MEAS_8</v>
      </c>
      <c r="P481" s="4" t="str">
        <f t="shared" si="11"/>
        <v>The datastream containing mesures of field ed_11181 by sensor ed_11181 which measures Unknown.</v>
      </c>
    </row>
    <row r="482" spans="1:16" ht="12.75">
      <c r="A482" s="4" t="s">
        <v>336</v>
      </c>
      <c r="B482" s="4" t="s">
        <v>812</v>
      </c>
      <c r="C482" s="4" t="s">
        <v>797</v>
      </c>
      <c r="D482" s="4" t="s">
        <v>691</v>
      </c>
      <c r="E482" s="4" t="s">
        <v>691</v>
      </c>
      <c r="F482" s="4" t="s">
        <v>812</v>
      </c>
      <c r="G482" s="4" t="s">
        <v>798</v>
      </c>
      <c r="H482" s="4" t="s">
        <v>690</v>
      </c>
      <c r="I482" s="4" t="s">
        <v>691</v>
      </c>
      <c r="J482" s="4" t="s">
        <v>808</v>
      </c>
      <c r="K482" s="4" t="s">
        <v>800</v>
      </c>
      <c r="L482" s="4" t="str">
        <f>VLOOKUP($K482,'Property names'!$A$1:$D$99,2,FALSE)</f>
        <v>Unknown</v>
      </c>
      <c r="M482" s="4" t="str">
        <f>VLOOKUP($K482,'Property names'!$A$1:$D$99,3,FALSE)</f>
        <v>-</v>
      </c>
      <c r="N482" s="4" t="str">
        <f>VLOOKUP($K482,'Property names'!$A$1:$D$99,4,FALSE)</f>
        <v>-</v>
      </c>
      <c r="O482" s="4" t="str">
        <f t="shared" si="10"/>
        <v>ed_11181_ed_11181_MEAS_9</v>
      </c>
      <c r="P482" s="4" t="str">
        <f t="shared" si="11"/>
        <v>The datastream containing mesures of field ed_11181 by sensor ed_11181 which measures Unknown.</v>
      </c>
    </row>
    <row r="483" spans="1:16" ht="12.75">
      <c r="A483" s="4" t="s">
        <v>336</v>
      </c>
      <c r="B483" s="4" t="s">
        <v>812</v>
      </c>
      <c r="C483" s="4" t="s">
        <v>797</v>
      </c>
      <c r="D483" s="4" t="s">
        <v>691</v>
      </c>
      <c r="E483" s="4" t="s">
        <v>691</v>
      </c>
      <c r="F483" s="4" t="s">
        <v>812</v>
      </c>
      <c r="G483" s="4" t="s">
        <v>798</v>
      </c>
      <c r="H483" s="4" t="s">
        <v>690</v>
      </c>
      <c r="I483" s="4" t="s">
        <v>691</v>
      </c>
      <c r="J483" s="4" t="s">
        <v>809</v>
      </c>
      <c r="K483" s="4" t="s">
        <v>800</v>
      </c>
      <c r="L483" s="4" t="str">
        <f>VLOOKUP($K483,'Property names'!$A$1:$D$99,2,FALSE)</f>
        <v>Unknown</v>
      </c>
      <c r="M483" s="4" t="str">
        <f>VLOOKUP($K483,'Property names'!$A$1:$D$99,3,FALSE)</f>
        <v>-</v>
      </c>
      <c r="N483" s="4" t="str">
        <f>VLOOKUP($K483,'Property names'!$A$1:$D$99,4,FALSE)</f>
        <v>-</v>
      </c>
      <c r="O483" s="4" t="str">
        <f t="shared" si="10"/>
        <v>ed_11181_ed_11181_MEAS_10</v>
      </c>
      <c r="P483" s="4" t="str">
        <f t="shared" si="11"/>
        <v>The datastream containing mesures of field ed_11181 by sensor ed_11181 which measures Unknown.</v>
      </c>
    </row>
    <row r="484" spans="1:16" ht="12.75">
      <c r="A484" s="4" t="s">
        <v>336</v>
      </c>
      <c r="B484" s="4" t="s">
        <v>812</v>
      </c>
      <c r="C484" s="4" t="s">
        <v>797</v>
      </c>
      <c r="D484" s="4" t="s">
        <v>691</v>
      </c>
      <c r="E484" s="4" t="s">
        <v>691</v>
      </c>
      <c r="F484" s="4" t="s">
        <v>812</v>
      </c>
      <c r="G484" s="4" t="s">
        <v>798</v>
      </c>
      <c r="H484" s="4" t="s">
        <v>690</v>
      </c>
      <c r="I484" s="4" t="s">
        <v>691</v>
      </c>
      <c r="J484" s="4" t="s">
        <v>810</v>
      </c>
      <c r="K484" s="4" t="s">
        <v>800</v>
      </c>
      <c r="L484" s="4" t="str">
        <f>VLOOKUP($K484,'Property names'!$A$1:$D$99,2,FALSE)</f>
        <v>Unknown</v>
      </c>
      <c r="M484" s="4" t="str">
        <f>VLOOKUP($K484,'Property names'!$A$1:$D$99,3,FALSE)</f>
        <v>-</v>
      </c>
      <c r="N484" s="4" t="str">
        <f>VLOOKUP($K484,'Property names'!$A$1:$D$99,4,FALSE)</f>
        <v>-</v>
      </c>
      <c r="O484" s="4" t="str">
        <f t="shared" si="10"/>
        <v>ed_11181_ed_11181_MEAS_11</v>
      </c>
      <c r="P484" s="4" t="str">
        <f t="shared" si="11"/>
        <v>The datastream containing mesures of field ed_11181 by sensor ed_11181 which measures Unknown.</v>
      </c>
    </row>
    <row r="485" spans="1:16" ht="12.75">
      <c r="A485" s="4" t="s">
        <v>336</v>
      </c>
      <c r="B485" s="4" t="s">
        <v>812</v>
      </c>
      <c r="C485" s="4" t="s">
        <v>797</v>
      </c>
      <c r="D485" s="4" t="s">
        <v>691</v>
      </c>
      <c r="E485" s="4" t="s">
        <v>691</v>
      </c>
      <c r="F485" s="4" t="s">
        <v>812</v>
      </c>
      <c r="G485" s="4" t="s">
        <v>798</v>
      </c>
      <c r="H485" s="4" t="s">
        <v>690</v>
      </c>
      <c r="I485" s="4" t="s">
        <v>691</v>
      </c>
      <c r="J485" s="4" t="s">
        <v>811</v>
      </c>
      <c r="K485" s="4" t="s">
        <v>800</v>
      </c>
      <c r="L485" s="4" t="str">
        <f>VLOOKUP($K485,'Property names'!$A$1:$D$99,2,FALSE)</f>
        <v>Unknown</v>
      </c>
      <c r="M485" s="4" t="str">
        <f>VLOOKUP($K485,'Property names'!$A$1:$D$99,3,FALSE)</f>
        <v>-</v>
      </c>
      <c r="N485" s="4" t="str">
        <f>VLOOKUP($K485,'Property names'!$A$1:$D$99,4,FALSE)</f>
        <v>-</v>
      </c>
      <c r="O485" s="4" t="str">
        <f t="shared" si="10"/>
        <v>ed_11181_ed_11181_MEAS_12</v>
      </c>
      <c r="P485" s="4" t="str">
        <f t="shared" si="11"/>
        <v>The datastream containing mesures of field ed_11181 by sensor ed_11181 which measures Unknown.</v>
      </c>
    </row>
    <row r="486" spans="1:16" ht="12.75">
      <c r="A486" s="4" t="s">
        <v>336</v>
      </c>
      <c r="B486" s="4" t="s">
        <v>813</v>
      </c>
      <c r="C486" s="4" t="s">
        <v>797</v>
      </c>
      <c r="D486" s="4" t="s">
        <v>691</v>
      </c>
      <c r="E486" s="4" t="s">
        <v>691</v>
      </c>
      <c r="F486" s="4" t="s">
        <v>813</v>
      </c>
      <c r="G486" s="4" t="s">
        <v>798</v>
      </c>
      <c r="H486" s="4" t="s">
        <v>690</v>
      </c>
      <c r="I486" s="4" t="s">
        <v>691</v>
      </c>
      <c r="J486" s="4" t="s">
        <v>799</v>
      </c>
      <c r="K486" s="4" t="s">
        <v>800</v>
      </c>
      <c r="L486" s="4" t="str">
        <f>VLOOKUP($K486,'Property names'!$A$1:$D$99,2,FALSE)</f>
        <v>Unknown</v>
      </c>
      <c r="M486" s="4" t="str">
        <f>VLOOKUP($K486,'Property names'!$A$1:$D$99,3,FALSE)</f>
        <v>-</v>
      </c>
      <c r="N486" s="4" t="str">
        <f>VLOOKUP($K486,'Property names'!$A$1:$D$99,4,FALSE)</f>
        <v>-</v>
      </c>
      <c r="O486" s="4" t="str">
        <f t="shared" si="10"/>
        <v>ed_11182_ed_11182_MEAS_1</v>
      </c>
      <c r="P486" s="4" t="str">
        <f t="shared" si="11"/>
        <v>The datastream containing mesures of field ed_11182 by sensor ed_11182 which measures Unknown.</v>
      </c>
    </row>
    <row r="487" spans="1:16" ht="12.75">
      <c r="A487" s="4" t="s">
        <v>336</v>
      </c>
      <c r="B487" s="4" t="s">
        <v>813</v>
      </c>
      <c r="C487" s="4" t="s">
        <v>797</v>
      </c>
      <c r="D487" s="4" t="s">
        <v>691</v>
      </c>
      <c r="E487" s="4" t="s">
        <v>691</v>
      </c>
      <c r="F487" s="4" t="s">
        <v>813</v>
      </c>
      <c r="G487" s="4" t="s">
        <v>798</v>
      </c>
      <c r="H487" s="4" t="s">
        <v>690</v>
      </c>
      <c r="I487" s="4" t="s">
        <v>691</v>
      </c>
      <c r="J487" s="4" t="s">
        <v>801</v>
      </c>
      <c r="K487" s="4" t="s">
        <v>800</v>
      </c>
      <c r="L487" s="4" t="str">
        <f>VLOOKUP($K487,'Property names'!$A$1:$D$99,2,FALSE)</f>
        <v>Unknown</v>
      </c>
      <c r="M487" s="4" t="str">
        <f>VLOOKUP($K487,'Property names'!$A$1:$D$99,3,FALSE)</f>
        <v>-</v>
      </c>
      <c r="N487" s="4" t="str">
        <f>VLOOKUP($K487,'Property names'!$A$1:$D$99,4,FALSE)</f>
        <v>-</v>
      </c>
      <c r="O487" s="4" t="str">
        <f t="shared" si="10"/>
        <v>ed_11182_ed_11182_MEAS_2</v>
      </c>
      <c r="P487" s="4" t="str">
        <f t="shared" si="11"/>
        <v>The datastream containing mesures of field ed_11182 by sensor ed_11182 which measures Unknown.</v>
      </c>
    </row>
    <row r="488" spans="1:16" ht="12.75">
      <c r="A488" s="4" t="s">
        <v>336</v>
      </c>
      <c r="B488" s="4" t="s">
        <v>813</v>
      </c>
      <c r="C488" s="4" t="s">
        <v>797</v>
      </c>
      <c r="D488" s="4" t="s">
        <v>691</v>
      </c>
      <c r="E488" s="4" t="s">
        <v>691</v>
      </c>
      <c r="F488" s="4" t="s">
        <v>813</v>
      </c>
      <c r="G488" s="4" t="s">
        <v>798</v>
      </c>
      <c r="H488" s="4" t="s">
        <v>690</v>
      </c>
      <c r="I488" s="4" t="s">
        <v>691</v>
      </c>
      <c r="J488" s="4" t="s">
        <v>802</v>
      </c>
      <c r="K488" s="4" t="s">
        <v>800</v>
      </c>
      <c r="L488" s="4" t="str">
        <f>VLOOKUP($K488,'Property names'!$A$1:$D$99,2,FALSE)</f>
        <v>Unknown</v>
      </c>
      <c r="M488" s="4" t="str">
        <f>VLOOKUP($K488,'Property names'!$A$1:$D$99,3,FALSE)</f>
        <v>-</v>
      </c>
      <c r="N488" s="4" t="str">
        <f>VLOOKUP($K488,'Property names'!$A$1:$D$99,4,FALSE)</f>
        <v>-</v>
      </c>
      <c r="O488" s="4" t="str">
        <f t="shared" si="10"/>
        <v>ed_11182_ed_11182_MEAS_3</v>
      </c>
      <c r="P488" s="4" t="str">
        <f t="shared" si="11"/>
        <v>The datastream containing mesures of field ed_11182 by sensor ed_11182 which measures Unknown.</v>
      </c>
    </row>
    <row r="489" spans="1:16" ht="12.75">
      <c r="A489" s="4" t="s">
        <v>336</v>
      </c>
      <c r="B489" s="4" t="s">
        <v>813</v>
      </c>
      <c r="C489" s="4" t="s">
        <v>797</v>
      </c>
      <c r="D489" s="4" t="s">
        <v>691</v>
      </c>
      <c r="E489" s="4" t="s">
        <v>691</v>
      </c>
      <c r="F489" s="4" t="s">
        <v>813</v>
      </c>
      <c r="G489" s="4" t="s">
        <v>798</v>
      </c>
      <c r="H489" s="4" t="s">
        <v>690</v>
      </c>
      <c r="I489" s="4" t="s">
        <v>691</v>
      </c>
      <c r="J489" s="4" t="s">
        <v>803</v>
      </c>
      <c r="K489" s="4" t="s">
        <v>800</v>
      </c>
      <c r="L489" s="4" t="str">
        <f>VLOOKUP($K489,'Property names'!$A$1:$D$99,2,FALSE)</f>
        <v>Unknown</v>
      </c>
      <c r="M489" s="4" t="str">
        <f>VLOOKUP($K489,'Property names'!$A$1:$D$99,3,FALSE)</f>
        <v>-</v>
      </c>
      <c r="N489" s="4" t="str">
        <f>VLOOKUP($K489,'Property names'!$A$1:$D$99,4,FALSE)</f>
        <v>-</v>
      </c>
      <c r="O489" s="4" t="str">
        <f t="shared" si="10"/>
        <v>ed_11182_ed_11182_MEAS_4</v>
      </c>
      <c r="P489" s="4" t="str">
        <f t="shared" si="11"/>
        <v>The datastream containing mesures of field ed_11182 by sensor ed_11182 which measures Unknown.</v>
      </c>
    </row>
    <row r="490" spans="1:16" ht="12.75">
      <c r="A490" s="4" t="s">
        <v>336</v>
      </c>
      <c r="B490" s="4" t="s">
        <v>813</v>
      </c>
      <c r="C490" s="4" t="s">
        <v>797</v>
      </c>
      <c r="D490" s="4" t="s">
        <v>691</v>
      </c>
      <c r="E490" s="4" t="s">
        <v>691</v>
      </c>
      <c r="F490" s="4" t="s">
        <v>813</v>
      </c>
      <c r="G490" s="4" t="s">
        <v>798</v>
      </c>
      <c r="H490" s="4" t="s">
        <v>690</v>
      </c>
      <c r="I490" s="4" t="s">
        <v>691</v>
      </c>
      <c r="J490" s="4" t="s">
        <v>804</v>
      </c>
      <c r="K490" s="4" t="s">
        <v>800</v>
      </c>
      <c r="L490" s="4" t="str">
        <f>VLOOKUP($K490,'Property names'!$A$1:$D$99,2,FALSE)</f>
        <v>Unknown</v>
      </c>
      <c r="M490" s="4" t="str">
        <f>VLOOKUP($K490,'Property names'!$A$1:$D$99,3,FALSE)</f>
        <v>-</v>
      </c>
      <c r="N490" s="4" t="str">
        <f>VLOOKUP($K490,'Property names'!$A$1:$D$99,4,FALSE)</f>
        <v>-</v>
      </c>
      <c r="O490" s="4" t="str">
        <f t="shared" si="10"/>
        <v>ed_11182_ed_11182_MEAS_5</v>
      </c>
      <c r="P490" s="4" t="str">
        <f t="shared" si="11"/>
        <v>The datastream containing mesures of field ed_11182 by sensor ed_11182 which measures Unknown.</v>
      </c>
    </row>
    <row r="491" spans="1:16" ht="12.75">
      <c r="A491" s="4" t="s">
        <v>336</v>
      </c>
      <c r="B491" s="4" t="s">
        <v>813</v>
      </c>
      <c r="C491" s="4" t="s">
        <v>797</v>
      </c>
      <c r="D491" s="4" t="s">
        <v>691</v>
      </c>
      <c r="E491" s="4" t="s">
        <v>691</v>
      </c>
      <c r="F491" s="4" t="s">
        <v>813</v>
      </c>
      <c r="G491" s="4" t="s">
        <v>798</v>
      </c>
      <c r="H491" s="4" t="s">
        <v>690</v>
      </c>
      <c r="I491" s="4" t="s">
        <v>691</v>
      </c>
      <c r="J491" s="4" t="s">
        <v>805</v>
      </c>
      <c r="K491" s="4" t="s">
        <v>800</v>
      </c>
      <c r="L491" s="4" t="str">
        <f>VLOOKUP($K491,'Property names'!$A$1:$D$99,2,FALSE)</f>
        <v>Unknown</v>
      </c>
      <c r="M491" s="4" t="str">
        <f>VLOOKUP($K491,'Property names'!$A$1:$D$99,3,FALSE)</f>
        <v>-</v>
      </c>
      <c r="N491" s="4" t="str">
        <f>VLOOKUP($K491,'Property names'!$A$1:$D$99,4,FALSE)</f>
        <v>-</v>
      </c>
      <c r="O491" s="4" t="str">
        <f t="shared" si="10"/>
        <v>ed_11182_ed_11182_MEAS_6</v>
      </c>
      <c r="P491" s="4" t="str">
        <f t="shared" si="11"/>
        <v>The datastream containing mesures of field ed_11182 by sensor ed_11182 which measures Unknown.</v>
      </c>
    </row>
    <row r="492" spans="1:16" ht="12.75">
      <c r="A492" s="4" t="s">
        <v>336</v>
      </c>
      <c r="B492" s="4" t="s">
        <v>813</v>
      </c>
      <c r="C492" s="4" t="s">
        <v>797</v>
      </c>
      <c r="D492" s="4" t="s">
        <v>691</v>
      </c>
      <c r="E492" s="4" t="s">
        <v>691</v>
      </c>
      <c r="F492" s="4" t="s">
        <v>813</v>
      </c>
      <c r="G492" s="4" t="s">
        <v>798</v>
      </c>
      <c r="H492" s="4" t="s">
        <v>690</v>
      </c>
      <c r="I492" s="4" t="s">
        <v>691</v>
      </c>
      <c r="J492" s="4" t="s">
        <v>806</v>
      </c>
      <c r="K492" s="4" t="s">
        <v>800</v>
      </c>
      <c r="L492" s="4" t="str">
        <f>VLOOKUP($K492,'Property names'!$A$1:$D$99,2,FALSE)</f>
        <v>Unknown</v>
      </c>
      <c r="M492" s="4" t="str">
        <f>VLOOKUP($K492,'Property names'!$A$1:$D$99,3,FALSE)</f>
        <v>-</v>
      </c>
      <c r="N492" s="4" t="str">
        <f>VLOOKUP($K492,'Property names'!$A$1:$D$99,4,FALSE)</f>
        <v>-</v>
      </c>
      <c r="O492" s="4" t="str">
        <f t="shared" si="10"/>
        <v>ed_11182_ed_11182_MEAS_7</v>
      </c>
      <c r="P492" s="4" t="str">
        <f t="shared" si="11"/>
        <v>The datastream containing mesures of field ed_11182 by sensor ed_11182 which measures Unknown.</v>
      </c>
    </row>
    <row r="493" spans="1:16" ht="12.75">
      <c r="A493" s="4" t="s">
        <v>336</v>
      </c>
      <c r="B493" s="4" t="s">
        <v>813</v>
      </c>
      <c r="C493" s="4" t="s">
        <v>797</v>
      </c>
      <c r="D493" s="4" t="s">
        <v>691</v>
      </c>
      <c r="E493" s="4" t="s">
        <v>691</v>
      </c>
      <c r="F493" s="4" t="s">
        <v>813</v>
      </c>
      <c r="G493" s="4" t="s">
        <v>798</v>
      </c>
      <c r="H493" s="4" t="s">
        <v>690</v>
      </c>
      <c r="I493" s="4" t="s">
        <v>691</v>
      </c>
      <c r="J493" s="4" t="s">
        <v>807</v>
      </c>
      <c r="K493" s="4" t="s">
        <v>800</v>
      </c>
      <c r="L493" s="4" t="str">
        <f>VLOOKUP($K493,'Property names'!$A$1:$D$99,2,FALSE)</f>
        <v>Unknown</v>
      </c>
      <c r="M493" s="4" t="str">
        <f>VLOOKUP($K493,'Property names'!$A$1:$D$99,3,FALSE)</f>
        <v>-</v>
      </c>
      <c r="N493" s="4" t="str">
        <f>VLOOKUP($K493,'Property names'!$A$1:$D$99,4,FALSE)</f>
        <v>-</v>
      </c>
      <c r="O493" s="4" t="str">
        <f t="shared" si="10"/>
        <v>ed_11182_ed_11182_MEAS_8</v>
      </c>
      <c r="P493" s="4" t="str">
        <f t="shared" si="11"/>
        <v>The datastream containing mesures of field ed_11182 by sensor ed_11182 which measures Unknown.</v>
      </c>
    </row>
    <row r="494" spans="1:16" ht="12.75">
      <c r="A494" s="4" t="s">
        <v>336</v>
      </c>
      <c r="B494" s="4" t="s">
        <v>813</v>
      </c>
      <c r="C494" s="4" t="s">
        <v>797</v>
      </c>
      <c r="D494" s="4" t="s">
        <v>691</v>
      </c>
      <c r="E494" s="4" t="s">
        <v>691</v>
      </c>
      <c r="F494" s="4" t="s">
        <v>813</v>
      </c>
      <c r="G494" s="4" t="s">
        <v>798</v>
      </c>
      <c r="H494" s="4" t="s">
        <v>690</v>
      </c>
      <c r="I494" s="4" t="s">
        <v>691</v>
      </c>
      <c r="J494" s="4" t="s">
        <v>808</v>
      </c>
      <c r="K494" s="4" t="s">
        <v>800</v>
      </c>
      <c r="L494" s="4" t="str">
        <f>VLOOKUP($K494,'Property names'!$A$1:$D$99,2,FALSE)</f>
        <v>Unknown</v>
      </c>
      <c r="M494" s="4" t="str">
        <f>VLOOKUP($K494,'Property names'!$A$1:$D$99,3,FALSE)</f>
        <v>-</v>
      </c>
      <c r="N494" s="4" t="str">
        <f>VLOOKUP($K494,'Property names'!$A$1:$D$99,4,FALSE)</f>
        <v>-</v>
      </c>
      <c r="O494" s="4" t="str">
        <f t="shared" si="10"/>
        <v>ed_11182_ed_11182_MEAS_9</v>
      </c>
      <c r="P494" s="4" t="str">
        <f t="shared" si="11"/>
        <v>The datastream containing mesures of field ed_11182 by sensor ed_11182 which measures Unknown.</v>
      </c>
    </row>
    <row r="495" spans="1:16" ht="12.75">
      <c r="A495" s="4" t="s">
        <v>336</v>
      </c>
      <c r="B495" s="4" t="s">
        <v>813</v>
      </c>
      <c r="C495" s="4" t="s">
        <v>797</v>
      </c>
      <c r="D495" s="4" t="s">
        <v>691</v>
      </c>
      <c r="E495" s="4" t="s">
        <v>691</v>
      </c>
      <c r="F495" s="4" t="s">
        <v>813</v>
      </c>
      <c r="G495" s="4" t="s">
        <v>798</v>
      </c>
      <c r="H495" s="4" t="s">
        <v>690</v>
      </c>
      <c r="I495" s="4" t="s">
        <v>691</v>
      </c>
      <c r="J495" s="4" t="s">
        <v>809</v>
      </c>
      <c r="K495" s="4" t="s">
        <v>800</v>
      </c>
      <c r="L495" s="4" t="str">
        <f>VLOOKUP($K495,'Property names'!$A$1:$D$99,2,FALSE)</f>
        <v>Unknown</v>
      </c>
      <c r="M495" s="4" t="str">
        <f>VLOOKUP($K495,'Property names'!$A$1:$D$99,3,FALSE)</f>
        <v>-</v>
      </c>
      <c r="N495" s="4" t="str">
        <f>VLOOKUP($K495,'Property names'!$A$1:$D$99,4,FALSE)</f>
        <v>-</v>
      </c>
      <c r="O495" s="4" t="str">
        <f t="shared" si="10"/>
        <v>ed_11182_ed_11182_MEAS_10</v>
      </c>
      <c r="P495" s="4" t="str">
        <f t="shared" si="11"/>
        <v>The datastream containing mesures of field ed_11182 by sensor ed_11182 which measures Unknown.</v>
      </c>
    </row>
    <row r="496" spans="1:16" ht="12.75">
      <c r="A496" s="4" t="s">
        <v>336</v>
      </c>
      <c r="B496" s="4" t="s">
        <v>813</v>
      </c>
      <c r="C496" s="4" t="s">
        <v>797</v>
      </c>
      <c r="D496" s="4" t="s">
        <v>691</v>
      </c>
      <c r="E496" s="4" t="s">
        <v>691</v>
      </c>
      <c r="F496" s="4" t="s">
        <v>813</v>
      </c>
      <c r="G496" s="4" t="s">
        <v>798</v>
      </c>
      <c r="H496" s="4" t="s">
        <v>690</v>
      </c>
      <c r="I496" s="4" t="s">
        <v>691</v>
      </c>
      <c r="J496" s="4" t="s">
        <v>810</v>
      </c>
      <c r="K496" s="4" t="s">
        <v>800</v>
      </c>
      <c r="L496" s="4" t="str">
        <f>VLOOKUP($K496,'Property names'!$A$1:$D$99,2,FALSE)</f>
        <v>Unknown</v>
      </c>
      <c r="M496" s="4" t="str">
        <f>VLOOKUP($K496,'Property names'!$A$1:$D$99,3,FALSE)</f>
        <v>-</v>
      </c>
      <c r="N496" s="4" t="str">
        <f>VLOOKUP($K496,'Property names'!$A$1:$D$99,4,FALSE)</f>
        <v>-</v>
      </c>
      <c r="O496" s="4" t="str">
        <f t="shared" si="10"/>
        <v>ed_11182_ed_11182_MEAS_11</v>
      </c>
      <c r="P496" s="4" t="str">
        <f t="shared" si="11"/>
        <v>The datastream containing mesures of field ed_11182 by sensor ed_11182 which measures Unknown.</v>
      </c>
    </row>
    <row r="497" spans="1:16" ht="12.75">
      <c r="A497" s="4" t="s">
        <v>336</v>
      </c>
      <c r="B497" s="4" t="s">
        <v>813</v>
      </c>
      <c r="C497" s="4" t="s">
        <v>797</v>
      </c>
      <c r="D497" s="4" t="s">
        <v>691</v>
      </c>
      <c r="E497" s="4" t="s">
        <v>691</v>
      </c>
      <c r="F497" s="4" t="s">
        <v>813</v>
      </c>
      <c r="G497" s="4" t="s">
        <v>798</v>
      </c>
      <c r="H497" s="4" t="s">
        <v>690</v>
      </c>
      <c r="I497" s="4" t="s">
        <v>691</v>
      </c>
      <c r="J497" s="4" t="s">
        <v>811</v>
      </c>
      <c r="K497" s="4" t="s">
        <v>800</v>
      </c>
      <c r="L497" s="4" t="str">
        <f>VLOOKUP($K497,'Property names'!$A$1:$D$99,2,FALSE)</f>
        <v>Unknown</v>
      </c>
      <c r="M497" s="4" t="str">
        <f>VLOOKUP($K497,'Property names'!$A$1:$D$99,3,FALSE)</f>
        <v>-</v>
      </c>
      <c r="N497" s="4" t="str">
        <f>VLOOKUP($K497,'Property names'!$A$1:$D$99,4,FALSE)</f>
        <v>-</v>
      </c>
      <c r="O497" s="4" t="str">
        <f t="shared" si="10"/>
        <v>ed_11182_ed_11182_MEAS_12</v>
      </c>
      <c r="P497" s="4" t="str">
        <f t="shared" si="11"/>
        <v>The datastream containing mesures of field ed_11182 by sensor ed_11182 which measures Unknown.</v>
      </c>
    </row>
    <row r="498" spans="1:16" ht="12.75">
      <c r="A498" s="4" t="s">
        <v>336</v>
      </c>
      <c r="B498" s="4" t="s">
        <v>814</v>
      </c>
      <c r="C498" s="4" t="s">
        <v>797</v>
      </c>
      <c r="D498" s="4" t="s">
        <v>691</v>
      </c>
      <c r="E498" s="4" t="s">
        <v>691</v>
      </c>
      <c r="F498" s="4" t="s">
        <v>814</v>
      </c>
      <c r="G498" s="4" t="s">
        <v>798</v>
      </c>
      <c r="H498" s="4" t="s">
        <v>690</v>
      </c>
      <c r="I498" s="4" t="s">
        <v>691</v>
      </c>
      <c r="J498" s="4" t="s">
        <v>799</v>
      </c>
      <c r="K498" s="4" t="s">
        <v>800</v>
      </c>
      <c r="L498" s="4" t="str">
        <f>VLOOKUP($K498,'Property names'!$A$1:$D$99,2,FALSE)</f>
        <v>Unknown</v>
      </c>
      <c r="M498" s="4" t="str">
        <f>VLOOKUP($K498,'Property names'!$A$1:$D$99,3,FALSE)</f>
        <v>-</v>
      </c>
      <c r="N498" s="4" t="str">
        <f>VLOOKUP($K498,'Property names'!$A$1:$D$99,4,FALSE)</f>
        <v>-</v>
      </c>
      <c r="O498" s="4" t="str">
        <f t="shared" si="10"/>
        <v>ed_11216_ed_11216_MEAS_1</v>
      </c>
      <c r="P498" s="4" t="str">
        <f t="shared" si="11"/>
        <v>The datastream containing mesures of field ed_11216 by sensor ed_11216 which measures Unknown.</v>
      </c>
    </row>
    <row r="499" spans="1:16" ht="12.75">
      <c r="A499" s="4" t="s">
        <v>336</v>
      </c>
      <c r="B499" s="4" t="s">
        <v>814</v>
      </c>
      <c r="C499" s="4" t="s">
        <v>797</v>
      </c>
      <c r="D499" s="4" t="s">
        <v>691</v>
      </c>
      <c r="E499" s="4" t="s">
        <v>691</v>
      </c>
      <c r="F499" s="4" t="s">
        <v>814</v>
      </c>
      <c r="G499" s="4" t="s">
        <v>798</v>
      </c>
      <c r="H499" s="4" t="s">
        <v>690</v>
      </c>
      <c r="I499" s="4" t="s">
        <v>691</v>
      </c>
      <c r="J499" s="4" t="s">
        <v>801</v>
      </c>
      <c r="K499" s="4" t="s">
        <v>800</v>
      </c>
      <c r="L499" s="4" t="str">
        <f>VLOOKUP($K499,'Property names'!$A$1:$D$99,2,FALSE)</f>
        <v>Unknown</v>
      </c>
      <c r="M499" s="4" t="str">
        <f>VLOOKUP($K499,'Property names'!$A$1:$D$99,3,FALSE)</f>
        <v>-</v>
      </c>
      <c r="N499" s="4" t="str">
        <f>VLOOKUP($K499,'Property names'!$A$1:$D$99,4,FALSE)</f>
        <v>-</v>
      </c>
      <c r="O499" s="4" t="str">
        <f t="shared" si="10"/>
        <v>ed_11216_ed_11216_MEAS_2</v>
      </c>
      <c r="P499" s="4" t="str">
        <f t="shared" si="11"/>
        <v>The datastream containing mesures of field ed_11216 by sensor ed_11216 which measures Unknown.</v>
      </c>
    </row>
    <row r="500" spans="1:16" ht="12.75">
      <c r="A500" s="4" t="s">
        <v>336</v>
      </c>
      <c r="B500" s="4" t="s">
        <v>814</v>
      </c>
      <c r="C500" s="4" t="s">
        <v>797</v>
      </c>
      <c r="D500" s="4" t="s">
        <v>691</v>
      </c>
      <c r="E500" s="4" t="s">
        <v>691</v>
      </c>
      <c r="F500" s="4" t="s">
        <v>814</v>
      </c>
      <c r="G500" s="4" t="s">
        <v>798</v>
      </c>
      <c r="H500" s="4" t="s">
        <v>690</v>
      </c>
      <c r="I500" s="4" t="s">
        <v>691</v>
      </c>
      <c r="J500" s="4" t="s">
        <v>802</v>
      </c>
      <c r="K500" s="4" t="s">
        <v>800</v>
      </c>
      <c r="L500" s="4" t="str">
        <f>VLOOKUP($K500,'Property names'!$A$1:$D$99,2,FALSE)</f>
        <v>Unknown</v>
      </c>
      <c r="M500" s="4" t="str">
        <f>VLOOKUP($K500,'Property names'!$A$1:$D$99,3,FALSE)</f>
        <v>-</v>
      </c>
      <c r="N500" s="4" t="str">
        <f>VLOOKUP($K500,'Property names'!$A$1:$D$99,4,FALSE)</f>
        <v>-</v>
      </c>
      <c r="O500" s="4" t="str">
        <f t="shared" si="10"/>
        <v>ed_11216_ed_11216_MEAS_3</v>
      </c>
      <c r="P500" s="4" t="str">
        <f t="shared" si="11"/>
        <v>The datastream containing mesures of field ed_11216 by sensor ed_11216 which measures Unknown.</v>
      </c>
    </row>
    <row r="501" spans="1:16" ht="12.75">
      <c r="A501" s="4" t="s">
        <v>336</v>
      </c>
      <c r="B501" s="4" t="s">
        <v>814</v>
      </c>
      <c r="C501" s="4" t="s">
        <v>797</v>
      </c>
      <c r="D501" s="4" t="s">
        <v>691</v>
      </c>
      <c r="E501" s="4" t="s">
        <v>691</v>
      </c>
      <c r="F501" s="4" t="s">
        <v>814</v>
      </c>
      <c r="G501" s="4" t="s">
        <v>798</v>
      </c>
      <c r="H501" s="4" t="s">
        <v>690</v>
      </c>
      <c r="I501" s="4" t="s">
        <v>691</v>
      </c>
      <c r="J501" s="4" t="s">
        <v>803</v>
      </c>
      <c r="K501" s="4" t="s">
        <v>800</v>
      </c>
      <c r="L501" s="4" t="str">
        <f>VLOOKUP($K501,'Property names'!$A$1:$D$99,2,FALSE)</f>
        <v>Unknown</v>
      </c>
      <c r="M501" s="4" t="str">
        <f>VLOOKUP($K501,'Property names'!$A$1:$D$99,3,FALSE)</f>
        <v>-</v>
      </c>
      <c r="N501" s="4" t="str">
        <f>VLOOKUP($K501,'Property names'!$A$1:$D$99,4,FALSE)</f>
        <v>-</v>
      </c>
      <c r="O501" s="4" t="str">
        <f t="shared" si="10"/>
        <v>ed_11216_ed_11216_MEAS_4</v>
      </c>
      <c r="P501" s="4" t="str">
        <f t="shared" si="11"/>
        <v>The datastream containing mesures of field ed_11216 by sensor ed_11216 which measures Unknown.</v>
      </c>
    </row>
    <row r="502" spans="1:16" ht="12.75">
      <c r="A502" s="4" t="s">
        <v>336</v>
      </c>
      <c r="B502" s="4" t="s">
        <v>814</v>
      </c>
      <c r="C502" s="4" t="s">
        <v>797</v>
      </c>
      <c r="D502" s="4" t="s">
        <v>691</v>
      </c>
      <c r="E502" s="4" t="s">
        <v>691</v>
      </c>
      <c r="F502" s="4" t="s">
        <v>814</v>
      </c>
      <c r="G502" s="4" t="s">
        <v>798</v>
      </c>
      <c r="H502" s="4" t="s">
        <v>690</v>
      </c>
      <c r="I502" s="4" t="s">
        <v>691</v>
      </c>
      <c r="J502" s="4" t="s">
        <v>804</v>
      </c>
      <c r="K502" s="4" t="s">
        <v>800</v>
      </c>
      <c r="L502" s="4" t="str">
        <f>VLOOKUP($K502,'Property names'!$A$1:$D$99,2,FALSE)</f>
        <v>Unknown</v>
      </c>
      <c r="M502" s="4" t="str">
        <f>VLOOKUP($K502,'Property names'!$A$1:$D$99,3,FALSE)</f>
        <v>-</v>
      </c>
      <c r="N502" s="4" t="str">
        <f>VLOOKUP($K502,'Property names'!$A$1:$D$99,4,FALSE)</f>
        <v>-</v>
      </c>
      <c r="O502" s="4" t="str">
        <f t="shared" si="10"/>
        <v>ed_11216_ed_11216_MEAS_5</v>
      </c>
      <c r="P502" s="4" t="str">
        <f t="shared" si="11"/>
        <v>The datastream containing mesures of field ed_11216 by sensor ed_11216 which measures Unknown.</v>
      </c>
    </row>
    <row r="503" spans="1:16" ht="12.75">
      <c r="A503" s="4" t="s">
        <v>336</v>
      </c>
      <c r="B503" s="4" t="s">
        <v>814</v>
      </c>
      <c r="C503" s="4" t="s">
        <v>797</v>
      </c>
      <c r="D503" s="4" t="s">
        <v>691</v>
      </c>
      <c r="E503" s="4" t="s">
        <v>691</v>
      </c>
      <c r="F503" s="4" t="s">
        <v>814</v>
      </c>
      <c r="G503" s="4" t="s">
        <v>798</v>
      </c>
      <c r="H503" s="4" t="s">
        <v>690</v>
      </c>
      <c r="I503" s="4" t="s">
        <v>691</v>
      </c>
      <c r="J503" s="4" t="s">
        <v>805</v>
      </c>
      <c r="K503" s="4" t="s">
        <v>800</v>
      </c>
      <c r="L503" s="4" t="str">
        <f>VLOOKUP($K503,'Property names'!$A$1:$D$99,2,FALSE)</f>
        <v>Unknown</v>
      </c>
      <c r="M503" s="4" t="str">
        <f>VLOOKUP($K503,'Property names'!$A$1:$D$99,3,FALSE)</f>
        <v>-</v>
      </c>
      <c r="N503" s="4" t="str">
        <f>VLOOKUP($K503,'Property names'!$A$1:$D$99,4,FALSE)</f>
        <v>-</v>
      </c>
      <c r="O503" s="4" t="str">
        <f t="shared" si="10"/>
        <v>ed_11216_ed_11216_MEAS_6</v>
      </c>
      <c r="P503" s="4" t="str">
        <f t="shared" si="11"/>
        <v>The datastream containing mesures of field ed_11216 by sensor ed_11216 which measures Unknown.</v>
      </c>
    </row>
    <row r="504" spans="1:16" ht="12.75">
      <c r="A504" s="4" t="s">
        <v>336</v>
      </c>
      <c r="B504" s="4" t="s">
        <v>814</v>
      </c>
      <c r="C504" s="4" t="s">
        <v>797</v>
      </c>
      <c r="D504" s="4" t="s">
        <v>691</v>
      </c>
      <c r="E504" s="4" t="s">
        <v>691</v>
      </c>
      <c r="F504" s="4" t="s">
        <v>814</v>
      </c>
      <c r="G504" s="4" t="s">
        <v>798</v>
      </c>
      <c r="H504" s="4" t="s">
        <v>690</v>
      </c>
      <c r="I504" s="4" t="s">
        <v>691</v>
      </c>
      <c r="J504" s="4" t="s">
        <v>806</v>
      </c>
      <c r="K504" s="4" t="s">
        <v>800</v>
      </c>
      <c r="L504" s="4" t="str">
        <f>VLOOKUP($K504,'Property names'!$A$1:$D$99,2,FALSE)</f>
        <v>Unknown</v>
      </c>
      <c r="M504" s="4" t="str">
        <f>VLOOKUP($K504,'Property names'!$A$1:$D$99,3,FALSE)</f>
        <v>-</v>
      </c>
      <c r="N504" s="4" t="str">
        <f>VLOOKUP($K504,'Property names'!$A$1:$D$99,4,FALSE)</f>
        <v>-</v>
      </c>
      <c r="O504" s="4" t="str">
        <f t="shared" si="10"/>
        <v>ed_11216_ed_11216_MEAS_7</v>
      </c>
      <c r="P504" s="4" t="str">
        <f t="shared" si="11"/>
        <v>The datastream containing mesures of field ed_11216 by sensor ed_11216 which measures Unknown.</v>
      </c>
    </row>
    <row r="505" spans="1:16" ht="12.75">
      <c r="A505" s="4" t="s">
        <v>336</v>
      </c>
      <c r="B505" s="4" t="s">
        <v>814</v>
      </c>
      <c r="C505" s="4" t="s">
        <v>797</v>
      </c>
      <c r="D505" s="4" t="s">
        <v>691</v>
      </c>
      <c r="E505" s="4" t="s">
        <v>691</v>
      </c>
      <c r="F505" s="4" t="s">
        <v>814</v>
      </c>
      <c r="G505" s="4" t="s">
        <v>798</v>
      </c>
      <c r="H505" s="4" t="s">
        <v>690</v>
      </c>
      <c r="I505" s="4" t="s">
        <v>691</v>
      </c>
      <c r="J505" s="4" t="s">
        <v>807</v>
      </c>
      <c r="K505" s="4" t="s">
        <v>800</v>
      </c>
      <c r="L505" s="4" t="str">
        <f>VLOOKUP($K505,'Property names'!$A$1:$D$99,2,FALSE)</f>
        <v>Unknown</v>
      </c>
      <c r="M505" s="4" t="str">
        <f>VLOOKUP($K505,'Property names'!$A$1:$D$99,3,FALSE)</f>
        <v>-</v>
      </c>
      <c r="N505" s="4" t="str">
        <f>VLOOKUP($K505,'Property names'!$A$1:$D$99,4,FALSE)</f>
        <v>-</v>
      </c>
      <c r="O505" s="4" t="str">
        <f t="shared" si="10"/>
        <v>ed_11216_ed_11216_MEAS_8</v>
      </c>
      <c r="P505" s="4" t="str">
        <f t="shared" si="11"/>
        <v>The datastream containing mesures of field ed_11216 by sensor ed_11216 which measures Unknown.</v>
      </c>
    </row>
    <row r="506" spans="1:16" ht="12.75">
      <c r="A506" s="4" t="s">
        <v>336</v>
      </c>
      <c r="B506" s="4" t="s">
        <v>814</v>
      </c>
      <c r="C506" s="4" t="s">
        <v>797</v>
      </c>
      <c r="D506" s="4" t="s">
        <v>691</v>
      </c>
      <c r="E506" s="4" t="s">
        <v>691</v>
      </c>
      <c r="F506" s="4" t="s">
        <v>814</v>
      </c>
      <c r="G506" s="4" t="s">
        <v>798</v>
      </c>
      <c r="H506" s="4" t="s">
        <v>690</v>
      </c>
      <c r="I506" s="4" t="s">
        <v>691</v>
      </c>
      <c r="J506" s="4" t="s">
        <v>808</v>
      </c>
      <c r="K506" s="4" t="s">
        <v>800</v>
      </c>
      <c r="L506" s="4" t="str">
        <f>VLOOKUP($K506,'Property names'!$A$1:$D$99,2,FALSE)</f>
        <v>Unknown</v>
      </c>
      <c r="M506" s="4" t="str">
        <f>VLOOKUP($K506,'Property names'!$A$1:$D$99,3,FALSE)</f>
        <v>-</v>
      </c>
      <c r="N506" s="4" t="str">
        <f>VLOOKUP($K506,'Property names'!$A$1:$D$99,4,FALSE)</f>
        <v>-</v>
      </c>
      <c r="O506" s="4" t="str">
        <f t="shared" si="10"/>
        <v>ed_11216_ed_11216_MEAS_9</v>
      </c>
      <c r="P506" s="4" t="str">
        <f t="shared" si="11"/>
        <v>The datastream containing mesures of field ed_11216 by sensor ed_11216 which measures Unknown.</v>
      </c>
    </row>
    <row r="507" spans="1:16" ht="12.75">
      <c r="A507" s="4" t="s">
        <v>336</v>
      </c>
      <c r="B507" s="4" t="s">
        <v>814</v>
      </c>
      <c r="C507" s="4" t="s">
        <v>797</v>
      </c>
      <c r="D507" s="4" t="s">
        <v>691</v>
      </c>
      <c r="E507" s="4" t="s">
        <v>691</v>
      </c>
      <c r="F507" s="4" t="s">
        <v>814</v>
      </c>
      <c r="G507" s="4" t="s">
        <v>798</v>
      </c>
      <c r="H507" s="4" t="s">
        <v>690</v>
      </c>
      <c r="I507" s="4" t="s">
        <v>691</v>
      </c>
      <c r="J507" s="4" t="s">
        <v>809</v>
      </c>
      <c r="K507" s="4" t="s">
        <v>800</v>
      </c>
      <c r="L507" s="4" t="str">
        <f>VLOOKUP($K507,'Property names'!$A$1:$D$99,2,FALSE)</f>
        <v>Unknown</v>
      </c>
      <c r="M507" s="4" t="str">
        <f>VLOOKUP($K507,'Property names'!$A$1:$D$99,3,FALSE)</f>
        <v>-</v>
      </c>
      <c r="N507" s="4" t="str">
        <f>VLOOKUP($K507,'Property names'!$A$1:$D$99,4,FALSE)</f>
        <v>-</v>
      </c>
      <c r="O507" s="4" t="str">
        <f t="shared" si="10"/>
        <v>ed_11216_ed_11216_MEAS_10</v>
      </c>
      <c r="P507" s="4" t="str">
        <f t="shared" si="11"/>
        <v>The datastream containing mesures of field ed_11216 by sensor ed_11216 which measures Unknown.</v>
      </c>
    </row>
    <row r="508" spans="1:16" ht="12.75">
      <c r="A508" s="4" t="s">
        <v>336</v>
      </c>
      <c r="B508" s="4" t="s">
        <v>814</v>
      </c>
      <c r="C508" s="4" t="s">
        <v>797</v>
      </c>
      <c r="D508" s="4" t="s">
        <v>691</v>
      </c>
      <c r="E508" s="4" t="s">
        <v>691</v>
      </c>
      <c r="F508" s="4" t="s">
        <v>814</v>
      </c>
      <c r="G508" s="4" t="s">
        <v>798</v>
      </c>
      <c r="H508" s="4" t="s">
        <v>690</v>
      </c>
      <c r="I508" s="4" t="s">
        <v>691</v>
      </c>
      <c r="J508" s="4" t="s">
        <v>810</v>
      </c>
      <c r="K508" s="4" t="s">
        <v>800</v>
      </c>
      <c r="L508" s="4" t="str">
        <f>VLOOKUP($K508,'Property names'!$A$1:$D$99,2,FALSE)</f>
        <v>Unknown</v>
      </c>
      <c r="M508" s="4" t="str">
        <f>VLOOKUP($K508,'Property names'!$A$1:$D$99,3,FALSE)</f>
        <v>-</v>
      </c>
      <c r="N508" s="4" t="str">
        <f>VLOOKUP($K508,'Property names'!$A$1:$D$99,4,FALSE)</f>
        <v>-</v>
      </c>
      <c r="O508" s="4" t="str">
        <f t="shared" si="10"/>
        <v>ed_11216_ed_11216_MEAS_11</v>
      </c>
      <c r="P508" s="4" t="str">
        <f t="shared" si="11"/>
        <v>The datastream containing mesures of field ed_11216 by sensor ed_11216 which measures Unknown.</v>
      </c>
    </row>
    <row r="509" spans="1:16" ht="12.75">
      <c r="A509" s="4" t="s">
        <v>336</v>
      </c>
      <c r="B509" s="4" t="s">
        <v>814</v>
      </c>
      <c r="C509" s="4" t="s">
        <v>797</v>
      </c>
      <c r="D509" s="4" t="s">
        <v>691</v>
      </c>
      <c r="E509" s="4" t="s">
        <v>691</v>
      </c>
      <c r="F509" s="4" t="s">
        <v>814</v>
      </c>
      <c r="G509" s="4" t="s">
        <v>798</v>
      </c>
      <c r="H509" s="4" t="s">
        <v>690</v>
      </c>
      <c r="I509" s="4" t="s">
        <v>691</v>
      </c>
      <c r="J509" s="4" t="s">
        <v>811</v>
      </c>
      <c r="K509" s="4" t="s">
        <v>800</v>
      </c>
      <c r="L509" s="4" t="str">
        <f>VLOOKUP($K509,'Property names'!$A$1:$D$99,2,FALSE)</f>
        <v>Unknown</v>
      </c>
      <c r="M509" s="4" t="str">
        <f>VLOOKUP($K509,'Property names'!$A$1:$D$99,3,FALSE)</f>
        <v>-</v>
      </c>
      <c r="N509" s="4" t="str">
        <f>VLOOKUP($K509,'Property names'!$A$1:$D$99,4,FALSE)</f>
        <v>-</v>
      </c>
      <c r="O509" s="4" t="str">
        <f t="shared" si="10"/>
        <v>ed_11216_ed_11216_MEAS_12</v>
      </c>
      <c r="P509" s="4" t="str">
        <f t="shared" si="11"/>
        <v>The datastream containing mesures of field ed_11216 by sensor ed_11216 which measures Unknown.</v>
      </c>
    </row>
    <row r="510" spans="1:16" ht="12.75">
      <c r="G510" s="4"/>
      <c r="L510" s="4"/>
      <c r="M510" s="4"/>
      <c r="N510" s="4"/>
      <c r="O510" s="4"/>
    </row>
    <row r="511" spans="1:16" ht="12.75">
      <c r="A511" s="4" t="s">
        <v>176</v>
      </c>
      <c r="B511" s="4" t="s">
        <v>815</v>
      </c>
      <c r="C511" s="4" t="s">
        <v>816</v>
      </c>
      <c r="D511" s="4">
        <v>35.638401000000002</v>
      </c>
      <c r="E511" s="4">
        <v>31.840202000000001</v>
      </c>
      <c r="F511" s="4" t="s">
        <v>186</v>
      </c>
      <c r="G511" s="4" t="s">
        <v>817</v>
      </c>
      <c r="H511" s="4" t="s">
        <v>188</v>
      </c>
      <c r="I511" s="4" t="s">
        <v>192</v>
      </c>
      <c r="J511" s="4" t="s">
        <v>818</v>
      </c>
      <c r="K511" s="4" t="s">
        <v>386</v>
      </c>
      <c r="L511" s="4" t="str">
        <f>VLOOKUP($K511,'Property names'!$A$1:$D$99,2,FALSE)</f>
        <v>The continuous movement of water in a particular direction.</v>
      </c>
      <c r="M511" s="4" t="str">
        <f>VLOOKUP($K511,'Property names'!$A$1:$D$99,3,FALSE)</f>
        <v>Cubic meters per second</v>
      </c>
      <c r="N511" s="4" t="str">
        <f>VLOOKUP($K511,'Property names'!$A$1:$D$99,4,FALSE)</f>
        <v>m^3/s</v>
      </c>
      <c r="O511" s="4" t="str">
        <f t="shared" ref="O511:O613" si="12">SUBSTITUTE(CONCATENATE(B511,"_",F511,"_",J511)," ","_")</f>
        <v>Khalil_Al-Edwan_J001_water_flow</v>
      </c>
      <c r="P511" s="4" t="str">
        <f t="shared" ref="P511:P613" si="13">CONCATENATE("The datastream containing mesures of field ",B511," by sensor ",F511," which measures ",K511,".")</f>
        <v>The datastream containing mesures of field Khalil Al-Edwan by sensor J001 which measures Water Flow.</v>
      </c>
    </row>
    <row r="512" spans="1:16" ht="12.75">
      <c r="A512" s="4" t="s">
        <v>176</v>
      </c>
      <c r="B512" s="4" t="s">
        <v>815</v>
      </c>
      <c r="C512" s="4" t="s">
        <v>816</v>
      </c>
      <c r="D512" s="4">
        <v>35.638401000000002</v>
      </c>
      <c r="E512" s="4">
        <v>31.840202000000001</v>
      </c>
      <c r="F512" s="4" t="s">
        <v>196</v>
      </c>
      <c r="G512" s="4" t="s">
        <v>819</v>
      </c>
      <c r="H512" s="4" t="s">
        <v>198</v>
      </c>
      <c r="I512" s="4" t="s">
        <v>201</v>
      </c>
      <c r="J512" s="4" t="s">
        <v>650</v>
      </c>
      <c r="K512" s="4" t="s">
        <v>644</v>
      </c>
      <c r="L512" s="4" t="str">
        <f>VLOOKUP($K512,'Property names'!$A$1:$D$99,2,FALSE)</f>
        <v>The amount of moisture present in the soil, often expressed as a percentage of the maximum amount the soil could hold at a given temperature.</v>
      </c>
      <c r="M512" s="4" t="str">
        <f>VLOOKUP($K512,'Property names'!$A$1:$D$99,3,FALSE)</f>
        <v>Percentage</v>
      </c>
      <c r="N512" s="4" t="str">
        <f>VLOOKUP($K512,'Property names'!$A$1:$D$99,4,FALSE)</f>
        <v>%</v>
      </c>
      <c r="O512" s="4" t="str">
        <f t="shared" si="12"/>
        <v>Khalil_Al-Edwan_J002_soil_moisture_1</v>
      </c>
      <c r="P512" s="4" t="str">
        <f t="shared" si="13"/>
        <v>The datastream containing mesures of field Khalil Al-Edwan by sensor J002 which measures Soil Moisture.</v>
      </c>
    </row>
    <row r="513" spans="1:16" ht="12.75">
      <c r="A513" s="4" t="s">
        <v>176</v>
      </c>
      <c r="B513" s="4" t="s">
        <v>815</v>
      </c>
      <c r="C513" s="4" t="s">
        <v>816</v>
      </c>
      <c r="D513" s="4">
        <v>35.638401000000002</v>
      </c>
      <c r="E513" s="4">
        <v>31.840202000000001</v>
      </c>
      <c r="F513" s="4" t="s">
        <v>196</v>
      </c>
      <c r="G513" s="4" t="s">
        <v>819</v>
      </c>
      <c r="H513" s="4" t="s">
        <v>198</v>
      </c>
      <c r="I513" s="4" t="s">
        <v>201</v>
      </c>
      <c r="J513" s="4" t="s">
        <v>651</v>
      </c>
      <c r="K513" s="4" t="s">
        <v>644</v>
      </c>
      <c r="L513" s="4" t="str">
        <f>VLOOKUP($K513,'Property names'!$A$1:$D$99,2,FALSE)</f>
        <v>The amount of moisture present in the soil, often expressed as a percentage of the maximum amount the soil could hold at a given temperature.</v>
      </c>
      <c r="M513" s="4" t="str">
        <f>VLOOKUP($K513,'Property names'!$A$1:$D$99,3,FALSE)</f>
        <v>Percentage</v>
      </c>
      <c r="N513" s="4" t="str">
        <f>VLOOKUP($K513,'Property names'!$A$1:$D$99,4,FALSE)</f>
        <v>%</v>
      </c>
      <c r="O513" s="4" t="str">
        <f t="shared" si="12"/>
        <v>Khalil_Al-Edwan_J002_soil_moisture_2</v>
      </c>
      <c r="P513" s="4" t="str">
        <f t="shared" si="13"/>
        <v>The datastream containing mesures of field Khalil Al-Edwan by sensor J002 which measures Soil Moisture.</v>
      </c>
    </row>
    <row r="514" spans="1:16" ht="12.75">
      <c r="A514" s="4" t="s">
        <v>176</v>
      </c>
      <c r="B514" s="4" t="s">
        <v>815</v>
      </c>
      <c r="C514" s="4" t="s">
        <v>816</v>
      </c>
      <c r="D514" s="4">
        <v>35.638401000000002</v>
      </c>
      <c r="E514" s="4">
        <v>31.840202000000001</v>
      </c>
      <c r="F514" s="4" t="s">
        <v>196</v>
      </c>
      <c r="G514" s="4" t="s">
        <v>819</v>
      </c>
      <c r="H514" s="4" t="s">
        <v>198</v>
      </c>
      <c r="I514" s="4" t="s">
        <v>201</v>
      </c>
      <c r="J514" s="4" t="s">
        <v>652</v>
      </c>
      <c r="K514" s="4" t="s">
        <v>644</v>
      </c>
      <c r="L514" s="4" t="str">
        <f>VLOOKUP($K514,'Property names'!$A$1:$D$99,2,FALSE)</f>
        <v>The amount of moisture present in the soil, often expressed as a percentage of the maximum amount the soil could hold at a given temperature.</v>
      </c>
      <c r="M514" s="4" t="str">
        <f>VLOOKUP($K514,'Property names'!$A$1:$D$99,3,FALSE)</f>
        <v>Percentage</v>
      </c>
      <c r="N514" s="4" t="str">
        <f>VLOOKUP($K514,'Property names'!$A$1:$D$99,4,FALSE)</f>
        <v>%</v>
      </c>
      <c r="O514" s="4" t="str">
        <f t="shared" si="12"/>
        <v>Khalil_Al-Edwan_J002_soil_moisture_3</v>
      </c>
      <c r="P514" s="4" t="str">
        <f t="shared" si="13"/>
        <v>The datastream containing mesures of field Khalil Al-Edwan by sensor J002 which measures Soil Moisture.</v>
      </c>
    </row>
    <row r="515" spans="1:16" ht="12.75">
      <c r="A515" s="4" t="s">
        <v>176</v>
      </c>
      <c r="B515" s="4" t="s">
        <v>815</v>
      </c>
      <c r="C515" s="4" t="s">
        <v>816</v>
      </c>
      <c r="D515" s="4">
        <v>35.638401000000002</v>
      </c>
      <c r="E515" s="4">
        <v>31.840202000000001</v>
      </c>
      <c r="F515" s="4" t="s">
        <v>196</v>
      </c>
      <c r="G515" s="4" t="s">
        <v>819</v>
      </c>
      <c r="H515" s="4" t="s">
        <v>198</v>
      </c>
      <c r="I515" s="4" t="s">
        <v>201</v>
      </c>
      <c r="J515" s="4" t="s">
        <v>653</v>
      </c>
      <c r="K515" s="4" t="s">
        <v>644</v>
      </c>
      <c r="L515" s="4" t="str">
        <f>VLOOKUP($K515,'Property names'!$A$1:$D$99,2,FALSE)</f>
        <v>The amount of moisture present in the soil, often expressed as a percentage of the maximum amount the soil could hold at a given temperature.</v>
      </c>
      <c r="M515" s="4" t="str">
        <f>VLOOKUP($K515,'Property names'!$A$1:$D$99,3,FALSE)</f>
        <v>Percentage</v>
      </c>
      <c r="N515" s="4" t="str">
        <f>VLOOKUP($K515,'Property names'!$A$1:$D$99,4,FALSE)</f>
        <v>%</v>
      </c>
      <c r="O515" s="4" t="str">
        <f t="shared" si="12"/>
        <v>Khalil_Al-Edwan_J002_soil_moisture_4</v>
      </c>
      <c r="P515" s="4" t="str">
        <f t="shared" si="13"/>
        <v>The datastream containing mesures of field Khalil Al-Edwan by sensor J002 which measures Soil Moisture.</v>
      </c>
    </row>
    <row r="516" spans="1:16" ht="12.75">
      <c r="A516" s="4" t="s">
        <v>176</v>
      </c>
      <c r="B516" s="4" t="s">
        <v>815</v>
      </c>
      <c r="C516" s="4" t="s">
        <v>816</v>
      </c>
      <c r="D516" s="4">
        <v>35.638401000000002</v>
      </c>
      <c r="E516" s="4">
        <v>31.840202000000001</v>
      </c>
      <c r="F516" s="4" t="s">
        <v>196</v>
      </c>
      <c r="G516" s="4" t="s">
        <v>819</v>
      </c>
      <c r="H516" s="4" t="s">
        <v>198</v>
      </c>
      <c r="I516" s="4" t="s">
        <v>201</v>
      </c>
      <c r="J516" s="4" t="s">
        <v>654</v>
      </c>
      <c r="K516" s="4" t="s">
        <v>644</v>
      </c>
      <c r="L516" s="4" t="str">
        <f>VLOOKUP($K516,'Property names'!$A$1:$D$99,2,FALSE)</f>
        <v>The amount of moisture present in the soil, often expressed as a percentage of the maximum amount the soil could hold at a given temperature.</v>
      </c>
      <c r="M516" s="4" t="str">
        <f>VLOOKUP($K516,'Property names'!$A$1:$D$99,3,FALSE)</f>
        <v>Percentage</v>
      </c>
      <c r="N516" s="4" t="str">
        <f>VLOOKUP($K516,'Property names'!$A$1:$D$99,4,FALSE)</f>
        <v>%</v>
      </c>
      <c r="O516" s="4" t="str">
        <f t="shared" si="12"/>
        <v>Khalil_Al-Edwan_J002_soil_moisture_5</v>
      </c>
      <c r="P516" s="4" t="str">
        <f t="shared" si="13"/>
        <v>The datastream containing mesures of field Khalil Al-Edwan by sensor J002 which measures Soil Moisture.</v>
      </c>
    </row>
    <row r="517" spans="1:16" ht="12.75">
      <c r="A517" s="4" t="s">
        <v>176</v>
      </c>
      <c r="B517" s="4" t="s">
        <v>815</v>
      </c>
      <c r="C517" s="4" t="s">
        <v>816</v>
      </c>
      <c r="D517" s="4">
        <v>35.638401000000002</v>
      </c>
      <c r="E517" s="4">
        <v>31.840202000000001</v>
      </c>
      <c r="F517" s="4" t="s">
        <v>196</v>
      </c>
      <c r="G517" s="4" t="s">
        <v>819</v>
      </c>
      <c r="H517" s="4" t="s">
        <v>198</v>
      </c>
      <c r="I517" s="4" t="s">
        <v>201</v>
      </c>
      <c r="J517" s="4" t="s">
        <v>655</v>
      </c>
      <c r="K517" s="4" t="s">
        <v>644</v>
      </c>
      <c r="L517" s="4" t="str">
        <f>VLOOKUP($K517,'Property names'!$A$1:$D$99,2,FALSE)</f>
        <v>The amount of moisture present in the soil, often expressed as a percentage of the maximum amount the soil could hold at a given temperature.</v>
      </c>
      <c r="M517" s="4" t="str">
        <f>VLOOKUP($K517,'Property names'!$A$1:$D$99,3,FALSE)</f>
        <v>Percentage</v>
      </c>
      <c r="N517" s="4" t="str">
        <f>VLOOKUP($K517,'Property names'!$A$1:$D$99,4,FALSE)</f>
        <v>%</v>
      </c>
      <c r="O517" s="4" t="str">
        <f t="shared" si="12"/>
        <v>Khalil_Al-Edwan_J002_soil_moisture_6</v>
      </c>
      <c r="P517" s="4" t="str">
        <f t="shared" si="13"/>
        <v>The datastream containing mesures of field Khalil Al-Edwan by sensor J002 which measures Soil Moisture.</v>
      </c>
    </row>
    <row r="518" spans="1:16" ht="12.75">
      <c r="A518" s="4" t="s">
        <v>176</v>
      </c>
      <c r="B518" s="4" t="s">
        <v>815</v>
      </c>
      <c r="C518" s="4" t="s">
        <v>816</v>
      </c>
      <c r="D518" s="4">
        <v>35.638401000000002</v>
      </c>
      <c r="E518" s="4">
        <v>31.840202000000001</v>
      </c>
      <c r="F518" s="4" t="s">
        <v>196</v>
      </c>
      <c r="G518" s="4" t="s">
        <v>819</v>
      </c>
      <c r="H518" s="4" t="s">
        <v>198</v>
      </c>
      <c r="I518" s="4" t="s">
        <v>201</v>
      </c>
      <c r="J518" s="4" t="s">
        <v>657</v>
      </c>
      <c r="K518" s="4" t="s">
        <v>646</v>
      </c>
      <c r="L518" s="4" t="str">
        <f>VLOOKUP($K518,'Property names'!$A$1:$D$99,2,FALSE)</f>
        <v>The measure of temperature of the soil.</v>
      </c>
      <c r="M518" s="4" t="str">
        <f>VLOOKUP($K518,'Property names'!$A$1:$D$99,3,FALSE)</f>
        <v>Degrees Celsius</v>
      </c>
      <c r="N518" s="4" t="str">
        <f>VLOOKUP($K518,'Property names'!$A$1:$D$99,4,FALSE)</f>
        <v>ºC</v>
      </c>
      <c r="O518" s="4" t="str">
        <f t="shared" si="12"/>
        <v>Khalil_Al-Edwan_J002_soil_temperature_1</v>
      </c>
      <c r="P518" s="4" t="str">
        <f t="shared" si="13"/>
        <v>The datastream containing mesures of field Khalil Al-Edwan by sensor J002 which measures Soil Temperature.</v>
      </c>
    </row>
    <row r="519" spans="1:16" ht="12.75">
      <c r="A519" s="4" t="s">
        <v>176</v>
      </c>
      <c r="B519" s="4" t="s">
        <v>815</v>
      </c>
      <c r="C519" s="4" t="s">
        <v>816</v>
      </c>
      <c r="D519" s="4">
        <v>35.638401000000002</v>
      </c>
      <c r="E519" s="4">
        <v>31.840202000000001</v>
      </c>
      <c r="F519" s="4" t="s">
        <v>196</v>
      </c>
      <c r="G519" s="4" t="s">
        <v>819</v>
      </c>
      <c r="H519" s="4" t="s">
        <v>198</v>
      </c>
      <c r="I519" s="4" t="s">
        <v>201</v>
      </c>
      <c r="J519" s="4" t="s">
        <v>658</v>
      </c>
      <c r="K519" s="4" t="s">
        <v>646</v>
      </c>
      <c r="L519" s="4" t="str">
        <f>VLOOKUP($K519,'Property names'!$A$1:$D$99,2,FALSE)</f>
        <v>The measure of temperature of the soil.</v>
      </c>
      <c r="M519" s="4" t="str">
        <f>VLOOKUP($K519,'Property names'!$A$1:$D$99,3,FALSE)</f>
        <v>Degrees Celsius</v>
      </c>
      <c r="N519" s="4" t="str">
        <f>VLOOKUP($K519,'Property names'!$A$1:$D$99,4,FALSE)</f>
        <v>ºC</v>
      </c>
      <c r="O519" s="4" t="str">
        <f t="shared" si="12"/>
        <v>Khalil_Al-Edwan_J002_soil_temperature_2</v>
      </c>
      <c r="P519" s="4" t="str">
        <f t="shared" si="13"/>
        <v>The datastream containing mesures of field Khalil Al-Edwan by sensor J002 which measures Soil Temperature.</v>
      </c>
    </row>
    <row r="520" spans="1:16" ht="12.75">
      <c r="A520" s="4" t="s">
        <v>176</v>
      </c>
      <c r="B520" s="4" t="s">
        <v>815</v>
      </c>
      <c r="C520" s="4" t="s">
        <v>816</v>
      </c>
      <c r="D520" s="4">
        <v>35.638401000000002</v>
      </c>
      <c r="E520" s="4">
        <v>31.840202000000001</v>
      </c>
      <c r="F520" s="4" t="s">
        <v>196</v>
      </c>
      <c r="G520" s="4" t="s">
        <v>819</v>
      </c>
      <c r="H520" s="4" t="s">
        <v>198</v>
      </c>
      <c r="I520" s="4" t="s">
        <v>201</v>
      </c>
      <c r="J520" s="4" t="s">
        <v>659</v>
      </c>
      <c r="K520" s="4" t="s">
        <v>646</v>
      </c>
      <c r="L520" s="4" t="str">
        <f>VLOOKUP($K520,'Property names'!$A$1:$D$99,2,FALSE)</f>
        <v>The measure of temperature of the soil.</v>
      </c>
      <c r="M520" s="4" t="str">
        <f>VLOOKUP($K520,'Property names'!$A$1:$D$99,3,FALSE)</f>
        <v>Degrees Celsius</v>
      </c>
      <c r="N520" s="4" t="str">
        <f>VLOOKUP($K520,'Property names'!$A$1:$D$99,4,FALSE)</f>
        <v>ºC</v>
      </c>
      <c r="O520" s="4" t="str">
        <f t="shared" si="12"/>
        <v>Khalil_Al-Edwan_J002_soil_temperature_3</v>
      </c>
      <c r="P520" s="4" t="str">
        <f t="shared" si="13"/>
        <v>The datastream containing mesures of field Khalil Al-Edwan by sensor J002 which measures Soil Temperature.</v>
      </c>
    </row>
    <row r="521" spans="1:16" ht="12.75">
      <c r="A521" s="4" t="s">
        <v>176</v>
      </c>
      <c r="B521" s="4" t="s">
        <v>815</v>
      </c>
      <c r="C521" s="4" t="s">
        <v>816</v>
      </c>
      <c r="D521" s="4">
        <v>35.638401000000002</v>
      </c>
      <c r="E521" s="4">
        <v>31.840202000000001</v>
      </c>
      <c r="F521" s="4" t="s">
        <v>196</v>
      </c>
      <c r="G521" s="4" t="s">
        <v>819</v>
      </c>
      <c r="H521" s="4" t="s">
        <v>198</v>
      </c>
      <c r="I521" s="4" t="s">
        <v>201</v>
      </c>
      <c r="J521" s="4" t="s">
        <v>660</v>
      </c>
      <c r="K521" s="4" t="s">
        <v>646</v>
      </c>
      <c r="L521" s="4" t="str">
        <f>VLOOKUP($K521,'Property names'!$A$1:$D$99,2,FALSE)</f>
        <v>The measure of temperature of the soil.</v>
      </c>
      <c r="M521" s="4" t="str">
        <f>VLOOKUP($K521,'Property names'!$A$1:$D$99,3,FALSE)</f>
        <v>Degrees Celsius</v>
      </c>
      <c r="N521" s="4" t="str">
        <f>VLOOKUP($K521,'Property names'!$A$1:$D$99,4,FALSE)</f>
        <v>ºC</v>
      </c>
      <c r="O521" s="4" t="str">
        <f t="shared" si="12"/>
        <v>Khalil_Al-Edwan_J002_soil_temperature_4</v>
      </c>
      <c r="P521" s="4" t="str">
        <f t="shared" si="13"/>
        <v>The datastream containing mesures of field Khalil Al-Edwan by sensor J002 which measures Soil Temperature.</v>
      </c>
    </row>
    <row r="522" spans="1:16" ht="12.75">
      <c r="A522" s="4" t="s">
        <v>176</v>
      </c>
      <c r="B522" s="4" t="s">
        <v>815</v>
      </c>
      <c r="C522" s="4" t="s">
        <v>816</v>
      </c>
      <c r="D522" s="4">
        <v>35.638401000000002</v>
      </c>
      <c r="E522" s="4">
        <v>31.840202000000001</v>
      </c>
      <c r="F522" s="4" t="s">
        <v>196</v>
      </c>
      <c r="G522" s="4" t="s">
        <v>819</v>
      </c>
      <c r="H522" s="4" t="s">
        <v>198</v>
      </c>
      <c r="I522" s="4" t="s">
        <v>201</v>
      </c>
      <c r="J522" s="4" t="s">
        <v>661</v>
      </c>
      <c r="K522" s="4" t="s">
        <v>646</v>
      </c>
      <c r="L522" s="4" t="str">
        <f>VLOOKUP($K522,'Property names'!$A$1:$D$99,2,FALSE)</f>
        <v>The measure of temperature of the soil.</v>
      </c>
      <c r="M522" s="4" t="str">
        <f>VLOOKUP($K522,'Property names'!$A$1:$D$99,3,FALSE)</f>
        <v>Degrees Celsius</v>
      </c>
      <c r="N522" s="4" t="str">
        <f>VLOOKUP($K522,'Property names'!$A$1:$D$99,4,FALSE)</f>
        <v>ºC</v>
      </c>
      <c r="O522" s="4" t="str">
        <f t="shared" si="12"/>
        <v>Khalil_Al-Edwan_J002_soil_temperature_5</v>
      </c>
      <c r="P522" s="4" t="str">
        <f t="shared" si="13"/>
        <v>The datastream containing mesures of field Khalil Al-Edwan by sensor J002 which measures Soil Temperature.</v>
      </c>
    </row>
    <row r="523" spans="1:16" ht="12.75">
      <c r="A523" s="4" t="s">
        <v>176</v>
      </c>
      <c r="B523" s="4" t="s">
        <v>815</v>
      </c>
      <c r="C523" s="4" t="s">
        <v>816</v>
      </c>
      <c r="D523" s="4">
        <v>35.638401000000002</v>
      </c>
      <c r="E523" s="4">
        <v>31.840202000000001</v>
      </c>
      <c r="F523" s="4" t="s">
        <v>196</v>
      </c>
      <c r="G523" s="4" t="s">
        <v>819</v>
      </c>
      <c r="H523" s="4" t="s">
        <v>198</v>
      </c>
      <c r="I523" s="4" t="s">
        <v>201</v>
      </c>
      <c r="J523" s="4" t="s">
        <v>662</v>
      </c>
      <c r="K523" s="4" t="s">
        <v>646</v>
      </c>
      <c r="L523" s="4" t="str">
        <f>VLOOKUP($K523,'Property names'!$A$1:$D$99,2,FALSE)</f>
        <v>The measure of temperature of the soil.</v>
      </c>
      <c r="M523" s="4" t="str">
        <f>VLOOKUP($K523,'Property names'!$A$1:$D$99,3,FALSE)</f>
        <v>Degrees Celsius</v>
      </c>
      <c r="N523" s="4" t="str">
        <f>VLOOKUP($K523,'Property names'!$A$1:$D$99,4,FALSE)</f>
        <v>ºC</v>
      </c>
      <c r="O523" s="4" t="str">
        <f t="shared" si="12"/>
        <v>Khalil_Al-Edwan_J002_soil_temperature_6</v>
      </c>
      <c r="P523" s="4" t="str">
        <f t="shared" si="13"/>
        <v>The datastream containing mesures of field Khalil Al-Edwan by sensor J002 which measures Soil Temperature.</v>
      </c>
    </row>
    <row r="524" spans="1:16" ht="12.75">
      <c r="A524" s="4" t="s">
        <v>176</v>
      </c>
      <c r="B524" s="4" t="s">
        <v>815</v>
      </c>
      <c r="C524" s="4" t="s">
        <v>816</v>
      </c>
      <c r="D524" s="4">
        <v>35.638401000000002</v>
      </c>
      <c r="E524" s="4">
        <v>31.840202000000001</v>
      </c>
      <c r="F524" s="4" t="s">
        <v>205</v>
      </c>
      <c r="G524" s="4" t="s">
        <v>820</v>
      </c>
      <c r="H524" s="4" t="s">
        <v>207</v>
      </c>
      <c r="I524" s="4" t="s">
        <v>210</v>
      </c>
      <c r="J524" s="4" t="s">
        <v>821</v>
      </c>
      <c r="K524" s="4" t="s">
        <v>822</v>
      </c>
      <c r="L524" s="4" t="str">
        <f>VLOOKUP($K524,'Property names'!$A$1:$D$99,2,FALSE)</f>
        <v>Measure of the acidity or alkalinity of a solution.</v>
      </c>
      <c r="M524" s="4" t="str">
        <f>VLOOKUP($K524,'Property names'!$A$1:$D$99,3,FALSE)</f>
        <v>-</v>
      </c>
      <c r="N524" s="4" t="str">
        <f>VLOOKUP($K524,'Property names'!$A$1:$D$99,4,FALSE)</f>
        <v>-</v>
      </c>
      <c r="O524" s="4" t="str">
        <f t="shared" si="12"/>
        <v>Khalil_Al-Edwan_J003_ph</v>
      </c>
      <c r="P524" s="4" t="str">
        <f t="shared" si="13"/>
        <v>The datastream containing mesures of field Khalil Al-Edwan by sensor J003 which measures pH.</v>
      </c>
    </row>
    <row r="525" spans="1:16" ht="12.75">
      <c r="A525" s="4" t="s">
        <v>176</v>
      </c>
      <c r="B525" s="4" t="s">
        <v>815</v>
      </c>
      <c r="C525" s="4" t="s">
        <v>816</v>
      </c>
      <c r="D525" s="4">
        <v>35.638401000000002</v>
      </c>
      <c r="E525" s="4">
        <v>31.840202000000001</v>
      </c>
      <c r="F525" s="4" t="s">
        <v>205</v>
      </c>
      <c r="G525" s="4" t="s">
        <v>820</v>
      </c>
      <c r="H525" s="4" t="s">
        <v>207</v>
      </c>
      <c r="I525" s="4" t="s">
        <v>210</v>
      </c>
      <c r="J525" s="4" t="s">
        <v>823</v>
      </c>
      <c r="K525" s="4" t="s">
        <v>824</v>
      </c>
      <c r="L525" s="4" t="str">
        <f>VLOOKUP($K525,'Property names'!$A$1:$D$99,2,FALSE)</f>
        <v>Measure of the ability of a solution to conduct electricity.</v>
      </c>
      <c r="M525" s="4" t="str">
        <f>VLOOKUP($K525,'Property names'!$A$1:$D$99,3,FALSE)</f>
        <v>Siemens per meter</v>
      </c>
      <c r="N525" s="4" t="str">
        <f>VLOOKUP($K525,'Property names'!$A$1:$D$99,4,FALSE)</f>
        <v>S/m</v>
      </c>
      <c r="O525" s="4" t="str">
        <f t="shared" si="12"/>
        <v>Khalil_Al-Edwan_J003_ec</v>
      </c>
      <c r="P525" s="4" t="str">
        <f t="shared" si="13"/>
        <v>The datastream containing mesures of field Khalil Al-Edwan by sensor J003 which measures Electric Conductivity.</v>
      </c>
    </row>
    <row r="526" spans="1:16" ht="12.75">
      <c r="A526" s="4" t="s">
        <v>176</v>
      </c>
      <c r="B526" s="4" t="s">
        <v>815</v>
      </c>
      <c r="C526" s="4" t="s">
        <v>816</v>
      </c>
      <c r="D526" s="4">
        <v>35.638401000000002</v>
      </c>
      <c r="E526" s="4">
        <v>31.840202000000001</v>
      </c>
      <c r="F526" s="4" t="s">
        <v>205</v>
      </c>
      <c r="G526" s="4" t="s">
        <v>820</v>
      </c>
      <c r="H526" s="4" t="s">
        <v>207</v>
      </c>
      <c r="I526" s="4" t="s">
        <v>210</v>
      </c>
      <c r="J526" s="4" t="s">
        <v>825</v>
      </c>
      <c r="K526" s="4" t="s">
        <v>826</v>
      </c>
      <c r="L526" s="4" t="str">
        <f>VLOOKUP($K526,'Property names'!$A$1:$D$99,2,FALSE)</f>
        <v>Concentration of ammonia.</v>
      </c>
      <c r="M526" s="4" t="str">
        <f>VLOOKUP($K526,'Property names'!$A$1:$D$99,3,FALSE)</f>
        <v>Parts per million</v>
      </c>
      <c r="N526" s="4" t="str">
        <f>VLOOKUP($K526,'Property names'!$A$1:$D$99,4,FALSE)</f>
        <v>ppm</v>
      </c>
      <c r="O526" s="4" t="str">
        <f t="shared" si="12"/>
        <v>Khalil_Al-Edwan_J003_nh3</v>
      </c>
      <c r="P526" s="4" t="str">
        <f t="shared" si="13"/>
        <v>The datastream containing mesures of field Khalil Al-Edwan by sensor J003 which measures NH3 / Ammonia.</v>
      </c>
    </row>
    <row r="527" spans="1:16" ht="12.75">
      <c r="A527" s="4" t="s">
        <v>176</v>
      </c>
      <c r="B527" s="4" t="s">
        <v>815</v>
      </c>
      <c r="C527" s="4" t="s">
        <v>816</v>
      </c>
      <c r="D527" s="4">
        <v>35.638401000000002</v>
      </c>
      <c r="E527" s="4">
        <v>31.840202000000001</v>
      </c>
      <c r="F527" s="4" t="s">
        <v>205</v>
      </c>
      <c r="G527" s="4" t="s">
        <v>820</v>
      </c>
      <c r="H527" s="4" t="s">
        <v>207</v>
      </c>
      <c r="I527" s="4" t="s">
        <v>210</v>
      </c>
      <c r="J527" s="4" t="s">
        <v>827</v>
      </c>
      <c r="K527" s="4" t="s">
        <v>828</v>
      </c>
      <c r="L527" s="4" t="str">
        <f>VLOOKUP($K527,'Property names'!$A$1:$D$99,2,FALSE)</f>
        <v>Concentration of nitrogen.</v>
      </c>
      <c r="M527" s="4" t="str">
        <f>VLOOKUP($K527,'Property names'!$A$1:$D$99,3,FALSE)</f>
        <v>Parts per million</v>
      </c>
      <c r="N527" s="4" t="str">
        <f>VLOOKUP($K527,'Property names'!$A$1:$D$99,4,FALSE)</f>
        <v>ppm</v>
      </c>
      <c r="O527" s="4" t="str">
        <f t="shared" si="12"/>
        <v>Khalil_Al-Edwan_J003_no4</v>
      </c>
      <c r="P527" s="4" t="str">
        <f t="shared" si="13"/>
        <v>The datastream containing mesures of field Khalil Al-Edwan by sensor J003 which measures NO4 / Nitrate.</v>
      </c>
    </row>
    <row r="528" spans="1:16" ht="12.75">
      <c r="A528" s="4" t="s">
        <v>176</v>
      </c>
      <c r="B528" s="4" t="s">
        <v>815</v>
      </c>
      <c r="C528" s="4" t="s">
        <v>816</v>
      </c>
      <c r="D528" s="4">
        <v>35.638401000000002</v>
      </c>
      <c r="E528" s="4">
        <v>31.840202000000001</v>
      </c>
      <c r="F528" s="4" t="s">
        <v>205</v>
      </c>
      <c r="G528" s="4" t="s">
        <v>820</v>
      </c>
      <c r="H528" s="4" t="s">
        <v>207</v>
      </c>
      <c r="I528" s="4" t="s">
        <v>210</v>
      </c>
      <c r="J528" s="4" t="s">
        <v>829</v>
      </c>
      <c r="K528" s="4" t="s">
        <v>705</v>
      </c>
      <c r="L528" s="4" t="str">
        <f>VLOOKUP($K528,'Property names'!$A$1:$D$99,2,FALSE)</f>
        <v>The measure of the hotness or coldness of something.</v>
      </c>
      <c r="M528" s="4" t="str">
        <f>VLOOKUP($K528,'Property names'!$A$1:$D$99,3,FALSE)</f>
        <v>Degrees Celsius</v>
      </c>
      <c r="N528" s="4" t="str">
        <f>VLOOKUP($K528,'Property names'!$A$1:$D$99,4,FALSE)</f>
        <v>ºC</v>
      </c>
      <c r="O528" s="4" t="str">
        <f t="shared" si="12"/>
        <v>Khalil_Al-Edwan_J003_temperature</v>
      </c>
      <c r="P528" s="4" t="str">
        <f t="shared" si="13"/>
        <v>The datastream containing mesures of field Khalil Al-Edwan by sensor J003 which measures Temperature.</v>
      </c>
    </row>
    <row r="529" spans="1:16" ht="12.75">
      <c r="A529" s="4" t="s">
        <v>176</v>
      </c>
      <c r="B529" s="4" t="s">
        <v>815</v>
      </c>
      <c r="C529" s="4" t="s">
        <v>816</v>
      </c>
      <c r="D529" s="4">
        <v>35.638401000000002</v>
      </c>
      <c r="E529" s="4">
        <v>31.840202000000001</v>
      </c>
      <c r="F529" s="4" t="s">
        <v>205</v>
      </c>
      <c r="G529" s="4" t="s">
        <v>820</v>
      </c>
      <c r="H529" s="4" t="s">
        <v>207</v>
      </c>
      <c r="I529" s="4" t="s">
        <v>210</v>
      </c>
      <c r="J529" s="4" t="s">
        <v>830</v>
      </c>
      <c r="K529" s="4" t="s">
        <v>831</v>
      </c>
      <c r="L529" s="4" t="str">
        <f>VLOOKUP($K529,'Property names'!$A$1:$D$99,2,FALSE)</f>
        <v>The depth at which the water table is found beneath the Earth's surface.</v>
      </c>
      <c r="M529" s="4" t="str">
        <f>VLOOKUP($K529,'Property names'!$A$1:$D$99,3,FALSE)</f>
        <v>Meters</v>
      </c>
      <c r="N529" s="4" t="str">
        <f>VLOOKUP($K529,'Property names'!$A$1:$D$99,4,FALSE)</f>
        <v>m</v>
      </c>
      <c r="O529" s="4" t="str">
        <f t="shared" si="12"/>
        <v>Khalil_Al-Edwan_J003_gw_level</v>
      </c>
      <c r="P529" s="4" t="str">
        <f t="shared" si="13"/>
        <v>The datastream containing mesures of field Khalil Al-Edwan by sensor J003 which measures Groundwater Level.</v>
      </c>
    </row>
    <row r="530" spans="1:16" ht="12.75">
      <c r="A530" s="4" t="s">
        <v>176</v>
      </c>
      <c r="B530" s="4" t="s">
        <v>832</v>
      </c>
      <c r="C530" s="4" t="s">
        <v>816</v>
      </c>
      <c r="D530" s="4">
        <v>35.613776999999999</v>
      </c>
      <c r="E530" s="4">
        <v>32.240135000000002</v>
      </c>
      <c r="F530" s="4" t="s">
        <v>222</v>
      </c>
      <c r="G530" s="4" t="s">
        <v>817</v>
      </c>
      <c r="H530" s="4" t="s">
        <v>188</v>
      </c>
      <c r="I530" s="4" t="s">
        <v>224</v>
      </c>
      <c r="J530" s="4" t="s">
        <v>818</v>
      </c>
      <c r="K530" s="4" t="s">
        <v>386</v>
      </c>
      <c r="L530" s="4" t="str">
        <f>VLOOKUP($K530,'Property names'!$A$1:$D$99,2,FALSE)</f>
        <v>The continuous movement of water in a particular direction.</v>
      </c>
      <c r="M530" s="4" t="str">
        <f>VLOOKUP($K530,'Property names'!$A$1:$D$99,3,FALSE)</f>
        <v>Cubic meters per second</v>
      </c>
      <c r="N530" s="4" t="str">
        <f>VLOOKUP($K530,'Property names'!$A$1:$D$99,4,FALSE)</f>
        <v>m^3/s</v>
      </c>
      <c r="O530" s="4" t="str">
        <f t="shared" si="12"/>
        <v>Mahmoud_Al-Rajbi_J004_water_flow</v>
      </c>
      <c r="P530" s="4" t="str">
        <f t="shared" si="13"/>
        <v>The datastream containing mesures of field Mahmoud Al-Rajbi by sensor J004 which measures Water Flow.</v>
      </c>
    </row>
    <row r="531" spans="1:16" ht="12.75">
      <c r="A531" s="4" t="s">
        <v>176</v>
      </c>
      <c r="B531" s="4" t="s">
        <v>832</v>
      </c>
      <c r="C531" s="4" t="s">
        <v>816</v>
      </c>
      <c r="D531" s="4">
        <v>35.613776999999999</v>
      </c>
      <c r="E531" s="4">
        <v>32.240135000000002</v>
      </c>
      <c r="F531" s="4" t="s">
        <v>225</v>
      </c>
      <c r="G531" s="4" t="s">
        <v>819</v>
      </c>
      <c r="H531" s="4" t="s">
        <v>198</v>
      </c>
      <c r="I531" s="4" t="s">
        <v>227</v>
      </c>
      <c r="J531" s="4" t="s">
        <v>650</v>
      </c>
      <c r="K531" s="4" t="s">
        <v>644</v>
      </c>
      <c r="L531" s="4" t="str">
        <f>VLOOKUP($K531,'Property names'!$A$1:$D$99,2,FALSE)</f>
        <v>The amount of moisture present in the soil, often expressed as a percentage of the maximum amount the soil could hold at a given temperature.</v>
      </c>
      <c r="M531" s="4" t="str">
        <f>VLOOKUP($K531,'Property names'!$A$1:$D$99,3,FALSE)</f>
        <v>Percentage</v>
      </c>
      <c r="N531" s="4" t="str">
        <f>VLOOKUP($K531,'Property names'!$A$1:$D$99,4,FALSE)</f>
        <v>%</v>
      </c>
      <c r="O531" s="4" t="str">
        <f t="shared" si="12"/>
        <v>Mahmoud_Al-Rajbi_J005_soil_moisture_1</v>
      </c>
      <c r="P531" s="4" t="str">
        <f t="shared" si="13"/>
        <v>The datastream containing mesures of field Mahmoud Al-Rajbi by sensor J005 which measures Soil Moisture.</v>
      </c>
    </row>
    <row r="532" spans="1:16" ht="12.75">
      <c r="A532" s="4" t="s">
        <v>176</v>
      </c>
      <c r="B532" s="4" t="s">
        <v>832</v>
      </c>
      <c r="C532" s="4" t="s">
        <v>816</v>
      </c>
      <c r="D532" s="4">
        <v>35.613776999999999</v>
      </c>
      <c r="E532" s="4">
        <v>32.240135000000002</v>
      </c>
      <c r="F532" s="4" t="s">
        <v>225</v>
      </c>
      <c r="G532" s="4" t="s">
        <v>819</v>
      </c>
      <c r="H532" s="4" t="s">
        <v>198</v>
      </c>
      <c r="I532" s="4" t="s">
        <v>227</v>
      </c>
      <c r="J532" s="4" t="s">
        <v>651</v>
      </c>
      <c r="K532" s="4" t="s">
        <v>644</v>
      </c>
      <c r="L532" s="4" t="str">
        <f>VLOOKUP($K532,'Property names'!$A$1:$D$99,2,FALSE)</f>
        <v>The amount of moisture present in the soil, often expressed as a percentage of the maximum amount the soil could hold at a given temperature.</v>
      </c>
      <c r="M532" s="4" t="str">
        <f>VLOOKUP($K532,'Property names'!$A$1:$D$99,3,FALSE)</f>
        <v>Percentage</v>
      </c>
      <c r="N532" s="4" t="str">
        <f>VLOOKUP($K532,'Property names'!$A$1:$D$99,4,FALSE)</f>
        <v>%</v>
      </c>
      <c r="O532" s="4" t="str">
        <f t="shared" si="12"/>
        <v>Mahmoud_Al-Rajbi_J005_soil_moisture_2</v>
      </c>
      <c r="P532" s="4" t="str">
        <f t="shared" si="13"/>
        <v>The datastream containing mesures of field Mahmoud Al-Rajbi by sensor J005 which measures Soil Moisture.</v>
      </c>
    </row>
    <row r="533" spans="1:16" ht="12.75">
      <c r="A533" s="4" t="s">
        <v>176</v>
      </c>
      <c r="B533" s="4" t="s">
        <v>832</v>
      </c>
      <c r="C533" s="4" t="s">
        <v>816</v>
      </c>
      <c r="D533" s="4">
        <v>35.613776999999999</v>
      </c>
      <c r="E533" s="4">
        <v>32.240135000000002</v>
      </c>
      <c r="F533" s="4" t="s">
        <v>225</v>
      </c>
      <c r="G533" s="4" t="s">
        <v>819</v>
      </c>
      <c r="H533" s="4" t="s">
        <v>198</v>
      </c>
      <c r="I533" s="4" t="s">
        <v>227</v>
      </c>
      <c r="J533" s="4" t="s">
        <v>652</v>
      </c>
      <c r="K533" s="4" t="s">
        <v>644</v>
      </c>
      <c r="L533" s="4" t="str">
        <f>VLOOKUP($K533,'Property names'!$A$1:$D$99,2,FALSE)</f>
        <v>The amount of moisture present in the soil, often expressed as a percentage of the maximum amount the soil could hold at a given temperature.</v>
      </c>
      <c r="M533" s="4" t="str">
        <f>VLOOKUP($K533,'Property names'!$A$1:$D$99,3,FALSE)</f>
        <v>Percentage</v>
      </c>
      <c r="N533" s="4" t="str">
        <f>VLOOKUP($K533,'Property names'!$A$1:$D$99,4,FALSE)</f>
        <v>%</v>
      </c>
      <c r="O533" s="4" t="str">
        <f t="shared" si="12"/>
        <v>Mahmoud_Al-Rajbi_J005_soil_moisture_3</v>
      </c>
      <c r="P533" s="4" t="str">
        <f t="shared" si="13"/>
        <v>The datastream containing mesures of field Mahmoud Al-Rajbi by sensor J005 which measures Soil Moisture.</v>
      </c>
    </row>
    <row r="534" spans="1:16" ht="12.75">
      <c r="A534" s="4" t="s">
        <v>176</v>
      </c>
      <c r="B534" s="4" t="s">
        <v>832</v>
      </c>
      <c r="C534" s="4" t="s">
        <v>816</v>
      </c>
      <c r="D534" s="4">
        <v>35.613776999999999</v>
      </c>
      <c r="E534" s="4">
        <v>32.240135000000002</v>
      </c>
      <c r="F534" s="4" t="s">
        <v>225</v>
      </c>
      <c r="G534" s="4" t="s">
        <v>819</v>
      </c>
      <c r="H534" s="4" t="s">
        <v>198</v>
      </c>
      <c r="I534" s="4" t="s">
        <v>227</v>
      </c>
      <c r="J534" s="4" t="s">
        <v>653</v>
      </c>
      <c r="K534" s="4" t="s">
        <v>644</v>
      </c>
      <c r="L534" s="4" t="str">
        <f>VLOOKUP($K534,'Property names'!$A$1:$D$99,2,FALSE)</f>
        <v>The amount of moisture present in the soil, often expressed as a percentage of the maximum amount the soil could hold at a given temperature.</v>
      </c>
      <c r="M534" s="4" t="str">
        <f>VLOOKUP($K534,'Property names'!$A$1:$D$99,3,FALSE)</f>
        <v>Percentage</v>
      </c>
      <c r="N534" s="4" t="str">
        <f>VLOOKUP($K534,'Property names'!$A$1:$D$99,4,FALSE)</f>
        <v>%</v>
      </c>
      <c r="O534" s="4" t="str">
        <f t="shared" si="12"/>
        <v>Mahmoud_Al-Rajbi_J005_soil_moisture_4</v>
      </c>
      <c r="P534" s="4" t="str">
        <f t="shared" si="13"/>
        <v>The datastream containing mesures of field Mahmoud Al-Rajbi by sensor J005 which measures Soil Moisture.</v>
      </c>
    </row>
    <row r="535" spans="1:16" ht="12.75">
      <c r="A535" s="4" t="s">
        <v>176</v>
      </c>
      <c r="B535" s="4" t="s">
        <v>832</v>
      </c>
      <c r="C535" s="4" t="s">
        <v>816</v>
      </c>
      <c r="D535" s="4">
        <v>35.613776999999999</v>
      </c>
      <c r="E535" s="4">
        <v>32.240135000000002</v>
      </c>
      <c r="F535" s="4" t="s">
        <v>225</v>
      </c>
      <c r="G535" s="4" t="s">
        <v>819</v>
      </c>
      <c r="H535" s="4" t="s">
        <v>198</v>
      </c>
      <c r="I535" s="4" t="s">
        <v>227</v>
      </c>
      <c r="J535" s="4" t="s">
        <v>654</v>
      </c>
      <c r="K535" s="4" t="s">
        <v>644</v>
      </c>
      <c r="L535" s="4" t="str">
        <f>VLOOKUP($K535,'Property names'!$A$1:$D$99,2,FALSE)</f>
        <v>The amount of moisture present in the soil, often expressed as a percentage of the maximum amount the soil could hold at a given temperature.</v>
      </c>
      <c r="M535" s="4" t="str">
        <f>VLOOKUP($K535,'Property names'!$A$1:$D$99,3,FALSE)</f>
        <v>Percentage</v>
      </c>
      <c r="N535" s="4" t="str">
        <f>VLOOKUP($K535,'Property names'!$A$1:$D$99,4,FALSE)</f>
        <v>%</v>
      </c>
      <c r="O535" s="4" t="str">
        <f t="shared" si="12"/>
        <v>Mahmoud_Al-Rajbi_J005_soil_moisture_5</v>
      </c>
      <c r="P535" s="4" t="str">
        <f t="shared" si="13"/>
        <v>The datastream containing mesures of field Mahmoud Al-Rajbi by sensor J005 which measures Soil Moisture.</v>
      </c>
    </row>
    <row r="536" spans="1:16" ht="12.75">
      <c r="A536" s="4" t="s">
        <v>176</v>
      </c>
      <c r="B536" s="4" t="s">
        <v>832</v>
      </c>
      <c r="C536" s="4" t="s">
        <v>816</v>
      </c>
      <c r="D536" s="4">
        <v>35.613776999999999</v>
      </c>
      <c r="E536" s="4">
        <v>32.240135000000002</v>
      </c>
      <c r="F536" s="4" t="s">
        <v>225</v>
      </c>
      <c r="G536" s="4" t="s">
        <v>819</v>
      </c>
      <c r="H536" s="4" t="s">
        <v>198</v>
      </c>
      <c r="I536" s="4" t="s">
        <v>227</v>
      </c>
      <c r="J536" s="4" t="s">
        <v>655</v>
      </c>
      <c r="K536" s="4" t="s">
        <v>644</v>
      </c>
      <c r="L536" s="4" t="str">
        <f>VLOOKUP($K536,'Property names'!$A$1:$D$99,2,FALSE)</f>
        <v>The amount of moisture present in the soil, often expressed as a percentage of the maximum amount the soil could hold at a given temperature.</v>
      </c>
      <c r="M536" s="4" t="str">
        <f>VLOOKUP($K536,'Property names'!$A$1:$D$99,3,FALSE)</f>
        <v>Percentage</v>
      </c>
      <c r="N536" s="4" t="str">
        <f>VLOOKUP($K536,'Property names'!$A$1:$D$99,4,FALSE)</f>
        <v>%</v>
      </c>
      <c r="O536" s="4" t="str">
        <f t="shared" si="12"/>
        <v>Mahmoud_Al-Rajbi_J005_soil_moisture_6</v>
      </c>
      <c r="P536" s="4" t="str">
        <f t="shared" si="13"/>
        <v>The datastream containing mesures of field Mahmoud Al-Rajbi by sensor J005 which measures Soil Moisture.</v>
      </c>
    </row>
    <row r="537" spans="1:16" ht="12.75">
      <c r="A537" s="4" t="s">
        <v>176</v>
      </c>
      <c r="B537" s="4" t="s">
        <v>832</v>
      </c>
      <c r="C537" s="4" t="s">
        <v>816</v>
      </c>
      <c r="D537" s="4">
        <v>35.613776999999999</v>
      </c>
      <c r="E537" s="4">
        <v>32.240135000000002</v>
      </c>
      <c r="F537" s="4" t="s">
        <v>225</v>
      </c>
      <c r="G537" s="4" t="s">
        <v>819</v>
      </c>
      <c r="H537" s="4" t="s">
        <v>198</v>
      </c>
      <c r="I537" s="4" t="s">
        <v>227</v>
      </c>
      <c r="J537" s="4" t="s">
        <v>657</v>
      </c>
      <c r="K537" s="4" t="s">
        <v>646</v>
      </c>
      <c r="L537" s="4" t="str">
        <f>VLOOKUP($K537,'Property names'!$A$1:$D$99,2,FALSE)</f>
        <v>The measure of temperature of the soil.</v>
      </c>
      <c r="M537" s="4" t="str">
        <f>VLOOKUP($K537,'Property names'!$A$1:$D$99,3,FALSE)</f>
        <v>Degrees Celsius</v>
      </c>
      <c r="N537" s="4" t="str">
        <f>VLOOKUP($K537,'Property names'!$A$1:$D$99,4,FALSE)</f>
        <v>ºC</v>
      </c>
      <c r="O537" s="4" t="str">
        <f t="shared" si="12"/>
        <v>Mahmoud_Al-Rajbi_J005_soil_temperature_1</v>
      </c>
      <c r="P537" s="4" t="str">
        <f t="shared" si="13"/>
        <v>The datastream containing mesures of field Mahmoud Al-Rajbi by sensor J005 which measures Soil Temperature.</v>
      </c>
    </row>
    <row r="538" spans="1:16" ht="12.75">
      <c r="A538" s="4" t="s">
        <v>176</v>
      </c>
      <c r="B538" s="4" t="s">
        <v>832</v>
      </c>
      <c r="C538" s="4" t="s">
        <v>816</v>
      </c>
      <c r="D538" s="4">
        <v>35.613776999999999</v>
      </c>
      <c r="E538" s="4">
        <v>32.240135000000002</v>
      </c>
      <c r="F538" s="4" t="s">
        <v>225</v>
      </c>
      <c r="G538" s="4" t="s">
        <v>819</v>
      </c>
      <c r="H538" s="4" t="s">
        <v>198</v>
      </c>
      <c r="I538" s="4" t="s">
        <v>227</v>
      </c>
      <c r="J538" s="4" t="s">
        <v>658</v>
      </c>
      <c r="K538" s="4" t="s">
        <v>646</v>
      </c>
      <c r="L538" s="4" t="str">
        <f>VLOOKUP($K538,'Property names'!$A$1:$D$99,2,FALSE)</f>
        <v>The measure of temperature of the soil.</v>
      </c>
      <c r="M538" s="4" t="str">
        <f>VLOOKUP($K538,'Property names'!$A$1:$D$99,3,FALSE)</f>
        <v>Degrees Celsius</v>
      </c>
      <c r="N538" s="4" t="str">
        <f>VLOOKUP($K538,'Property names'!$A$1:$D$99,4,FALSE)</f>
        <v>ºC</v>
      </c>
      <c r="O538" s="4" t="str">
        <f t="shared" si="12"/>
        <v>Mahmoud_Al-Rajbi_J005_soil_temperature_2</v>
      </c>
      <c r="P538" s="4" t="str">
        <f t="shared" si="13"/>
        <v>The datastream containing mesures of field Mahmoud Al-Rajbi by sensor J005 which measures Soil Temperature.</v>
      </c>
    </row>
    <row r="539" spans="1:16" ht="12.75">
      <c r="A539" s="4" t="s">
        <v>176</v>
      </c>
      <c r="B539" s="4" t="s">
        <v>832</v>
      </c>
      <c r="C539" s="4" t="s">
        <v>816</v>
      </c>
      <c r="D539" s="4">
        <v>35.613776999999999</v>
      </c>
      <c r="E539" s="4">
        <v>32.240135000000002</v>
      </c>
      <c r="F539" s="4" t="s">
        <v>225</v>
      </c>
      <c r="G539" s="4" t="s">
        <v>819</v>
      </c>
      <c r="H539" s="4" t="s">
        <v>198</v>
      </c>
      <c r="I539" s="4" t="s">
        <v>227</v>
      </c>
      <c r="J539" s="4" t="s">
        <v>659</v>
      </c>
      <c r="K539" s="4" t="s">
        <v>646</v>
      </c>
      <c r="L539" s="4" t="str">
        <f>VLOOKUP($K539,'Property names'!$A$1:$D$99,2,FALSE)</f>
        <v>The measure of temperature of the soil.</v>
      </c>
      <c r="M539" s="4" t="str">
        <f>VLOOKUP($K539,'Property names'!$A$1:$D$99,3,FALSE)</f>
        <v>Degrees Celsius</v>
      </c>
      <c r="N539" s="4" t="str">
        <f>VLOOKUP($K539,'Property names'!$A$1:$D$99,4,FALSE)</f>
        <v>ºC</v>
      </c>
      <c r="O539" s="4" t="str">
        <f t="shared" si="12"/>
        <v>Mahmoud_Al-Rajbi_J005_soil_temperature_3</v>
      </c>
      <c r="P539" s="4" t="str">
        <f t="shared" si="13"/>
        <v>The datastream containing mesures of field Mahmoud Al-Rajbi by sensor J005 which measures Soil Temperature.</v>
      </c>
    </row>
    <row r="540" spans="1:16" ht="12.75">
      <c r="A540" s="4" t="s">
        <v>176</v>
      </c>
      <c r="B540" s="4" t="s">
        <v>832</v>
      </c>
      <c r="C540" s="4" t="s">
        <v>816</v>
      </c>
      <c r="D540" s="4">
        <v>35.613776999999999</v>
      </c>
      <c r="E540" s="4">
        <v>32.240135000000002</v>
      </c>
      <c r="F540" s="4" t="s">
        <v>225</v>
      </c>
      <c r="G540" s="4" t="s">
        <v>819</v>
      </c>
      <c r="H540" s="4" t="s">
        <v>198</v>
      </c>
      <c r="I540" s="4" t="s">
        <v>227</v>
      </c>
      <c r="J540" s="4" t="s">
        <v>660</v>
      </c>
      <c r="K540" s="4" t="s">
        <v>646</v>
      </c>
      <c r="L540" s="4" t="str">
        <f>VLOOKUP($K540,'Property names'!$A$1:$D$99,2,FALSE)</f>
        <v>The measure of temperature of the soil.</v>
      </c>
      <c r="M540" s="4" t="str">
        <f>VLOOKUP($K540,'Property names'!$A$1:$D$99,3,FALSE)</f>
        <v>Degrees Celsius</v>
      </c>
      <c r="N540" s="4" t="str">
        <f>VLOOKUP($K540,'Property names'!$A$1:$D$99,4,FALSE)</f>
        <v>ºC</v>
      </c>
      <c r="O540" s="4" t="str">
        <f t="shared" si="12"/>
        <v>Mahmoud_Al-Rajbi_J005_soil_temperature_4</v>
      </c>
      <c r="P540" s="4" t="str">
        <f t="shared" si="13"/>
        <v>The datastream containing mesures of field Mahmoud Al-Rajbi by sensor J005 which measures Soil Temperature.</v>
      </c>
    </row>
    <row r="541" spans="1:16" ht="12.75">
      <c r="A541" s="4" t="s">
        <v>176</v>
      </c>
      <c r="B541" s="4" t="s">
        <v>832</v>
      </c>
      <c r="C541" s="4" t="s">
        <v>816</v>
      </c>
      <c r="D541" s="4">
        <v>35.613776999999999</v>
      </c>
      <c r="E541" s="4">
        <v>32.240135000000002</v>
      </c>
      <c r="F541" s="4" t="s">
        <v>225</v>
      </c>
      <c r="G541" s="4" t="s">
        <v>819</v>
      </c>
      <c r="H541" s="4" t="s">
        <v>198</v>
      </c>
      <c r="I541" s="4" t="s">
        <v>227</v>
      </c>
      <c r="J541" s="4" t="s">
        <v>661</v>
      </c>
      <c r="K541" s="4" t="s">
        <v>646</v>
      </c>
      <c r="L541" s="4" t="str">
        <f>VLOOKUP($K541,'Property names'!$A$1:$D$99,2,FALSE)</f>
        <v>The measure of temperature of the soil.</v>
      </c>
      <c r="M541" s="4" t="str">
        <f>VLOOKUP($K541,'Property names'!$A$1:$D$99,3,FALSE)</f>
        <v>Degrees Celsius</v>
      </c>
      <c r="N541" s="4" t="str">
        <f>VLOOKUP($K541,'Property names'!$A$1:$D$99,4,FALSE)</f>
        <v>ºC</v>
      </c>
      <c r="O541" s="4" t="str">
        <f t="shared" si="12"/>
        <v>Mahmoud_Al-Rajbi_J005_soil_temperature_5</v>
      </c>
      <c r="P541" s="4" t="str">
        <f t="shared" si="13"/>
        <v>The datastream containing mesures of field Mahmoud Al-Rajbi by sensor J005 which measures Soil Temperature.</v>
      </c>
    </row>
    <row r="542" spans="1:16" ht="12.75">
      <c r="A542" s="4" t="s">
        <v>176</v>
      </c>
      <c r="B542" s="4" t="s">
        <v>832</v>
      </c>
      <c r="C542" s="4" t="s">
        <v>816</v>
      </c>
      <c r="D542" s="4">
        <v>35.613776999999999</v>
      </c>
      <c r="E542" s="4">
        <v>32.240135000000002</v>
      </c>
      <c r="F542" s="4" t="s">
        <v>225</v>
      </c>
      <c r="G542" s="4" t="s">
        <v>819</v>
      </c>
      <c r="H542" s="4" t="s">
        <v>198</v>
      </c>
      <c r="I542" s="4" t="s">
        <v>227</v>
      </c>
      <c r="J542" s="4" t="s">
        <v>662</v>
      </c>
      <c r="K542" s="4" t="s">
        <v>646</v>
      </c>
      <c r="L542" s="4" t="str">
        <f>VLOOKUP($K542,'Property names'!$A$1:$D$99,2,FALSE)</f>
        <v>The measure of temperature of the soil.</v>
      </c>
      <c r="M542" s="4" t="str">
        <f>VLOOKUP($K542,'Property names'!$A$1:$D$99,3,FALSE)</f>
        <v>Degrees Celsius</v>
      </c>
      <c r="N542" s="4" t="str">
        <f>VLOOKUP($K542,'Property names'!$A$1:$D$99,4,FALSE)</f>
        <v>ºC</v>
      </c>
      <c r="O542" s="4" t="str">
        <f t="shared" si="12"/>
        <v>Mahmoud_Al-Rajbi_J005_soil_temperature_6</v>
      </c>
      <c r="P542" s="4" t="str">
        <f t="shared" si="13"/>
        <v>The datastream containing mesures of field Mahmoud Al-Rajbi by sensor J005 which measures Soil Temperature.</v>
      </c>
    </row>
    <row r="543" spans="1:16" ht="12.75">
      <c r="A543" s="4" t="s">
        <v>176</v>
      </c>
      <c r="B543" s="4" t="s">
        <v>832</v>
      </c>
      <c r="C543" s="4" t="s">
        <v>816</v>
      </c>
      <c r="D543" s="4">
        <v>35.598148000000002</v>
      </c>
      <c r="E543" s="4">
        <v>32.231155000000001</v>
      </c>
      <c r="F543" s="4" t="s">
        <v>229</v>
      </c>
      <c r="G543" s="4" t="s">
        <v>817</v>
      </c>
      <c r="H543" s="4" t="s">
        <v>188</v>
      </c>
      <c r="I543" s="4" t="s">
        <v>233</v>
      </c>
      <c r="J543" s="4" t="s">
        <v>818</v>
      </c>
      <c r="K543" s="4" t="s">
        <v>386</v>
      </c>
      <c r="L543" s="4" t="str">
        <f>VLOOKUP($K543,'Property names'!$A$1:$D$99,2,FALSE)</f>
        <v>The continuous movement of water in a particular direction.</v>
      </c>
      <c r="M543" s="4" t="str">
        <f>VLOOKUP($K543,'Property names'!$A$1:$D$99,3,FALSE)</f>
        <v>Cubic meters per second</v>
      </c>
      <c r="N543" s="4" t="str">
        <f>VLOOKUP($K543,'Property names'!$A$1:$D$99,4,FALSE)</f>
        <v>m^3/s</v>
      </c>
      <c r="O543" s="4" t="str">
        <f t="shared" si="12"/>
        <v>Mahmoud_Al-Rajbi_J006_water_flow</v>
      </c>
      <c r="P543" s="4" t="str">
        <f t="shared" si="13"/>
        <v>The datastream containing mesures of field Mahmoud Al-Rajbi by sensor J006 which measures Water Flow.</v>
      </c>
    </row>
    <row r="544" spans="1:16" ht="12.75">
      <c r="A544" s="4" t="s">
        <v>176</v>
      </c>
      <c r="B544" s="4" t="s">
        <v>832</v>
      </c>
      <c r="C544" s="4" t="s">
        <v>816</v>
      </c>
      <c r="D544" s="4">
        <v>35.598148000000002</v>
      </c>
      <c r="E544" s="4">
        <v>32.231155000000001</v>
      </c>
      <c r="F544" s="4" t="s">
        <v>234</v>
      </c>
      <c r="G544" s="4" t="s">
        <v>819</v>
      </c>
      <c r="H544" s="4" t="s">
        <v>198</v>
      </c>
      <c r="I544" s="4" t="s">
        <v>236</v>
      </c>
      <c r="J544" s="4" t="s">
        <v>650</v>
      </c>
      <c r="K544" s="4" t="s">
        <v>644</v>
      </c>
      <c r="L544" s="4" t="str">
        <f>VLOOKUP($K544,'Property names'!$A$1:$D$99,2,FALSE)</f>
        <v>The amount of moisture present in the soil, often expressed as a percentage of the maximum amount the soil could hold at a given temperature.</v>
      </c>
      <c r="M544" s="4" t="str">
        <f>VLOOKUP($K544,'Property names'!$A$1:$D$99,3,FALSE)</f>
        <v>Percentage</v>
      </c>
      <c r="N544" s="4" t="str">
        <f>VLOOKUP($K544,'Property names'!$A$1:$D$99,4,FALSE)</f>
        <v>%</v>
      </c>
      <c r="O544" s="4" t="str">
        <f t="shared" si="12"/>
        <v>Mahmoud_Al-Rajbi_J007_soil_moisture_1</v>
      </c>
      <c r="P544" s="4" t="str">
        <f t="shared" si="13"/>
        <v>The datastream containing mesures of field Mahmoud Al-Rajbi by sensor J007 which measures Soil Moisture.</v>
      </c>
    </row>
    <row r="545" spans="1:16" ht="12.75">
      <c r="A545" s="4" t="s">
        <v>176</v>
      </c>
      <c r="B545" s="4" t="s">
        <v>832</v>
      </c>
      <c r="C545" s="4" t="s">
        <v>816</v>
      </c>
      <c r="D545" s="4">
        <v>35.598148000000002</v>
      </c>
      <c r="E545" s="4">
        <v>32.231155000000001</v>
      </c>
      <c r="F545" s="4" t="s">
        <v>234</v>
      </c>
      <c r="G545" s="4" t="s">
        <v>819</v>
      </c>
      <c r="H545" s="4" t="s">
        <v>198</v>
      </c>
      <c r="I545" s="4" t="s">
        <v>236</v>
      </c>
      <c r="J545" s="4" t="s">
        <v>651</v>
      </c>
      <c r="K545" s="4" t="s">
        <v>644</v>
      </c>
      <c r="L545" s="4" t="str">
        <f>VLOOKUP($K545,'Property names'!$A$1:$D$99,2,FALSE)</f>
        <v>The amount of moisture present in the soil, often expressed as a percentage of the maximum amount the soil could hold at a given temperature.</v>
      </c>
      <c r="M545" s="4" t="str">
        <f>VLOOKUP($K545,'Property names'!$A$1:$D$99,3,FALSE)</f>
        <v>Percentage</v>
      </c>
      <c r="N545" s="4" t="str">
        <f>VLOOKUP($K545,'Property names'!$A$1:$D$99,4,FALSE)</f>
        <v>%</v>
      </c>
      <c r="O545" s="4" t="str">
        <f t="shared" si="12"/>
        <v>Mahmoud_Al-Rajbi_J007_soil_moisture_2</v>
      </c>
      <c r="P545" s="4" t="str">
        <f t="shared" si="13"/>
        <v>The datastream containing mesures of field Mahmoud Al-Rajbi by sensor J007 which measures Soil Moisture.</v>
      </c>
    </row>
    <row r="546" spans="1:16" ht="12.75">
      <c r="A546" s="4" t="s">
        <v>176</v>
      </c>
      <c r="B546" s="4" t="s">
        <v>832</v>
      </c>
      <c r="C546" s="4" t="s">
        <v>816</v>
      </c>
      <c r="D546" s="4">
        <v>35.598148000000002</v>
      </c>
      <c r="E546" s="4">
        <v>32.231155000000001</v>
      </c>
      <c r="F546" s="4" t="s">
        <v>234</v>
      </c>
      <c r="G546" s="4" t="s">
        <v>819</v>
      </c>
      <c r="H546" s="4" t="s">
        <v>198</v>
      </c>
      <c r="I546" s="4" t="s">
        <v>236</v>
      </c>
      <c r="J546" s="4" t="s">
        <v>652</v>
      </c>
      <c r="K546" s="4" t="s">
        <v>644</v>
      </c>
      <c r="L546" s="4" t="str">
        <f>VLOOKUP($K546,'Property names'!$A$1:$D$99,2,FALSE)</f>
        <v>The amount of moisture present in the soil, often expressed as a percentage of the maximum amount the soil could hold at a given temperature.</v>
      </c>
      <c r="M546" s="4" t="str">
        <f>VLOOKUP($K546,'Property names'!$A$1:$D$99,3,FALSE)</f>
        <v>Percentage</v>
      </c>
      <c r="N546" s="4" t="str">
        <f>VLOOKUP($K546,'Property names'!$A$1:$D$99,4,FALSE)</f>
        <v>%</v>
      </c>
      <c r="O546" s="4" t="str">
        <f t="shared" si="12"/>
        <v>Mahmoud_Al-Rajbi_J007_soil_moisture_3</v>
      </c>
      <c r="P546" s="4" t="str">
        <f t="shared" si="13"/>
        <v>The datastream containing mesures of field Mahmoud Al-Rajbi by sensor J007 which measures Soil Moisture.</v>
      </c>
    </row>
    <row r="547" spans="1:16" ht="12.75">
      <c r="A547" s="4" t="s">
        <v>176</v>
      </c>
      <c r="B547" s="4" t="s">
        <v>832</v>
      </c>
      <c r="C547" s="4" t="s">
        <v>816</v>
      </c>
      <c r="D547" s="4">
        <v>35.598148000000002</v>
      </c>
      <c r="E547" s="4">
        <v>32.231155000000001</v>
      </c>
      <c r="F547" s="4" t="s">
        <v>234</v>
      </c>
      <c r="G547" s="4" t="s">
        <v>819</v>
      </c>
      <c r="H547" s="4" t="s">
        <v>198</v>
      </c>
      <c r="I547" s="4" t="s">
        <v>236</v>
      </c>
      <c r="J547" s="4" t="s">
        <v>653</v>
      </c>
      <c r="K547" s="4" t="s">
        <v>644</v>
      </c>
      <c r="L547" s="4" t="str">
        <f>VLOOKUP($K547,'Property names'!$A$1:$D$99,2,FALSE)</f>
        <v>The amount of moisture present in the soil, often expressed as a percentage of the maximum amount the soil could hold at a given temperature.</v>
      </c>
      <c r="M547" s="4" t="str">
        <f>VLOOKUP($K547,'Property names'!$A$1:$D$99,3,FALSE)</f>
        <v>Percentage</v>
      </c>
      <c r="N547" s="4" t="str">
        <f>VLOOKUP($K547,'Property names'!$A$1:$D$99,4,FALSE)</f>
        <v>%</v>
      </c>
      <c r="O547" s="4" t="str">
        <f t="shared" si="12"/>
        <v>Mahmoud_Al-Rajbi_J007_soil_moisture_4</v>
      </c>
      <c r="P547" s="4" t="str">
        <f t="shared" si="13"/>
        <v>The datastream containing mesures of field Mahmoud Al-Rajbi by sensor J007 which measures Soil Moisture.</v>
      </c>
    </row>
    <row r="548" spans="1:16" ht="12.75">
      <c r="A548" s="4" t="s">
        <v>176</v>
      </c>
      <c r="B548" s="4" t="s">
        <v>832</v>
      </c>
      <c r="C548" s="4" t="s">
        <v>816</v>
      </c>
      <c r="D548" s="4">
        <v>35.598148000000002</v>
      </c>
      <c r="E548" s="4">
        <v>32.231155000000001</v>
      </c>
      <c r="F548" s="4" t="s">
        <v>234</v>
      </c>
      <c r="G548" s="4" t="s">
        <v>819</v>
      </c>
      <c r="H548" s="4" t="s">
        <v>198</v>
      </c>
      <c r="I548" s="4" t="s">
        <v>236</v>
      </c>
      <c r="J548" s="4" t="s">
        <v>654</v>
      </c>
      <c r="K548" s="4" t="s">
        <v>644</v>
      </c>
      <c r="L548" s="4" t="str">
        <f>VLOOKUP($K548,'Property names'!$A$1:$D$99,2,FALSE)</f>
        <v>The amount of moisture present in the soil, often expressed as a percentage of the maximum amount the soil could hold at a given temperature.</v>
      </c>
      <c r="M548" s="4" t="str">
        <f>VLOOKUP($K548,'Property names'!$A$1:$D$99,3,FALSE)</f>
        <v>Percentage</v>
      </c>
      <c r="N548" s="4" t="str">
        <f>VLOOKUP($K548,'Property names'!$A$1:$D$99,4,FALSE)</f>
        <v>%</v>
      </c>
      <c r="O548" s="4" t="str">
        <f t="shared" si="12"/>
        <v>Mahmoud_Al-Rajbi_J007_soil_moisture_5</v>
      </c>
      <c r="P548" s="4" t="str">
        <f t="shared" si="13"/>
        <v>The datastream containing mesures of field Mahmoud Al-Rajbi by sensor J007 which measures Soil Moisture.</v>
      </c>
    </row>
    <row r="549" spans="1:16" ht="12.75">
      <c r="A549" s="4" t="s">
        <v>176</v>
      </c>
      <c r="B549" s="4" t="s">
        <v>832</v>
      </c>
      <c r="C549" s="4" t="s">
        <v>816</v>
      </c>
      <c r="D549" s="4">
        <v>35.598148000000002</v>
      </c>
      <c r="E549" s="4">
        <v>32.231155000000001</v>
      </c>
      <c r="F549" s="4" t="s">
        <v>234</v>
      </c>
      <c r="G549" s="4" t="s">
        <v>819</v>
      </c>
      <c r="H549" s="4" t="s">
        <v>198</v>
      </c>
      <c r="I549" s="4" t="s">
        <v>236</v>
      </c>
      <c r="J549" s="4" t="s">
        <v>655</v>
      </c>
      <c r="K549" s="4" t="s">
        <v>644</v>
      </c>
      <c r="L549" s="4" t="str">
        <f>VLOOKUP($K549,'Property names'!$A$1:$D$99,2,FALSE)</f>
        <v>The amount of moisture present in the soil, often expressed as a percentage of the maximum amount the soil could hold at a given temperature.</v>
      </c>
      <c r="M549" s="4" t="str">
        <f>VLOOKUP($K549,'Property names'!$A$1:$D$99,3,FALSE)</f>
        <v>Percentage</v>
      </c>
      <c r="N549" s="4" t="str">
        <f>VLOOKUP($K549,'Property names'!$A$1:$D$99,4,FALSE)</f>
        <v>%</v>
      </c>
      <c r="O549" s="4" t="str">
        <f t="shared" si="12"/>
        <v>Mahmoud_Al-Rajbi_J007_soil_moisture_6</v>
      </c>
      <c r="P549" s="4" t="str">
        <f t="shared" si="13"/>
        <v>The datastream containing mesures of field Mahmoud Al-Rajbi by sensor J007 which measures Soil Moisture.</v>
      </c>
    </row>
    <row r="550" spans="1:16" ht="12.75">
      <c r="A550" s="4" t="s">
        <v>176</v>
      </c>
      <c r="B550" s="4" t="s">
        <v>832</v>
      </c>
      <c r="C550" s="4" t="s">
        <v>816</v>
      </c>
      <c r="D550" s="4">
        <v>35.598148000000002</v>
      </c>
      <c r="E550" s="4">
        <v>32.231155000000001</v>
      </c>
      <c r="F550" s="4" t="s">
        <v>234</v>
      </c>
      <c r="G550" s="4" t="s">
        <v>819</v>
      </c>
      <c r="H550" s="4" t="s">
        <v>198</v>
      </c>
      <c r="I550" s="4" t="s">
        <v>236</v>
      </c>
      <c r="J550" s="4" t="s">
        <v>657</v>
      </c>
      <c r="K550" s="4" t="s">
        <v>646</v>
      </c>
      <c r="L550" s="4" t="str">
        <f>VLOOKUP($K550,'Property names'!$A$1:$D$99,2,FALSE)</f>
        <v>The measure of temperature of the soil.</v>
      </c>
      <c r="M550" s="4" t="str">
        <f>VLOOKUP($K550,'Property names'!$A$1:$D$99,3,FALSE)</f>
        <v>Degrees Celsius</v>
      </c>
      <c r="N550" s="4" t="str">
        <f>VLOOKUP($K550,'Property names'!$A$1:$D$99,4,FALSE)</f>
        <v>ºC</v>
      </c>
      <c r="O550" s="4" t="str">
        <f t="shared" si="12"/>
        <v>Mahmoud_Al-Rajbi_J007_soil_temperature_1</v>
      </c>
      <c r="P550" s="4" t="str">
        <f t="shared" si="13"/>
        <v>The datastream containing mesures of field Mahmoud Al-Rajbi by sensor J007 which measures Soil Temperature.</v>
      </c>
    </row>
    <row r="551" spans="1:16" ht="12.75">
      <c r="A551" s="4" t="s">
        <v>176</v>
      </c>
      <c r="B551" s="4" t="s">
        <v>832</v>
      </c>
      <c r="C551" s="4" t="s">
        <v>816</v>
      </c>
      <c r="D551" s="4">
        <v>35.598148000000002</v>
      </c>
      <c r="E551" s="4">
        <v>32.231155000000001</v>
      </c>
      <c r="F551" s="4" t="s">
        <v>234</v>
      </c>
      <c r="G551" s="4" t="s">
        <v>819</v>
      </c>
      <c r="H551" s="4" t="s">
        <v>198</v>
      </c>
      <c r="I551" s="4" t="s">
        <v>236</v>
      </c>
      <c r="J551" s="4" t="s">
        <v>658</v>
      </c>
      <c r="K551" s="4" t="s">
        <v>646</v>
      </c>
      <c r="L551" s="4" t="str">
        <f>VLOOKUP($K551,'Property names'!$A$1:$D$99,2,FALSE)</f>
        <v>The measure of temperature of the soil.</v>
      </c>
      <c r="M551" s="4" t="str">
        <f>VLOOKUP($K551,'Property names'!$A$1:$D$99,3,FALSE)</f>
        <v>Degrees Celsius</v>
      </c>
      <c r="N551" s="4" t="str">
        <f>VLOOKUP($K551,'Property names'!$A$1:$D$99,4,FALSE)</f>
        <v>ºC</v>
      </c>
      <c r="O551" s="4" t="str">
        <f t="shared" si="12"/>
        <v>Mahmoud_Al-Rajbi_J007_soil_temperature_2</v>
      </c>
      <c r="P551" s="4" t="str">
        <f t="shared" si="13"/>
        <v>The datastream containing mesures of field Mahmoud Al-Rajbi by sensor J007 which measures Soil Temperature.</v>
      </c>
    </row>
    <row r="552" spans="1:16" ht="12.75">
      <c r="A552" s="4" t="s">
        <v>176</v>
      </c>
      <c r="B552" s="4" t="s">
        <v>832</v>
      </c>
      <c r="C552" s="4" t="s">
        <v>816</v>
      </c>
      <c r="D552" s="4">
        <v>35.598148000000002</v>
      </c>
      <c r="E552" s="4">
        <v>32.231155000000001</v>
      </c>
      <c r="F552" s="4" t="s">
        <v>234</v>
      </c>
      <c r="G552" s="4" t="s">
        <v>819</v>
      </c>
      <c r="H552" s="4" t="s">
        <v>198</v>
      </c>
      <c r="I552" s="4" t="s">
        <v>236</v>
      </c>
      <c r="J552" s="4" t="s">
        <v>659</v>
      </c>
      <c r="K552" s="4" t="s">
        <v>646</v>
      </c>
      <c r="L552" s="4" t="str">
        <f>VLOOKUP($K552,'Property names'!$A$1:$D$99,2,FALSE)</f>
        <v>The measure of temperature of the soil.</v>
      </c>
      <c r="M552" s="4" t="str">
        <f>VLOOKUP($K552,'Property names'!$A$1:$D$99,3,FALSE)</f>
        <v>Degrees Celsius</v>
      </c>
      <c r="N552" s="4" t="str">
        <f>VLOOKUP($K552,'Property names'!$A$1:$D$99,4,FALSE)</f>
        <v>ºC</v>
      </c>
      <c r="O552" s="4" t="str">
        <f t="shared" si="12"/>
        <v>Mahmoud_Al-Rajbi_J007_soil_temperature_3</v>
      </c>
      <c r="P552" s="4" t="str">
        <f t="shared" si="13"/>
        <v>The datastream containing mesures of field Mahmoud Al-Rajbi by sensor J007 which measures Soil Temperature.</v>
      </c>
    </row>
    <row r="553" spans="1:16" ht="12.75">
      <c r="A553" s="4" t="s">
        <v>176</v>
      </c>
      <c r="B553" s="4" t="s">
        <v>832</v>
      </c>
      <c r="C553" s="4" t="s">
        <v>816</v>
      </c>
      <c r="D553" s="4">
        <v>35.598148000000002</v>
      </c>
      <c r="E553" s="4">
        <v>32.231155000000001</v>
      </c>
      <c r="F553" s="4" t="s">
        <v>234</v>
      </c>
      <c r="G553" s="4" t="s">
        <v>819</v>
      </c>
      <c r="H553" s="4" t="s">
        <v>198</v>
      </c>
      <c r="I553" s="4" t="s">
        <v>236</v>
      </c>
      <c r="J553" s="4" t="s">
        <v>660</v>
      </c>
      <c r="K553" s="4" t="s">
        <v>646</v>
      </c>
      <c r="L553" s="4" t="str">
        <f>VLOOKUP($K553,'Property names'!$A$1:$D$99,2,FALSE)</f>
        <v>The measure of temperature of the soil.</v>
      </c>
      <c r="M553" s="4" t="str">
        <f>VLOOKUP($K553,'Property names'!$A$1:$D$99,3,FALSE)</f>
        <v>Degrees Celsius</v>
      </c>
      <c r="N553" s="4" t="str">
        <f>VLOOKUP($K553,'Property names'!$A$1:$D$99,4,FALSE)</f>
        <v>ºC</v>
      </c>
      <c r="O553" s="4" t="str">
        <f t="shared" si="12"/>
        <v>Mahmoud_Al-Rajbi_J007_soil_temperature_4</v>
      </c>
      <c r="P553" s="4" t="str">
        <f t="shared" si="13"/>
        <v>The datastream containing mesures of field Mahmoud Al-Rajbi by sensor J007 which measures Soil Temperature.</v>
      </c>
    </row>
    <row r="554" spans="1:16" ht="12.75">
      <c r="A554" s="4" t="s">
        <v>176</v>
      </c>
      <c r="B554" s="4" t="s">
        <v>832</v>
      </c>
      <c r="C554" s="4" t="s">
        <v>816</v>
      </c>
      <c r="D554" s="4">
        <v>35.598148000000002</v>
      </c>
      <c r="E554" s="4">
        <v>32.231155000000001</v>
      </c>
      <c r="F554" s="4" t="s">
        <v>234</v>
      </c>
      <c r="G554" s="4" t="s">
        <v>819</v>
      </c>
      <c r="H554" s="4" t="s">
        <v>198</v>
      </c>
      <c r="I554" s="4" t="s">
        <v>236</v>
      </c>
      <c r="J554" s="4" t="s">
        <v>661</v>
      </c>
      <c r="K554" s="4" t="s">
        <v>646</v>
      </c>
      <c r="L554" s="4" t="str">
        <f>VLOOKUP($K554,'Property names'!$A$1:$D$99,2,FALSE)</f>
        <v>The measure of temperature of the soil.</v>
      </c>
      <c r="M554" s="4" t="str">
        <f>VLOOKUP($K554,'Property names'!$A$1:$D$99,3,FALSE)</f>
        <v>Degrees Celsius</v>
      </c>
      <c r="N554" s="4" t="str">
        <f>VLOOKUP($K554,'Property names'!$A$1:$D$99,4,FALSE)</f>
        <v>ºC</v>
      </c>
      <c r="O554" s="4" t="str">
        <f t="shared" si="12"/>
        <v>Mahmoud_Al-Rajbi_J007_soil_temperature_5</v>
      </c>
      <c r="P554" s="4" t="str">
        <f t="shared" si="13"/>
        <v>The datastream containing mesures of field Mahmoud Al-Rajbi by sensor J007 which measures Soil Temperature.</v>
      </c>
    </row>
    <row r="555" spans="1:16" ht="12.75">
      <c r="A555" s="4" t="s">
        <v>176</v>
      </c>
      <c r="B555" s="4" t="s">
        <v>832</v>
      </c>
      <c r="C555" s="4" t="s">
        <v>816</v>
      </c>
      <c r="D555" s="4">
        <v>35.598148000000002</v>
      </c>
      <c r="E555" s="4">
        <v>32.231155000000001</v>
      </c>
      <c r="F555" s="4" t="s">
        <v>234</v>
      </c>
      <c r="G555" s="4" t="s">
        <v>819</v>
      </c>
      <c r="H555" s="4" t="s">
        <v>198</v>
      </c>
      <c r="I555" s="4" t="s">
        <v>236</v>
      </c>
      <c r="J555" s="4" t="s">
        <v>662</v>
      </c>
      <c r="K555" s="4" t="s">
        <v>646</v>
      </c>
      <c r="L555" s="4" t="str">
        <f>VLOOKUP($K555,'Property names'!$A$1:$D$99,2,FALSE)</f>
        <v>The measure of temperature of the soil.</v>
      </c>
      <c r="M555" s="4" t="str">
        <f>VLOOKUP($K555,'Property names'!$A$1:$D$99,3,FALSE)</f>
        <v>Degrees Celsius</v>
      </c>
      <c r="N555" s="4" t="str">
        <f>VLOOKUP($K555,'Property names'!$A$1:$D$99,4,FALSE)</f>
        <v>ºC</v>
      </c>
      <c r="O555" s="4" t="str">
        <f t="shared" si="12"/>
        <v>Mahmoud_Al-Rajbi_J007_soil_temperature_6</v>
      </c>
      <c r="P555" s="4" t="str">
        <f t="shared" si="13"/>
        <v>The datastream containing mesures of field Mahmoud Al-Rajbi by sensor J007 which measures Soil Temperature.</v>
      </c>
    </row>
    <row r="556" spans="1:16" ht="12.75">
      <c r="A556" s="4" t="s">
        <v>176</v>
      </c>
      <c r="B556" s="4" t="s">
        <v>832</v>
      </c>
      <c r="C556" s="4" t="s">
        <v>816</v>
      </c>
      <c r="D556" s="4">
        <v>35.595996999999997</v>
      </c>
      <c r="E556" s="4">
        <v>32.237335000000002</v>
      </c>
      <c r="F556" s="4" t="s">
        <v>238</v>
      </c>
      <c r="G556" s="4" t="s">
        <v>817</v>
      </c>
      <c r="H556" s="4" t="s">
        <v>188</v>
      </c>
      <c r="I556" s="4" t="s">
        <v>242</v>
      </c>
      <c r="J556" s="4" t="s">
        <v>818</v>
      </c>
      <c r="K556" s="4" t="s">
        <v>386</v>
      </c>
      <c r="L556" s="4" t="str">
        <f>VLOOKUP($K556,'Property names'!$A$1:$D$99,2,FALSE)</f>
        <v>The continuous movement of water in a particular direction.</v>
      </c>
      <c r="M556" s="4" t="str">
        <f>VLOOKUP($K556,'Property names'!$A$1:$D$99,3,FALSE)</f>
        <v>Cubic meters per second</v>
      </c>
      <c r="N556" s="4" t="str">
        <f>VLOOKUP($K556,'Property names'!$A$1:$D$99,4,FALSE)</f>
        <v>m^3/s</v>
      </c>
      <c r="O556" s="4" t="str">
        <f t="shared" si="12"/>
        <v>Mahmoud_Al-Rajbi_J008_water_flow</v>
      </c>
      <c r="P556" s="4" t="str">
        <f t="shared" si="13"/>
        <v>The datastream containing mesures of field Mahmoud Al-Rajbi by sensor J008 which measures Water Flow.</v>
      </c>
    </row>
    <row r="557" spans="1:16" ht="12.75">
      <c r="A557" s="4" t="s">
        <v>176</v>
      </c>
      <c r="B557" s="4" t="s">
        <v>832</v>
      </c>
      <c r="C557" s="4" t="s">
        <v>816</v>
      </c>
      <c r="D557" s="4">
        <v>35.595996999999997</v>
      </c>
      <c r="E557" s="4">
        <v>32.237335000000002</v>
      </c>
      <c r="F557" s="4" t="s">
        <v>243</v>
      </c>
      <c r="G557" s="4" t="s">
        <v>819</v>
      </c>
      <c r="H557" s="4" t="s">
        <v>198</v>
      </c>
      <c r="I557" s="4" t="s">
        <v>245</v>
      </c>
      <c r="J557" s="4" t="s">
        <v>650</v>
      </c>
      <c r="K557" s="4" t="s">
        <v>644</v>
      </c>
      <c r="L557" s="4" t="str">
        <f>VLOOKUP($K557,'Property names'!$A$1:$D$99,2,FALSE)</f>
        <v>The amount of moisture present in the soil, often expressed as a percentage of the maximum amount the soil could hold at a given temperature.</v>
      </c>
      <c r="M557" s="4" t="str">
        <f>VLOOKUP($K557,'Property names'!$A$1:$D$99,3,FALSE)</f>
        <v>Percentage</v>
      </c>
      <c r="N557" s="4" t="str">
        <f>VLOOKUP($K557,'Property names'!$A$1:$D$99,4,FALSE)</f>
        <v>%</v>
      </c>
      <c r="O557" s="4" t="str">
        <f t="shared" si="12"/>
        <v>Mahmoud_Al-Rajbi_J009_soil_moisture_1</v>
      </c>
      <c r="P557" s="4" t="str">
        <f t="shared" si="13"/>
        <v>The datastream containing mesures of field Mahmoud Al-Rajbi by sensor J009 which measures Soil Moisture.</v>
      </c>
    </row>
    <row r="558" spans="1:16" ht="12.75">
      <c r="A558" s="4" t="s">
        <v>176</v>
      </c>
      <c r="B558" s="4" t="s">
        <v>832</v>
      </c>
      <c r="C558" s="4" t="s">
        <v>816</v>
      </c>
      <c r="D558" s="4">
        <v>35.595996999999997</v>
      </c>
      <c r="E558" s="4">
        <v>32.237335000000002</v>
      </c>
      <c r="F558" s="4" t="s">
        <v>243</v>
      </c>
      <c r="G558" s="4" t="s">
        <v>819</v>
      </c>
      <c r="H558" s="4" t="s">
        <v>198</v>
      </c>
      <c r="I558" s="4" t="s">
        <v>245</v>
      </c>
      <c r="J558" s="4" t="s">
        <v>651</v>
      </c>
      <c r="K558" s="4" t="s">
        <v>644</v>
      </c>
      <c r="L558" s="4" t="str">
        <f>VLOOKUP($K558,'Property names'!$A$1:$D$99,2,FALSE)</f>
        <v>The amount of moisture present in the soil, often expressed as a percentage of the maximum amount the soil could hold at a given temperature.</v>
      </c>
      <c r="M558" s="4" t="str">
        <f>VLOOKUP($K558,'Property names'!$A$1:$D$99,3,FALSE)</f>
        <v>Percentage</v>
      </c>
      <c r="N558" s="4" t="str">
        <f>VLOOKUP($K558,'Property names'!$A$1:$D$99,4,FALSE)</f>
        <v>%</v>
      </c>
      <c r="O558" s="4" t="str">
        <f t="shared" si="12"/>
        <v>Mahmoud_Al-Rajbi_J009_soil_moisture_2</v>
      </c>
      <c r="P558" s="4" t="str">
        <f t="shared" si="13"/>
        <v>The datastream containing mesures of field Mahmoud Al-Rajbi by sensor J009 which measures Soil Moisture.</v>
      </c>
    </row>
    <row r="559" spans="1:16" ht="12.75">
      <c r="A559" s="4" t="s">
        <v>176</v>
      </c>
      <c r="B559" s="4" t="s">
        <v>832</v>
      </c>
      <c r="C559" s="4" t="s">
        <v>816</v>
      </c>
      <c r="D559" s="4">
        <v>35.595996999999997</v>
      </c>
      <c r="E559" s="4">
        <v>32.237335000000002</v>
      </c>
      <c r="F559" s="4" t="s">
        <v>243</v>
      </c>
      <c r="G559" s="4" t="s">
        <v>819</v>
      </c>
      <c r="H559" s="4" t="s">
        <v>198</v>
      </c>
      <c r="I559" s="4" t="s">
        <v>245</v>
      </c>
      <c r="J559" s="4" t="s">
        <v>652</v>
      </c>
      <c r="K559" s="4" t="s">
        <v>644</v>
      </c>
      <c r="L559" s="4" t="str">
        <f>VLOOKUP($K559,'Property names'!$A$1:$D$99,2,FALSE)</f>
        <v>The amount of moisture present in the soil, often expressed as a percentage of the maximum amount the soil could hold at a given temperature.</v>
      </c>
      <c r="M559" s="4" t="str">
        <f>VLOOKUP($K559,'Property names'!$A$1:$D$99,3,FALSE)</f>
        <v>Percentage</v>
      </c>
      <c r="N559" s="4" t="str">
        <f>VLOOKUP($K559,'Property names'!$A$1:$D$99,4,FALSE)</f>
        <v>%</v>
      </c>
      <c r="O559" s="4" t="str">
        <f t="shared" si="12"/>
        <v>Mahmoud_Al-Rajbi_J009_soil_moisture_3</v>
      </c>
      <c r="P559" s="4" t="str">
        <f t="shared" si="13"/>
        <v>The datastream containing mesures of field Mahmoud Al-Rajbi by sensor J009 which measures Soil Moisture.</v>
      </c>
    </row>
    <row r="560" spans="1:16" ht="12.75">
      <c r="A560" s="4" t="s">
        <v>176</v>
      </c>
      <c r="B560" s="4" t="s">
        <v>832</v>
      </c>
      <c r="C560" s="4" t="s">
        <v>816</v>
      </c>
      <c r="D560" s="4">
        <v>35.595996999999997</v>
      </c>
      <c r="E560" s="4">
        <v>32.237335000000002</v>
      </c>
      <c r="F560" s="4" t="s">
        <v>243</v>
      </c>
      <c r="G560" s="4" t="s">
        <v>819</v>
      </c>
      <c r="H560" s="4" t="s">
        <v>198</v>
      </c>
      <c r="I560" s="4" t="s">
        <v>245</v>
      </c>
      <c r="J560" s="4" t="s">
        <v>653</v>
      </c>
      <c r="K560" s="4" t="s">
        <v>644</v>
      </c>
      <c r="L560" s="4" t="str">
        <f>VLOOKUP($K560,'Property names'!$A$1:$D$99,2,FALSE)</f>
        <v>The amount of moisture present in the soil, often expressed as a percentage of the maximum amount the soil could hold at a given temperature.</v>
      </c>
      <c r="M560" s="4" t="str">
        <f>VLOOKUP($K560,'Property names'!$A$1:$D$99,3,FALSE)</f>
        <v>Percentage</v>
      </c>
      <c r="N560" s="4" t="str">
        <f>VLOOKUP($K560,'Property names'!$A$1:$D$99,4,FALSE)</f>
        <v>%</v>
      </c>
      <c r="O560" s="4" t="str">
        <f t="shared" si="12"/>
        <v>Mahmoud_Al-Rajbi_J009_soil_moisture_4</v>
      </c>
      <c r="P560" s="4" t="str">
        <f t="shared" si="13"/>
        <v>The datastream containing mesures of field Mahmoud Al-Rajbi by sensor J009 which measures Soil Moisture.</v>
      </c>
    </row>
    <row r="561" spans="1:16" ht="12.75">
      <c r="A561" s="4" t="s">
        <v>176</v>
      </c>
      <c r="B561" s="4" t="s">
        <v>832</v>
      </c>
      <c r="C561" s="4" t="s">
        <v>816</v>
      </c>
      <c r="D561" s="4">
        <v>35.595996999999997</v>
      </c>
      <c r="E561" s="4">
        <v>32.237335000000002</v>
      </c>
      <c r="F561" s="4" t="s">
        <v>243</v>
      </c>
      <c r="G561" s="4" t="s">
        <v>819</v>
      </c>
      <c r="H561" s="4" t="s">
        <v>198</v>
      </c>
      <c r="I561" s="4" t="s">
        <v>245</v>
      </c>
      <c r="J561" s="4" t="s">
        <v>654</v>
      </c>
      <c r="K561" s="4" t="s">
        <v>644</v>
      </c>
      <c r="L561" s="4" t="str">
        <f>VLOOKUP($K561,'Property names'!$A$1:$D$99,2,FALSE)</f>
        <v>The amount of moisture present in the soil, often expressed as a percentage of the maximum amount the soil could hold at a given temperature.</v>
      </c>
      <c r="M561" s="4" t="str">
        <f>VLOOKUP($K561,'Property names'!$A$1:$D$99,3,FALSE)</f>
        <v>Percentage</v>
      </c>
      <c r="N561" s="4" t="str">
        <f>VLOOKUP($K561,'Property names'!$A$1:$D$99,4,FALSE)</f>
        <v>%</v>
      </c>
      <c r="O561" s="4" t="str">
        <f t="shared" si="12"/>
        <v>Mahmoud_Al-Rajbi_J009_soil_moisture_5</v>
      </c>
      <c r="P561" s="4" t="str">
        <f t="shared" si="13"/>
        <v>The datastream containing mesures of field Mahmoud Al-Rajbi by sensor J009 which measures Soil Moisture.</v>
      </c>
    </row>
    <row r="562" spans="1:16" ht="12.75">
      <c r="A562" s="4" t="s">
        <v>176</v>
      </c>
      <c r="B562" s="4" t="s">
        <v>832</v>
      </c>
      <c r="C562" s="4" t="s">
        <v>816</v>
      </c>
      <c r="D562" s="4">
        <v>35.595996999999997</v>
      </c>
      <c r="E562" s="4">
        <v>32.237335000000002</v>
      </c>
      <c r="F562" s="4" t="s">
        <v>243</v>
      </c>
      <c r="G562" s="4" t="s">
        <v>819</v>
      </c>
      <c r="H562" s="4" t="s">
        <v>198</v>
      </c>
      <c r="I562" s="4" t="s">
        <v>245</v>
      </c>
      <c r="J562" s="4" t="s">
        <v>655</v>
      </c>
      <c r="K562" s="4" t="s">
        <v>644</v>
      </c>
      <c r="L562" s="4" t="str">
        <f>VLOOKUP($K562,'Property names'!$A$1:$D$99,2,FALSE)</f>
        <v>The amount of moisture present in the soil, often expressed as a percentage of the maximum amount the soil could hold at a given temperature.</v>
      </c>
      <c r="M562" s="4" t="str">
        <f>VLOOKUP($K562,'Property names'!$A$1:$D$99,3,FALSE)</f>
        <v>Percentage</v>
      </c>
      <c r="N562" s="4" t="str">
        <f>VLOOKUP($K562,'Property names'!$A$1:$D$99,4,FALSE)</f>
        <v>%</v>
      </c>
      <c r="O562" s="4" t="str">
        <f t="shared" si="12"/>
        <v>Mahmoud_Al-Rajbi_J009_soil_moisture_6</v>
      </c>
      <c r="P562" s="4" t="str">
        <f t="shared" si="13"/>
        <v>The datastream containing mesures of field Mahmoud Al-Rajbi by sensor J009 which measures Soil Moisture.</v>
      </c>
    </row>
    <row r="563" spans="1:16" ht="12.75">
      <c r="A563" s="4" t="s">
        <v>176</v>
      </c>
      <c r="B563" s="4" t="s">
        <v>832</v>
      </c>
      <c r="C563" s="4" t="s">
        <v>816</v>
      </c>
      <c r="D563" s="4">
        <v>35.595996999999997</v>
      </c>
      <c r="E563" s="4">
        <v>32.237335000000002</v>
      </c>
      <c r="F563" s="4" t="s">
        <v>243</v>
      </c>
      <c r="G563" s="4" t="s">
        <v>819</v>
      </c>
      <c r="H563" s="4" t="s">
        <v>198</v>
      </c>
      <c r="I563" s="4" t="s">
        <v>245</v>
      </c>
      <c r="J563" s="4" t="s">
        <v>657</v>
      </c>
      <c r="K563" s="4" t="s">
        <v>646</v>
      </c>
      <c r="L563" s="4" t="str">
        <f>VLOOKUP($K563,'Property names'!$A$1:$D$99,2,FALSE)</f>
        <v>The measure of temperature of the soil.</v>
      </c>
      <c r="M563" s="4" t="str">
        <f>VLOOKUP($K563,'Property names'!$A$1:$D$99,3,FALSE)</f>
        <v>Degrees Celsius</v>
      </c>
      <c r="N563" s="4" t="str">
        <f>VLOOKUP($K563,'Property names'!$A$1:$D$99,4,FALSE)</f>
        <v>ºC</v>
      </c>
      <c r="O563" s="4" t="str">
        <f t="shared" si="12"/>
        <v>Mahmoud_Al-Rajbi_J009_soil_temperature_1</v>
      </c>
      <c r="P563" s="4" t="str">
        <f t="shared" si="13"/>
        <v>The datastream containing mesures of field Mahmoud Al-Rajbi by sensor J009 which measures Soil Temperature.</v>
      </c>
    </row>
    <row r="564" spans="1:16" ht="12.75">
      <c r="A564" s="4" t="s">
        <v>176</v>
      </c>
      <c r="B564" s="4" t="s">
        <v>832</v>
      </c>
      <c r="C564" s="4" t="s">
        <v>816</v>
      </c>
      <c r="D564" s="4">
        <v>35.595996999999997</v>
      </c>
      <c r="E564" s="4">
        <v>32.237335000000002</v>
      </c>
      <c r="F564" s="4" t="s">
        <v>243</v>
      </c>
      <c r="G564" s="4" t="s">
        <v>819</v>
      </c>
      <c r="H564" s="4" t="s">
        <v>198</v>
      </c>
      <c r="I564" s="4" t="s">
        <v>245</v>
      </c>
      <c r="J564" s="4" t="s">
        <v>658</v>
      </c>
      <c r="K564" s="4" t="s">
        <v>646</v>
      </c>
      <c r="L564" s="4" t="str">
        <f>VLOOKUP($K564,'Property names'!$A$1:$D$99,2,FALSE)</f>
        <v>The measure of temperature of the soil.</v>
      </c>
      <c r="M564" s="4" t="str">
        <f>VLOOKUP($K564,'Property names'!$A$1:$D$99,3,FALSE)</f>
        <v>Degrees Celsius</v>
      </c>
      <c r="N564" s="4" t="str">
        <f>VLOOKUP($K564,'Property names'!$A$1:$D$99,4,FALSE)</f>
        <v>ºC</v>
      </c>
      <c r="O564" s="4" t="str">
        <f t="shared" si="12"/>
        <v>Mahmoud_Al-Rajbi_J009_soil_temperature_2</v>
      </c>
      <c r="P564" s="4" t="str">
        <f t="shared" si="13"/>
        <v>The datastream containing mesures of field Mahmoud Al-Rajbi by sensor J009 which measures Soil Temperature.</v>
      </c>
    </row>
    <row r="565" spans="1:16" ht="12.75">
      <c r="A565" s="4" t="s">
        <v>176</v>
      </c>
      <c r="B565" s="4" t="s">
        <v>832</v>
      </c>
      <c r="C565" s="4" t="s">
        <v>816</v>
      </c>
      <c r="D565" s="4">
        <v>35.595996999999997</v>
      </c>
      <c r="E565" s="4">
        <v>32.237335000000002</v>
      </c>
      <c r="F565" s="4" t="s">
        <v>243</v>
      </c>
      <c r="G565" s="4" t="s">
        <v>819</v>
      </c>
      <c r="H565" s="4" t="s">
        <v>198</v>
      </c>
      <c r="I565" s="4" t="s">
        <v>245</v>
      </c>
      <c r="J565" s="4" t="s">
        <v>659</v>
      </c>
      <c r="K565" s="4" t="s">
        <v>646</v>
      </c>
      <c r="L565" s="4" t="str">
        <f>VLOOKUP($K565,'Property names'!$A$1:$D$99,2,FALSE)</f>
        <v>The measure of temperature of the soil.</v>
      </c>
      <c r="M565" s="4" t="str">
        <f>VLOOKUP($K565,'Property names'!$A$1:$D$99,3,FALSE)</f>
        <v>Degrees Celsius</v>
      </c>
      <c r="N565" s="4" t="str">
        <f>VLOOKUP($K565,'Property names'!$A$1:$D$99,4,FALSE)</f>
        <v>ºC</v>
      </c>
      <c r="O565" s="4" t="str">
        <f t="shared" si="12"/>
        <v>Mahmoud_Al-Rajbi_J009_soil_temperature_3</v>
      </c>
      <c r="P565" s="4" t="str">
        <f t="shared" si="13"/>
        <v>The datastream containing mesures of field Mahmoud Al-Rajbi by sensor J009 which measures Soil Temperature.</v>
      </c>
    </row>
    <row r="566" spans="1:16" ht="12.75">
      <c r="A566" s="4" t="s">
        <v>176</v>
      </c>
      <c r="B566" s="4" t="s">
        <v>832</v>
      </c>
      <c r="C566" s="4" t="s">
        <v>816</v>
      </c>
      <c r="D566" s="4">
        <v>35.595996999999997</v>
      </c>
      <c r="E566" s="4">
        <v>32.237335000000002</v>
      </c>
      <c r="F566" s="4" t="s">
        <v>243</v>
      </c>
      <c r="G566" s="4" t="s">
        <v>819</v>
      </c>
      <c r="H566" s="4" t="s">
        <v>198</v>
      </c>
      <c r="I566" s="4" t="s">
        <v>245</v>
      </c>
      <c r="J566" s="4" t="s">
        <v>660</v>
      </c>
      <c r="K566" s="4" t="s">
        <v>646</v>
      </c>
      <c r="L566" s="4" t="str">
        <f>VLOOKUP($K566,'Property names'!$A$1:$D$99,2,FALSE)</f>
        <v>The measure of temperature of the soil.</v>
      </c>
      <c r="M566" s="4" t="str">
        <f>VLOOKUP($K566,'Property names'!$A$1:$D$99,3,FALSE)</f>
        <v>Degrees Celsius</v>
      </c>
      <c r="N566" s="4" t="str">
        <f>VLOOKUP($K566,'Property names'!$A$1:$D$99,4,FALSE)</f>
        <v>ºC</v>
      </c>
      <c r="O566" s="4" t="str">
        <f t="shared" si="12"/>
        <v>Mahmoud_Al-Rajbi_J009_soil_temperature_4</v>
      </c>
      <c r="P566" s="4" t="str">
        <f t="shared" si="13"/>
        <v>The datastream containing mesures of field Mahmoud Al-Rajbi by sensor J009 which measures Soil Temperature.</v>
      </c>
    </row>
    <row r="567" spans="1:16" ht="12.75">
      <c r="A567" s="4" t="s">
        <v>176</v>
      </c>
      <c r="B567" s="4" t="s">
        <v>832</v>
      </c>
      <c r="C567" s="4" t="s">
        <v>816</v>
      </c>
      <c r="D567" s="4">
        <v>35.595996999999997</v>
      </c>
      <c r="E567" s="4">
        <v>32.237335000000002</v>
      </c>
      <c r="F567" s="4" t="s">
        <v>243</v>
      </c>
      <c r="G567" s="4" t="s">
        <v>819</v>
      </c>
      <c r="H567" s="4" t="s">
        <v>198</v>
      </c>
      <c r="I567" s="4" t="s">
        <v>245</v>
      </c>
      <c r="J567" s="4" t="s">
        <v>661</v>
      </c>
      <c r="K567" s="4" t="s">
        <v>646</v>
      </c>
      <c r="L567" s="4" t="str">
        <f>VLOOKUP($K567,'Property names'!$A$1:$D$99,2,FALSE)</f>
        <v>The measure of temperature of the soil.</v>
      </c>
      <c r="M567" s="4" t="str">
        <f>VLOOKUP($K567,'Property names'!$A$1:$D$99,3,FALSE)</f>
        <v>Degrees Celsius</v>
      </c>
      <c r="N567" s="4" t="str">
        <f>VLOOKUP($K567,'Property names'!$A$1:$D$99,4,FALSE)</f>
        <v>ºC</v>
      </c>
      <c r="O567" s="4" t="str">
        <f t="shared" si="12"/>
        <v>Mahmoud_Al-Rajbi_J009_soil_temperature_5</v>
      </c>
      <c r="P567" s="4" t="str">
        <f t="shared" si="13"/>
        <v>The datastream containing mesures of field Mahmoud Al-Rajbi by sensor J009 which measures Soil Temperature.</v>
      </c>
    </row>
    <row r="568" spans="1:16" ht="12.75">
      <c r="A568" s="4" t="s">
        <v>176</v>
      </c>
      <c r="B568" s="4" t="s">
        <v>832</v>
      </c>
      <c r="C568" s="4" t="s">
        <v>816</v>
      </c>
      <c r="D568" s="4">
        <v>35.595996999999997</v>
      </c>
      <c r="E568" s="4">
        <v>32.237335000000002</v>
      </c>
      <c r="F568" s="4" t="s">
        <v>243</v>
      </c>
      <c r="G568" s="4" t="s">
        <v>819</v>
      </c>
      <c r="H568" s="4" t="s">
        <v>198</v>
      </c>
      <c r="I568" s="4" t="s">
        <v>245</v>
      </c>
      <c r="J568" s="4" t="s">
        <v>662</v>
      </c>
      <c r="K568" s="4" t="s">
        <v>646</v>
      </c>
      <c r="L568" s="4" t="str">
        <f>VLOOKUP($K568,'Property names'!$A$1:$D$99,2,FALSE)</f>
        <v>The measure of temperature of the soil.</v>
      </c>
      <c r="M568" s="4" t="str">
        <f>VLOOKUP($K568,'Property names'!$A$1:$D$99,3,FALSE)</f>
        <v>Degrees Celsius</v>
      </c>
      <c r="N568" s="4" t="str">
        <f>VLOOKUP($K568,'Property names'!$A$1:$D$99,4,FALSE)</f>
        <v>ºC</v>
      </c>
      <c r="O568" s="4" t="str">
        <f t="shared" si="12"/>
        <v>Mahmoud_Al-Rajbi_J009_soil_temperature_6</v>
      </c>
      <c r="P568" s="4" t="str">
        <f t="shared" si="13"/>
        <v>The datastream containing mesures of field Mahmoud Al-Rajbi by sensor J009 which measures Soil Temperature.</v>
      </c>
    </row>
    <row r="569" spans="1:16" ht="12.75">
      <c r="A569" s="4" t="s">
        <v>176</v>
      </c>
      <c r="B569" s="4" t="s">
        <v>833</v>
      </c>
      <c r="C569" s="4" t="s">
        <v>834</v>
      </c>
      <c r="D569" s="4">
        <v>35.621113000000001</v>
      </c>
      <c r="E569" s="4">
        <v>32.194248999999999</v>
      </c>
      <c r="F569" s="4" t="s">
        <v>254</v>
      </c>
      <c r="G569" s="4" t="s">
        <v>817</v>
      </c>
      <c r="H569" s="4" t="s">
        <v>188</v>
      </c>
      <c r="I569" s="4" t="s">
        <v>256</v>
      </c>
      <c r="J569" s="4" t="s">
        <v>818</v>
      </c>
      <c r="K569" s="4" t="s">
        <v>386</v>
      </c>
      <c r="L569" s="4" t="str">
        <f>VLOOKUP($K569,'Property names'!$A$1:$D$99,2,FALSE)</f>
        <v>The continuous movement of water in a particular direction.</v>
      </c>
      <c r="M569" s="4" t="str">
        <f>VLOOKUP($K569,'Property names'!$A$1:$D$99,3,FALSE)</f>
        <v>Cubic meters per second</v>
      </c>
      <c r="N569" s="4" t="str">
        <f>VLOOKUP($K569,'Property names'!$A$1:$D$99,4,FALSE)</f>
        <v>m^3/s</v>
      </c>
      <c r="O569" s="4" t="str">
        <f t="shared" si="12"/>
        <v>NARC_J010_water_flow</v>
      </c>
      <c r="P569" s="4" t="str">
        <f t="shared" si="13"/>
        <v>The datastream containing mesures of field NARC by sensor J010 which measures Water Flow.</v>
      </c>
    </row>
    <row r="570" spans="1:16" ht="12.75">
      <c r="A570" s="4" t="s">
        <v>176</v>
      </c>
      <c r="B570" s="4" t="s">
        <v>833</v>
      </c>
      <c r="C570" s="4" t="s">
        <v>834</v>
      </c>
      <c r="D570" s="4">
        <v>35.621113000000001</v>
      </c>
      <c r="E570" s="4">
        <v>32.194248999999999</v>
      </c>
      <c r="F570" s="4" t="s">
        <v>257</v>
      </c>
      <c r="G570" s="4" t="s">
        <v>819</v>
      </c>
      <c r="H570" s="4" t="s">
        <v>198</v>
      </c>
      <c r="I570" s="4" t="s">
        <v>259</v>
      </c>
      <c r="J570" s="4" t="s">
        <v>650</v>
      </c>
      <c r="K570" s="4" t="s">
        <v>644</v>
      </c>
      <c r="L570" s="4" t="str">
        <f>VLOOKUP($K570,'Property names'!$A$1:$D$99,2,FALSE)</f>
        <v>The amount of moisture present in the soil, often expressed as a percentage of the maximum amount the soil could hold at a given temperature.</v>
      </c>
      <c r="M570" s="4" t="str">
        <f>VLOOKUP($K570,'Property names'!$A$1:$D$99,3,FALSE)</f>
        <v>Percentage</v>
      </c>
      <c r="N570" s="4" t="str">
        <f>VLOOKUP($K570,'Property names'!$A$1:$D$99,4,FALSE)</f>
        <v>%</v>
      </c>
      <c r="O570" s="4" t="str">
        <f t="shared" si="12"/>
        <v>NARC_J011_soil_moisture_1</v>
      </c>
      <c r="P570" s="4" t="str">
        <f t="shared" si="13"/>
        <v>The datastream containing mesures of field NARC by sensor J011 which measures Soil Moisture.</v>
      </c>
    </row>
    <row r="571" spans="1:16" ht="12.75">
      <c r="A571" s="4" t="s">
        <v>176</v>
      </c>
      <c r="B571" s="4" t="s">
        <v>833</v>
      </c>
      <c r="C571" s="4" t="s">
        <v>834</v>
      </c>
      <c r="D571" s="4">
        <v>35.621113000000001</v>
      </c>
      <c r="E571" s="4">
        <v>32.194248999999999</v>
      </c>
      <c r="F571" s="4" t="s">
        <v>257</v>
      </c>
      <c r="G571" s="4" t="s">
        <v>819</v>
      </c>
      <c r="H571" s="4" t="s">
        <v>198</v>
      </c>
      <c r="I571" s="4" t="s">
        <v>259</v>
      </c>
      <c r="J571" s="4" t="s">
        <v>651</v>
      </c>
      <c r="K571" s="4" t="s">
        <v>644</v>
      </c>
      <c r="L571" s="4" t="str">
        <f>VLOOKUP($K571,'Property names'!$A$1:$D$99,2,FALSE)</f>
        <v>The amount of moisture present in the soil, often expressed as a percentage of the maximum amount the soil could hold at a given temperature.</v>
      </c>
      <c r="M571" s="4" t="str">
        <f>VLOOKUP($K571,'Property names'!$A$1:$D$99,3,FALSE)</f>
        <v>Percentage</v>
      </c>
      <c r="N571" s="4" t="str">
        <f>VLOOKUP($K571,'Property names'!$A$1:$D$99,4,FALSE)</f>
        <v>%</v>
      </c>
      <c r="O571" s="4" t="str">
        <f t="shared" si="12"/>
        <v>NARC_J011_soil_moisture_2</v>
      </c>
      <c r="P571" s="4" t="str">
        <f t="shared" si="13"/>
        <v>The datastream containing mesures of field NARC by sensor J011 which measures Soil Moisture.</v>
      </c>
    </row>
    <row r="572" spans="1:16" ht="12.75">
      <c r="A572" s="4" t="s">
        <v>176</v>
      </c>
      <c r="B572" s="4" t="s">
        <v>833</v>
      </c>
      <c r="C572" s="4" t="s">
        <v>834</v>
      </c>
      <c r="D572" s="4">
        <v>35.621113000000001</v>
      </c>
      <c r="E572" s="4">
        <v>32.194248999999999</v>
      </c>
      <c r="F572" s="4" t="s">
        <v>257</v>
      </c>
      <c r="G572" s="4" t="s">
        <v>819</v>
      </c>
      <c r="H572" s="4" t="s">
        <v>198</v>
      </c>
      <c r="I572" s="4" t="s">
        <v>259</v>
      </c>
      <c r="J572" s="4" t="s">
        <v>652</v>
      </c>
      <c r="K572" s="4" t="s">
        <v>644</v>
      </c>
      <c r="L572" s="4" t="str">
        <f>VLOOKUP($K572,'Property names'!$A$1:$D$99,2,FALSE)</f>
        <v>The amount of moisture present in the soil, often expressed as a percentage of the maximum amount the soil could hold at a given temperature.</v>
      </c>
      <c r="M572" s="4" t="str">
        <f>VLOOKUP($K572,'Property names'!$A$1:$D$99,3,FALSE)</f>
        <v>Percentage</v>
      </c>
      <c r="N572" s="4" t="str">
        <f>VLOOKUP($K572,'Property names'!$A$1:$D$99,4,FALSE)</f>
        <v>%</v>
      </c>
      <c r="O572" s="4" t="str">
        <f t="shared" si="12"/>
        <v>NARC_J011_soil_moisture_3</v>
      </c>
      <c r="P572" s="4" t="str">
        <f t="shared" si="13"/>
        <v>The datastream containing mesures of field NARC by sensor J011 which measures Soil Moisture.</v>
      </c>
    </row>
    <row r="573" spans="1:16" ht="12.75">
      <c r="A573" s="4" t="s">
        <v>176</v>
      </c>
      <c r="B573" s="4" t="s">
        <v>833</v>
      </c>
      <c r="C573" s="4" t="s">
        <v>834</v>
      </c>
      <c r="D573" s="4">
        <v>35.621113000000001</v>
      </c>
      <c r="E573" s="4">
        <v>32.194248999999999</v>
      </c>
      <c r="F573" s="4" t="s">
        <v>257</v>
      </c>
      <c r="G573" s="4" t="s">
        <v>819</v>
      </c>
      <c r="H573" s="4" t="s">
        <v>198</v>
      </c>
      <c r="I573" s="4" t="s">
        <v>259</v>
      </c>
      <c r="J573" s="4" t="s">
        <v>653</v>
      </c>
      <c r="K573" s="4" t="s">
        <v>644</v>
      </c>
      <c r="L573" s="4" t="str">
        <f>VLOOKUP($K573,'Property names'!$A$1:$D$99,2,FALSE)</f>
        <v>The amount of moisture present in the soil, often expressed as a percentage of the maximum amount the soil could hold at a given temperature.</v>
      </c>
      <c r="M573" s="4" t="str">
        <f>VLOOKUP($K573,'Property names'!$A$1:$D$99,3,FALSE)</f>
        <v>Percentage</v>
      </c>
      <c r="N573" s="4" t="str">
        <f>VLOOKUP($K573,'Property names'!$A$1:$D$99,4,FALSE)</f>
        <v>%</v>
      </c>
      <c r="O573" s="4" t="str">
        <f t="shared" si="12"/>
        <v>NARC_J011_soil_moisture_4</v>
      </c>
      <c r="P573" s="4" t="str">
        <f t="shared" si="13"/>
        <v>The datastream containing mesures of field NARC by sensor J011 which measures Soil Moisture.</v>
      </c>
    </row>
    <row r="574" spans="1:16" ht="12.75">
      <c r="A574" s="4" t="s">
        <v>176</v>
      </c>
      <c r="B574" s="4" t="s">
        <v>833</v>
      </c>
      <c r="C574" s="4" t="s">
        <v>834</v>
      </c>
      <c r="D574" s="4">
        <v>35.621113000000001</v>
      </c>
      <c r="E574" s="4">
        <v>32.194248999999999</v>
      </c>
      <c r="F574" s="4" t="s">
        <v>257</v>
      </c>
      <c r="G574" s="4" t="s">
        <v>819</v>
      </c>
      <c r="H574" s="4" t="s">
        <v>198</v>
      </c>
      <c r="I574" s="4" t="s">
        <v>259</v>
      </c>
      <c r="J574" s="4" t="s">
        <v>654</v>
      </c>
      <c r="K574" s="4" t="s">
        <v>644</v>
      </c>
      <c r="L574" s="4" t="str">
        <f>VLOOKUP($K574,'Property names'!$A$1:$D$99,2,FALSE)</f>
        <v>The amount of moisture present in the soil, often expressed as a percentage of the maximum amount the soil could hold at a given temperature.</v>
      </c>
      <c r="M574" s="4" t="str">
        <f>VLOOKUP($K574,'Property names'!$A$1:$D$99,3,FALSE)</f>
        <v>Percentage</v>
      </c>
      <c r="N574" s="4" t="str">
        <f>VLOOKUP($K574,'Property names'!$A$1:$D$99,4,FALSE)</f>
        <v>%</v>
      </c>
      <c r="O574" s="4" t="str">
        <f t="shared" si="12"/>
        <v>NARC_J011_soil_moisture_5</v>
      </c>
      <c r="P574" s="4" t="str">
        <f t="shared" si="13"/>
        <v>The datastream containing mesures of field NARC by sensor J011 which measures Soil Moisture.</v>
      </c>
    </row>
    <row r="575" spans="1:16" ht="12.75">
      <c r="A575" s="4" t="s">
        <v>176</v>
      </c>
      <c r="B575" s="4" t="s">
        <v>833</v>
      </c>
      <c r="C575" s="4" t="s">
        <v>834</v>
      </c>
      <c r="D575" s="4">
        <v>35.621113000000001</v>
      </c>
      <c r="E575" s="4">
        <v>32.194248999999999</v>
      </c>
      <c r="F575" s="4" t="s">
        <v>257</v>
      </c>
      <c r="G575" s="4" t="s">
        <v>819</v>
      </c>
      <c r="H575" s="4" t="s">
        <v>198</v>
      </c>
      <c r="I575" s="4" t="s">
        <v>259</v>
      </c>
      <c r="J575" s="4" t="s">
        <v>655</v>
      </c>
      <c r="K575" s="4" t="s">
        <v>644</v>
      </c>
      <c r="L575" s="4" t="str">
        <f>VLOOKUP($K575,'Property names'!$A$1:$D$99,2,FALSE)</f>
        <v>The amount of moisture present in the soil, often expressed as a percentage of the maximum amount the soil could hold at a given temperature.</v>
      </c>
      <c r="M575" s="4" t="str">
        <f>VLOOKUP($K575,'Property names'!$A$1:$D$99,3,FALSE)</f>
        <v>Percentage</v>
      </c>
      <c r="N575" s="4" t="str">
        <f>VLOOKUP($K575,'Property names'!$A$1:$D$99,4,FALSE)</f>
        <v>%</v>
      </c>
      <c r="O575" s="4" t="str">
        <f t="shared" si="12"/>
        <v>NARC_J011_soil_moisture_6</v>
      </c>
      <c r="P575" s="4" t="str">
        <f t="shared" si="13"/>
        <v>The datastream containing mesures of field NARC by sensor J011 which measures Soil Moisture.</v>
      </c>
    </row>
    <row r="576" spans="1:16" ht="12.75">
      <c r="A576" s="4" t="s">
        <v>176</v>
      </c>
      <c r="B576" s="4" t="s">
        <v>833</v>
      </c>
      <c r="C576" s="4" t="s">
        <v>834</v>
      </c>
      <c r="D576" s="4">
        <v>35.621113000000001</v>
      </c>
      <c r="E576" s="4">
        <v>32.194248999999999</v>
      </c>
      <c r="F576" s="4" t="s">
        <v>257</v>
      </c>
      <c r="G576" s="4" t="s">
        <v>819</v>
      </c>
      <c r="H576" s="4" t="s">
        <v>198</v>
      </c>
      <c r="I576" s="4" t="s">
        <v>259</v>
      </c>
      <c r="J576" s="4" t="s">
        <v>657</v>
      </c>
      <c r="K576" s="4" t="s">
        <v>646</v>
      </c>
      <c r="L576" s="4" t="str">
        <f>VLOOKUP($K576,'Property names'!$A$1:$D$99,2,FALSE)</f>
        <v>The measure of temperature of the soil.</v>
      </c>
      <c r="M576" s="4" t="str">
        <f>VLOOKUP($K576,'Property names'!$A$1:$D$99,3,FALSE)</f>
        <v>Degrees Celsius</v>
      </c>
      <c r="N576" s="4" t="str">
        <f>VLOOKUP($K576,'Property names'!$A$1:$D$99,4,FALSE)</f>
        <v>ºC</v>
      </c>
      <c r="O576" s="4" t="str">
        <f t="shared" si="12"/>
        <v>NARC_J011_soil_temperature_1</v>
      </c>
      <c r="P576" s="4" t="str">
        <f t="shared" si="13"/>
        <v>The datastream containing mesures of field NARC by sensor J011 which measures Soil Temperature.</v>
      </c>
    </row>
    <row r="577" spans="1:16" ht="12.75">
      <c r="A577" s="4" t="s">
        <v>176</v>
      </c>
      <c r="B577" s="4" t="s">
        <v>833</v>
      </c>
      <c r="C577" s="4" t="s">
        <v>834</v>
      </c>
      <c r="D577" s="4">
        <v>35.621113000000001</v>
      </c>
      <c r="E577" s="4">
        <v>32.194248999999999</v>
      </c>
      <c r="F577" s="4" t="s">
        <v>257</v>
      </c>
      <c r="G577" s="4" t="s">
        <v>819</v>
      </c>
      <c r="H577" s="4" t="s">
        <v>198</v>
      </c>
      <c r="I577" s="4" t="s">
        <v>259</v>
      </c>
      <c r="J577" s="4" t="s">
        <v>658</v>
      </c>
      <c r="K577" s="4" t="s">
        <v>646</v>
      </c>
      <c r="L577" s="4" t="str">
        <f>VLOOKUP($K577,'Property names'!$A$1:$D$99,2,FALSE)</f>
        <v>The measure of temperature of the soil.</v>
      </c>
      <c r="M577" s="4" t="str">
        <f>VLOOKUP($K577,'Property names'!$A$1:$D$99,3,FALSE)</f>
        <v>Degrees Celsius</v>
      </c>
      <c r="N577" s="4" t="str">
        <f>VLOOKUP($K577,'Property names'!$A$1:$D$99,4,FALSE)</f>
        <v>ºC</v>
      </c>
      <c r="O577" s="4" t="str">
        <f t="shared" si="12"/>
        <v>NARC_J011_soil_temperature_2</v>
      </c>
      <c r="P577" s="4" t="str">
        <f t="shared" si="13"/>
        <v>The datastream containing mesures of field NARC by sensor J011 which measures Soil Temperature.</v>
      </c>
    </row>
    <row r="578" spans="1:16" ht="12.75">
      <c r="A578" s="4" t="s">
        <v>176</v>
      </c>
      <c r="B578" s="4" t="s">
        <v>833</v>
      </c>
      <c r="C578" s="4" t="s">
        <v>834</v>
      </c>
      <c r="D578" s="4">
        <v>35.621113000000001</v>
      </c>
      <c r="E578" s="4">
        <v>32.194248999999999</v>
      </c>
      <c r="F578" s="4" t="s">
        <v>257</v>
      </c>
      <c r="G578" s="4" t="s">
        <v>819</v>
      </c>
      <c r="H578" s="4" t="s">
        <v>198</v>
      </c>
      <c r="I578" s="4" t="s">
        <v>259</v>
      </c>
      <c r="J578" s="4" t="s">
        <v>659</v>
      </c>
      <c r="K578" s="4" t="s">
        <v>646</v>
      </c>
      <c r="L578" s="4" t="str">
        <f>VLOOKUP($K578,'Property names'!$A$1:$D$99,2,FALSE)</f>
        <v>The measure of temperature of the soil.</v>
      </c>
      <c r="M578" s="4" t="str">
        <f>VLOOKUP($K578,'Property names'!$A$1:$D$99,3,FALSE)</f>
        <v>Degrees Celsius</v>
      </c>
      <c r="N578" s="4" t="str">
        <f>VLOOKUP($K578,'Property names'!$A$1:$D$99,4,FALSE)</f>
        <v>ºC</v>
      </c>
      <c r="O578" s="4" t="str">
        <f t="shared" si="12"/>
        <v>NARC_J011_soil_temperature_3</v>
      </c>
      <c r="P578" s="4" t="str">
        <f t="shared" si="13"/>
        <v>The datastream containing mesures of field NARC by sensor J011 which measures Soil Temperature.</v>
      </c>
    </row>
    <row r="579" spans="1:16" ht="12.75">
      <c r="A579" s="4" t="s">
        <v>176</v>
      </c>
      <c r="B579" s="4" t="s">
        <v>833</v>
      </c>
      <c r="C579" s="4" t="s">
        <v>834</v>
      </c>
      <c r="D579" s="4">
        <v>35.621113000000001</v>
      </c>
      <c r="E579" s="4">
        <v>32.194248999999999</v>
      </c>
      <c r="F579" s="4" t="s">
        <v>257</v>
      </c>
      <c r="G579" s="4" t="s">
        <v>819</v>
      </c>
      <c r="H579" s="4" t="s">
        <v>198</v>
      </c>
      <c r="I579" s="4" t="s">
        <v>259</v>
      </c>
      <c r="J579" s="4" t="s">
        <v>660</v>
      </c>
      <c r="K579" s="4" t="s">
        <v>646</v>
      </c>
      <c r="L579" s="4" t="str">
        <f>VLOOKUP($K579,'Property names'!$A$1:$D$99,2,FALSE)</f>
        <v>The measure of temperature of the soil.</v>
      </c>
      <c r="M579" s="4" t="str">
        <f>VLOOKUP($K579,'Property names'!$A$1:$D$99,3,FALSE)</f>
        <v>Degrees Celsius</v>
      </c>
      <c r="N579" s="4" t="str">
        <f>VLOOKUP($K579,'Property names'!$A$1:$D$99,4,FALSE)</f>
        <v>ºC</v>
      </c>
      <c r="O579" s="4" t="str">
        <f t="shared" si="12"/>
        <v>NARC_J011_soil_temperature_4</v>
      </c>
      <c r="P579" s="4" t="str">
        <f t="shared" si="13"/>
        <v>The datastream containing mesures of field NARC by sensor J011 which measures Soil Temperature.</v>
      </c>
    </row>
    <row r="580" spans="1:16" ht="12.75">
      <c r="A580" s="4" t="s">
        <v>176</v>
      </c>
      <c r="B580" s="4" t="s">
        <v>833</v>
      </c>
      <c r="C580" s="4" t="s">
        <v>834</v>
      </c>
      <c r="D580" s="4">
        <v>35.621113000000001</v>
      </c>
      <c r="E580" s="4">
        <v>32.194248999999999</v>
      </c>
      <c r="F580" s="4" t="s">
        <v>257</v>
      </c>
      <c r="G580" s="4" t="s">
        <v>819</v>
      </c>
      <c r="H580" s="4" t="s">
        <v>198</v>
      </c>
      <c r="I580" s="4" t="s">
        <v>259</v>
      </c>
      <c r="J580" s="4" t="s">
        <v>661</v>
      </c>
      <c r="K580" s="4" t="s">
        <v>646</v>
      </c>
      <c r="L580" s="4" t="str">
        <f>VLOOKUP($K580,'Property names'!$A$1:$D$99,2,FALSE)</f>
        <v>The measure of temperature of the soil.</v>
      </c>
      <c r="M580" s="4" t="str">
        <f>VLOOKUP($K580,'Property names'!$A$1:$D$99,3,FALSE)</f>
        <v>Degrees Celsius</v>
      </c>
      <c r="N580" s="4" t="str">
        <f>VLOOKUP($K580,'Property names'!$A$1:$D$99,4,FALSE)</f>
        <v>ºC</v>
      </c>
      <c r="O580" s="4" t="str">
        <f t="shared" si="12"/>
        <v>NARC_J011_soil_temperature_5</v>
      </c>
      <c r="P580" s="4" t="str">
        <f t="shared" si="13"/>
        <v>The datastream containing mesures of field NARC by sensor J011 which measures Soil Temperature.</v>
      </c>
    </row>
    <row r="581" spans="1:16" ht="12.75">
      <c r="A581" s="4" t="s">
        <v>176</v>
      </c>
      <c r="B581" s="4" t="s">
        <v>833</v>
      </c>
      <c r="C581" s="4" t="s">
        <v>834</v>
      </c>
      <c r="D581" s="4">
        <v>35.621113000000001</v>
      </c>
      <c r="E581" s="4">
        <v>32.194248999999999</v>
      </c>
      <c r="F581" s="4" t="s">
        <v>257</v>
      </c>
      <c r="G581" s="4" t="s">
        <v>819</v>
      </c>
      <c r="H581" s="4" t="s">
        <v>198</v>
      </c>
      <c r="I581" s="4" t="s">
        <v>259</v>
      </c>
      <c r="J581" s="4" t="s">
        <v>662</v>
      </c>
      <c r="K581" s="4" t="s">
        <v>646</v>
      </c>
      <c r="L581" s="4" t="str">
        <f>VLOOKUP($K581,'Property names'!$A$1:$D$99,2,FALSE)</f>
        <v>The measure of temperature of the soil.</v>
      </c>
      <c r="M581" s="4" t="str">
        <f>VLOOKUP($K581,'Property names'!$A$1:$D$99,3,FALSE)</f>
        <v>Degrees Celsius</v>
      </c>
      <c r="N581" s="4" t="str">
        <f>VLOOKUP($K581,'Property names'!$A$1:$D$99,4,FALSE)</f>
        <v>ºC</v>
      </c>
      <c r="O581" s="4" t="str">
        <f t="shared" si="12"/>
        <v>NARC_J011_soil_temperature_6</v>
      </c>
      <c r="P581" s="4" t="str">
        <f t="shared" si="13"/>
        <v>The datastream containing mesures of field NARC by sensor J011 which measures Soil Temperature.</v>
      </c>
    </row>
    <row r="582" spans="1:16" ht="12.75">
      <c r="A582" s="4" t="s">
        <v>176</v>
      </c>
      <c r="B582" s="4" t="s">
        <v>833</v>
      </c>
      <c r="C582" s="4" t="s">
        <v>834</v>
      </c>
      <c r="D582" s="4">
        <v>35.621113000000001</v>
      </c>
      <c r="E582" s="4">
        <v>32.174145000000003</v>
      </c>
      <c r="F582" s="4" t="s">
        <v>261</v>
      </c>
      <c r="G582" s="4" t="s">
        <v>817</v>
      </c>
      <c r="H582" s="4" t="s">
        <v>188</v>
      </c>
      <c r="I582" s="4" t="s">
        <v>265</v>
      </c>
      <c r="J582" s="4" t="s">
        <v>818</v>
      </c>
      <c r="K582" s="4" t="s">
        <v>386</v>
      </c>
      <c r="L582" s="4" t="str">
        <f>VLOOKUP($K582,'Property names'!$A$1:$D$99,2,FALSE)</f>
        <v>The continuous movement of water in a particular direction.</v>
      </c>
      <c r="M582" s="4" t="str">
        <f>VLOOKUP($K582,'Property names'!$A$1:$D$99,3,FALSE)</f>
        <v>Cubic meters per second</v>
      </c>
      <c r="N582" s="4" t="str">
        <f>VLOOKUP($K582,'Property names'!$A$1:$D$99,4,FALSE)</f>
        <v>m^3/s</v>
      </c>
      <c r="O582" s="4" t="str">
        <f t="shared" si="12"/>
        <v>NARC_J012_water_flow</v>
      </c>
      <c r="P582" s="4" t="str">
        <f t="shared" si="13"/>
        <v>The datastream containing mesures of field NARC by sensor J012 which measures Water Flow.</v>
      </c>
    </row>
    <row r="583" spans="1:16" ht="12.75">
      <c r="A583" s="4" t="s">
        <v>176</v>
      </c>
      <c r="B583" s="4" t="s">
        <v>833</v>
      </c>
      <c r="C583" s="4" t="s">
        <v>834</v>
      </c>
      <c r="D583" s="4">
        <v>35.613014</v>
      </c>
      <c r="E583" s="4">
        <v>32.194248999999999</v>
      </c>
      <c r="F583" s="4" t="s">
        <v>266</v>
      </c>
      <c r="G583" s="4" t="s">
        <v>819</v>
      </c>
      <c r="H583" s="4" t="s">
        <v>198</v>
      </c>
      <c r="I583" s="4" t="s">
        <v>268</v>
      </c>
      <c r="J583" s="4" t="s">
        <v>650</v>
      </c>
      <c r="K583" s="4" t="s">
        <v>644</v>
      </c>
      <c r="L583" s="4" t="str">
        <f>VLOOKUP($K583,'Property names'!$A$1:$D$99,2,FALSE)</f>
        <v>The amount of moisture present in the soil, often expressed as a percentage of the maximum amount the soil could hold at a given temperature.</v>
      </c>
      <c r="M583" s="4" t="str">
        <f>VLOOKUP($K583,'Property names'!$A$1:$D$99,3,FALSE)</f>
        <v>Percentage</v>
      </c>
      <c r="N583" s="4" t="str">
        <f>VLOOKUP($K583,'Property names'!$A$1:$D$99,4,FALSE)</f>
        <v>%</v>
      </c>
      <c r="O583" s="4" t="str">
        <f t="shared" si="12"/>
        <v>NARC_J013_soil_moisture_1</v>
      </c>
      <c r="P583" s="4" t="str">
        <f t="shared" si="13"/>
        <v>The datastream containing mesures of field NARC by sensor J013 which measures Soil Moisture.</v>
      </c>
    </row>
    <row r="584" spans="1:16" ht="12.75">
      <c r="A584" s="4" t="s">
        <v>176</v>
      </c>
      <c r="B584" s="4" t="s">
        <v>833</v>
      </c>
      <c r="C584" s="4" t="s">
        <v>834</v>
      </c>
      <c r="D584" s="4">
        <v>35.613014</v>
      </c>
      <c r="E584" s="4">
        <v>32.194248999999999</v>
      </c>
      <c r="F584" s="4" t="s">
        <v>266</v>
      </c>
      <c r="G584" s="4" t="s">
        <v>819</v>
      </c>
      <c r="H584" s="4" t="s">
        <v>198</v>
      </c>
      <c r="I584" s="4" t="s">
        <v>268</v>
      </c>
      <c r="J584" s="4" t="s">
        <v>651</v>
      </c>
      <c r="K584" s="4" t="s">
        <v>644</v>
      </c>
      <c r="L584" s="4" t="str">
        <f>VLOOKUP($K584,'Property names'!$A$1:$D$99,2,FALSE)</f>
        <v>The amount of moisture present in the soil, often expressed as a percentage of the maximum amount the soil could hold at a given temperature.</v>
      </c>
      <c r="M584" s="4" t="str">
        <f>VLOOKUP($K584,'Property names'!$A$1:$D$99,3,FALSE)</f>
        <v>Percentage</v>
      </c>
      <c r="N584" s="4" t="str">
        <f>VLOOKUP($K584,'Property names'!$A$1:$D$99,4,FALSE)</f>
        <v>%</v>
      </c>
      <c r="O584" s="4" t="str">
        <f t="shared" si="12"/>
        <v>NARC_J013_soil_moisture_2</v>
      </c>
      <c r="P584" s="4" t="str">
        <f t="shared" si="13"/>
        <v>The datastream containing mesures of field NARC by sensor J013 which measures Soil Moisture.</v>
      </c>
    </row>
    <row r="585" spans="1:16" ht="12.75">
      <c r="A585" s="4" t="s">
        <v>176</v>
      </c>
      <c r="B585" s="4" t="s">
        <v>833</v>
      </c>
      <c r="C585" s="4" t="s">
        <v>834</v>
      </c>
      <c r="D585" s="4">
        <v>35.613014</v>
      </c>
      <c r="E585" s="4">
        <v>32.194248999999999</v>
      </c>
      <c r="F585" s="4" t="s">
        <v>266</v>
      </c>
      <c r="G585" s="4" t="s">
        <v>819</v>
      </c>
      <c r="H585" s="4" t="s">
        <v>198</v>
      </c>
      <c r="I585" s="4" t="s">
        <v>268</v>
      </c>
      <c r="J585" s="4" t="s">
        <v>652</v>
      </c>
      <c r="K585" s="4" t="s">
        <v>644</v>
      </c>
      <c r="L585" s="4" t="str">
        <f>VLOOKUP($K585,'Property names'!$A$1:$D$99,2,FALSE)</f>
        <v>The amount of moisture present in the soil, often expressed as a percentage of the maximum amount the soil could hold at a given temperature.</v>
      </c>
      <c r="M585" s="4" t="str">
        <f>VLOOKUP($K585,'Property names'!$A$1:$D$99,3,FALSE)</f>
        <v>Percentage</v>
      </c>
      <c r="N585" s="4" t="str">
        <f>VLOOKUP($K585,'Property names'!$A$1:$D$99,4,FALSE)</f>
        <v>%</v>
      </c>
      <c r="O585" s="4" t="str">
        <f t="shared" si="12"/>
        <v>NARC_J013_soil_moisture_3</v>
      </c>
      <c r="P585" s="4" t="str">
        <f t="shared" si="13"/>
        <v>The datastream containing mesures of field NARC by sensor J013 which measures Soil Moisture.</v>
      </c>
    </row>
    <row r="586" spans="1:16" ht="12.75">
      <c r="A586" s="4" t="s">
        <v>176</v>
      </c>
      <c r="B586" s="4" t="s">
        <v>833</v>
      </c>
      <c r="C586" s="4" t="s">
        <v>834</v>
      </c>
      <c r="D586" s="4">
        <v>35.613014</v>
      </c>
      <c r="E586" s="4">
        <v>32.194248999999999</v>
      </c>
      <c r="F586" s="4" t="s">
        <v>266</v>
      </c>
      <c r="G586" s="4" t="s">
        <v>819</v>
      </c>
      <c r="H586" s="4" t="s">
        <v>198</v>
      </c>
      <c r="I586" s="4" t="s">
        <v>268</v>
      </c>
      <c r="J586" s="4" t="s">
        <v>653</v>
      </c>
      <c r="K586" s="4" t="s">
        <v>644</v>
      </c>
      <c r="L586" s="4" t="str">
        <f>VLOOKUP($K586,'Property names'!$A$1:$D$99,2,FALSE)</f>
        <v>The amount of moisture present in the soil, often expressed as a percentage of the maximum amount the soil could hold at a given temperature.</v>
      </c>
      <c r="M586" s="4" t="str">
        <f>VLOOKUP($K586,'Property names'!$A$1:$D$99,3,FALSE)</f>
        <v>Percentage</v>
      </c>
      <c r="N586" s="4" t="str">
        <f>VLOOKUP($K586,'Property names'!$A$1:$D$99,4,FALSE)</f>
        <v>%</v>
      </c>
      <c r="O586" s="4" t="str">
        <f t="shared" si="12"/>
        <v>NARC_J013_soil_moisture_4</v>
      </c>
      <c r="P586" s="4" t="str">
        <f t="shared" si="13"/>
        <v>The datastream containing mesures of field NARC by sensor J013 which measures Soil Moisture.</v>
      </c>
    </row>
    <row r="587" spans="1:16" ht="12.75">
      <c r="A587" s="4" t="s">
        <v>176</v>
      </c>
      <c r="B587" s="4" t="s">
        <v>833</v>
      </c>
      <c r="C587" s="4" t="s">
        <v>834</v>
      </c>
      <c r="D587" s="4">
        <v>35.613014</v>
      </c>
      <c r="E587" s="4">
        <v>32.194248999999999</v>
      </c>
      <c r="F587" s="4" t="s">
        <v>266</v>
      </c>
      <c r="G587" s="4" t="s">
        <v>819</v>
      </c>
      <c r="H587" s="4" t="s">
        <v>198</v>
      </c>
      <c r="I587" s="4" t="s">
        <v>268</v>
      </c>
      <c r="J587" s="4" t="s">
        <v>654</v>
      </c>
      <c r="K587" s="4" t="s">
        <v>644</v>
      </c>
      <c r="L587" s="4" t="str">
        <f>VLOOKUP($K587,'Property names'!$A$1:$D$99,2,FALSE)</f>
        <v>The amount of moisture present in the soil, often expressed as a percentage of the maximum amount the soil could hold at a given temperature.</v>
      </c>
      <c r="M587" s="4" t="str">
        <f>VLOOKUP($K587,'Property names'!$A$1:$D$99,3,FALSE)</f>
        <v>Percentage</v>
      </c>
      <c r="N587" s="4" t="str">
        <f>VLOOKUP($K587,'Property names'!$A$1:$D$99,4,FALSE)</f>
        <v>%</v>
      </c>
      <c r="O587" s="4" t="str">
        <f t="shared" si="12"/>
        <v>NARC_J013_soil_moisture_5</v>
      </c>
      <c r="P587" s="4" t="str">
        <f t="shared" si="13"/>
        <v>The datastream containing mesures of field NARC by sensor J013 which measures Soil Moisture.</v>
      </c>
    </row>
    <row r="588" spans="1:16" ht="12.75">
      <c r="A588" s="4" t="s">
        <v>176</v>
      </c>
      <c r="B588" s="4" t="s">
        <v>833</v>
      </c>
      <c r="C588" s="4" t="s">
        <v>834</v>
      </c>
      <c r="D588" s="4">
        <v>35.613014</v>
      </c>
      <c r="E588" s="4">
        <v>32.194248999999999</v>
      </c>
      <c r="F588" s="4" t="s">
        <v>266</v>
      </c>
      <c r="G588" s="4" t="s">
        <v>819</v>
      </c>
      <c r="H588" s="4" t="s">
        <v>198</v>
      </c>
      <c r="I588" s="4" t="s">
        <v>268</v>
      </c>
      <c r="J588" s="4" t="s">
        <v>655</v>
      </c>
      <c r="K588" s="4" t="s">
        <v>644</v>
      </c>
      <c r="L588" s="4" t="str">
        <f>VLOOKUP($K588,'Property names'!$A$1:$D$99,2,FALSE)</f>
        <v>The amount of moisture present in the soil, often expressed as a percentage of the maximum amount the soil could hold at a given temperature.</v>
      </c>
      <c r="M588" s="4" t="str">
        <f>VLOOKUP($K588,'Property names'!$A$1:$D$99,3,FALSE)</f>
        <v>Percentage</v>
      </c>
      <c r="N588" s="4" t="str">
        <f>VLOOKUP($K588,'Property names'!$A$1:$D$99,4,FALSE)</f>
        <v>%</v>
      </c>
      <c r="O588" s="4" t="str">
        <f t="shared" si="12"/>
        <v>NARC_J013_soil_moisture_6</v>
      </c>
      <c r="P588" s="4" t="str">
        <f t="shared" si="13"/>
        <v>The datastream containing mesures of field NARC by sensor J013 which measures Soil Moisture.</v>
      </c>
    </row>
    <row r="589" spans="1:16" ht="12.75">
      <c r="A589" s="4" t="s">
        <v>176</v>
      </c>
      <c r="B589" s="4" t="s">
        <v>833</v>
      </c>
      <c r="C589" s="4" t="s">
        <v>834</v>
      </c>
      <c r="D589" s="4">
        <v>35.613014</v>
      </c>
      <c r="E589" s="4">
        <v>32.194248999999999</v>
      </c>
      <c r="F589" s="4" t="s">
        <v>266</v>
      </c>
      <c r="G589" s="4" t="s">
        <v>819</v>
      </c>
      <c r="H589" s="4" t="s">
        <v>198</v>
      </c>
      <c r="I589" s="4" t="s">
        <v>268</v>
      </c>
      <c r="J589" s="4" t="s">
        <v>657</v>
      </c>
      <c r="K589" s="4" t="s">
        <v>646</v>
      </c>
      <c r="L589" s="4" t="str">
        <f>VLOOKUP($K589,'Property names'!$A$1:$D$99,2,FALSE)</f>
        <v>The measure of temperature of the soil.</v>
      </c>
      <c r="M589" s="4" t="str">
        <f>VLOOKUP($K589,'Property names'!$A$1:$D$99,3,FALSE)</f>
        <v>Degrees Celsius</v>
      </c>
      <c r="N589" s="4" t="str">
        <f>VLOOKUP($K589,'Property names'!$A$1:$D$99,4,FALSE)</f>
        <v>ºC</v>
      </c>
      <c r="O589" s="4" t="str">
        <f t="shared" si="12"/>
        <v>NARC_J013_soil_temperature_1</v>
      </c>
      <c r="P589" s="4" t="str">
        <f t="shared" si="13"/>
        <v>The datastream containing mesures of field NARC by sensor J013 which measures Soil Temperature.</v>
      </c>
    </row>
    <row r="590" spans="1:16" ht="12.75">
      <c r="A590" s="4" t="s">
        <v>176</v>
      </c>
      <c r="B590" s="4" t="s">
        <v>833</v>
      </c>
      <c r="C590" s="4" t="s">
        <v>834</v>
      </c>
      <c r="D590" s="4">
        <v>35.613014</v>
      </c>
      <c r="E590" s="4">
        <v>32.194248999999999</v>
      </c>
      <c r="F590" s="4" t="s">
        <v>266</v>
      </c>
      <c r="G590" s="4" t="s">
        <v>819</v>
      </c>
      <c r="H590" s="4" t="s">
        <v>198</v>
      </c>
      <c r="I590" s="4" t="s">
        <v>268</v>
      </c>
      <c r="J590" s="4" t="s">
        <v>658</v>
      </c>
      <c r="K590" s="4" t="s">
        <v>646</v>
      </c>
      <c r="L590" s="4" t="str">
        <f>VLOOKUP($K590,'Property names'!$A$1:$D$99,2,FALSE)</f>
        <v>The measure of temperature of the soil.</v>
      </c>
      <c r="M590" s="4" t="str">
        <f>VLOOKUP($K590,'Property names'!$A$1:$D$99,3,FALSE)</f>
        <v>Degrees Celsius</v>
      </c>
      <c r="N590" s="4" t="str">
        <f>VLOOKUP($K590,'Property names'!$A$1:$D$99,4,FALSE)</f>
        <v>ºC</v>
      </c>
      <c r="O590" s="4" t="str">
        <f t="shared" si="12"/>
        <v>NARC_J013_soil_temperature_2</v>
      </c>
      <c r="P590" s="4" t="str">
        <f t="shared" si="13"/>
        <v>The datastream containing mesures of field NARC by sensor J013 which measures Soil Temperature.</v>
      </c>
    </row>
    <row r="591" spans="1:16" ht="12.75">
      <c r="A591" s="4" t="s">
        <v>176</v>
      </c>
      <c r="B591" s="4" t="s">
        <v>833</v>
      </c>
      <c r="C591" s="4" t="s">
        <v>834</v>
      </c>
      <c r="D591" s="4">
        <v>35.613014</v>
      </c>
      <c r="E591" s="4">
        <v>32.194248999999999</v>
      </c>
      <c r="F591" s="4" t="s">
        <v>266</v>
      </c>
      <c r="G591" s="4" t="s">
        <v>819</v>
      </c>
      <c r="H591" s="4" t="s">
        <v>198</v>
      </c>
      <c r="I591" s="4" t="s">
        <v>268</v>
      </c>
      <c r="J591" s="4" t="s">
        <v>659</v>
      </c>
      <c r="K591" s="4" t="s">
        <v>646</v>
      </c>
      <c r="L591" s="4" t="str">
        <f>VLOOKUP($K591,'Property names'!$A$1:$D$99,2,FALSE)</f>
        <v>The measure of temperature of the soil.</v>
      </c>
      <c r="M591" s="4" t="str">
        <f>VLOOKUP($K591,'Property names'!$A$1:$D$99,3,FALSE)</f>
        <v>Degrees Celsius</v>
      </c>
      <c r="N591" s="4" t="str">
        <f>VLOOKUP($K591,'Property names'!$A$1:$D$99,4,FALSE)</f>
        <v>ºC</v>
      </c>
      <c r="O591" s="4" t="str">
        <f t="shared" si="12"/>
        <v>NARC_J013_soil_temperature_3</v>
      </c>
      <c r="P591" s="4" t="str">
        <f t="shared" si="13"/>
        <v>The datastream containing mesures of field NARC by sensor J013 which measures Soil Temperature.</v>
      </c>
    </row>
    <row r="592" spans="1:16" ht="12.75">
      <c r="A592" s="4" t="s">
        <v>176</v>
      </c>
      <c r="B592" s="4" t="s">
        <v>833</v>
      </c>
      <c r="C592" s="4" t="s">
        <v>834</v>
      </c>
      <c r="D592" s="4">
        <v>35.613014</v>
      </c>
      <c r="E592" s="4">
        <v>32.194248999999999</v>
      </c>
      <c r="F592" s="4" t="s">
        <v>266</v>
      </c>
      <c r="G592" s="4" t="s">
        <v>819</v>
      </c>
      <c r="H592" s="4" t="s">
        <v>198</v>
      </c>
      <c r="I592" s="4" t="s">
        <v>268</v>
      </c>
      <c r="J592" s="4" t="s">
        <v>660</v>
      </c>
      <c r="K592" s="4" t="s">
        <v>646</v>
      </c>
      <c r="L592" s="4" t="str">
        <f>VLOOKUP($K592,'Property names'!$A$1:$D$99,2,FALSE)</f>
        <v>The measure of temperature of the soil.</v>
      </c>
      <c r="M592" s="4" t="str">
        <f>VLOOKUP($K592,'Property names'!$A$1:$D$99,3,FALSE)</f>
        <v>Degrees Celsius</v>
      </c>
      <c r="N592" s="4" t="str">
        <f>VLOOKUP($K592,'Property names'!$A$1:$D$99,4,FALSE)</f>
        <v>ºC</v>
      </c>
      <c r="O592" s="4" t="str">
        <f t="shared" si="12"/>
        <v>NARC_J013_soil_temperature_4</v>
      </c>
      <c r="P592" s="4" t="str">
        <f t="shared" si="13"/>
        <v>The datastream containing mesures of field NARC by sensor J013 which measures Soil Temperature.</v>
      </c>
    </row>
    <row r="593" spans="1:16" ht="12.75">
      <c r="A593" s="4" t="s">
        <v>176</v>
      </c>
      <c r="B593" s="4" t="s">
        <v>833</v>
      </c>
      <c r="C593" s="4" t="s">
        <v>834</v>
      </c>
      <c r="D593" s="4">
        <v>35.613014</v>
      </c>
      <c r="E593" s="4">
        <v>32.194248999999999</v>
      </c>
      <c r="F593" s="4" t="s">
        <v>266</v>
      </c>
      <c r="G593" s="4" t="s">
        <v>819</v>
      </c>
      <c r="H593" s="4" t="s">
        <v>198</v>
      </c>
      <c r="I593" s="4" t="s">
        <v>268</v>
      </c>
      <c r="J593" s="4" t="s">
        <v>661</v>
      </c>
      <c r="K593" s="4" t="s">
        <v>646</v>
      </c>
      <c r="L593" s="4" t="str">
        <f>VLOOKUP($K593,'Property names'!$A$1:$D$99,2,FALSE)</f>
        <v>The measure of temperature of the soil.</v>
      </c>
      <c r="M593" s="4" t="str">
        <f>VLOOKUP($K593,'Property names'!$A$1:$D$99,3,FALSE)</f>
        <v>Degrees Celsius</v>
      </c>
      <c r="N593" s="4" t="str">
        <f>VLOOKUP($K593,'Property names'!$A$1:$D$99,4,FALSE)</f>
        <v>ºC</v>
      </c>
      <c r="O593" s="4" t="str">
        <f t="shared" si="12"/>
        <v>NARC_J013_soil_temperature_5</v>
      </c>
      <c r="P593" s="4" t="str">
        <f t="shared" si="13"/>
        <v>The datastream containing mesures of field NARC by sensor J013 which measures Soil Temperature.</v>
      </c>
    </row>
    <row r="594" spans="1:16" ht="12.75">
      <c r="A594" s="4" t="s">
        <v>176</v>
      </c>
      <c r="B594" s="4" t="s">
        <v>833</v>
      </c>
      <c r="C594" s="4" t="s">
        <v>834</v>
      </c>
      <c r="D594" s="4">
        <v>35.613014</v>
      </c>
      <c r="E594" s="4">
        <v>32.194248999999999</v>
      </c>
      <c r="F594" s="4" t="s">
        <v>266</v>
      </c>
      <c r="G594" s="4" t="s">
        <v>819</v>
      </c>
      <c r="H594" s="4" t="s">
        <v>198</v>
      </c>
      <c r="I594" s="4" t="s">
        <v>268</v>
      </c>
      <c r="J594" s="4" t="s">
        <v>662</v>
      </c>
      <c r="K594" s="4" t="s">
        <v>646</v>
      </c>
      <c r="L594" s="4" t="str">
        <f>VLOOKUP($K594,'Property names'!$A$1:$D$99,2,FALSE)</f>
        <v>The measure of temperature of the soil.</v>
      </c>
      <c r="M594" s="4" t="str">
        <f>VLOOKUP($K594,'Property names'!$A$1:$D$99,3,FALSE)</f>
        <v>Degrees Celsius</v>
      </c>
      <c r="N594" s="4" t="str">
        <f>VLOOKUP($K594,'Property names'!$A$1:$D$99,4,FALSE)</f>
        <v>ºC</v>
      </c>
      <c r="O594" s="4" t="str">
        <f t="shared" si="12"/>
        <v>NARC_J013_soil_temperature_6</v>
      </c>
      <c r="P594" s="4" t="str">
        <f t="shared" si="13"/>
        <v>The datastream containing mesures of field NARC by sensor J013 which measures Soil Temperature.</v>
      </c>
    </row>
    <row r="595" spans="1:16" ht="12.75">
      <c r="A595" s="4" t="s">
        <v>176</v>
      </c>
      <c r="B595" s="4" t="s">
        <v>835</v>
      </c>
      <c r="C595" s="4" t="s">
        <v>816</v>
      </c>
      <c r="D595" s="4">
        <v>35.621113000000001</v>
      </c>
      <c r="E595" s="4">
        <v>32.174145000000003</v>
      </c>
      <c r="F595" s="4" t="s">
        <v>278</v>
      </c>
      <c r="G595" s="4" t="s">
        <v>817</v>
      </c>
      <c r="H595" s="4" t="s">
        <v>188</v>
      </c>
      <c r="I595" s="4" t="s">
        <v>265</v>
      </c>
      <c r="J595" s="4" t="s">
        <v>818</v>
      </c>
      <c r="K595" s="4" t="s">
        <v>386</v>
      </c>
      <c r="L595" s="4" t="str">
        <f>VLOOKUP($K595,'Property names'!$A$1:$D$99,2,FALSE)</f>
        <v>The continuous movement of water in a particular direction.</v>
      </c>
      <c r="M595" s="4" t="str">
        <f>VLOOKUP($K595,'Property names'!$A$1:$D$99,3,FALSE)</f>
        <v>Cubic meters per second</v>
      </c>
      <c r="N595" s="4" t="str">
        <f>VLOOKUP($K595,'Property names'!$A$1:$D$99,4,FALSE)</f>
        <v>m^3/s</v>
      </c>
      <c r="O595" s="4" t="str">
        <f t="shared" si="12"/>
        <v>Faisal_Neimat_J014_water_flow</v>
      </c>
      <c r="P595" s="4" t="str">
        <f t="shared" si="13"/>
        <v>The datastream containing mesures of field Faisal Neimat by sensor J014 which measures Water Flow.</v>
      </c>
    </row>
    <row r="596" spans="1:16" ht="12.75">
      <c r="A596" s="4" t="s">
        <v>176</v>
      </c>
      <c r="B596" s="4" t="s">
        <v>835</v>
      </c>
      <c r="C596" s="4" t="s">
        <v>816</v>
      </c>
      <c r="D596" s="4">
        <v>35.621113000000001</v>
      </c>
      <c r="E596" s="4">
        <v>32.174145000000003</v>
      </c>
      <c r="F596" s="4" t="s">
        <v>281</v>
      </c>
      <c r="G596" s="4" t="s">
        <v>819</v>
      </c>
      <c r="H596" s="4" t="s">
        <v>198</v>
      </c>
      <c r="I596" s="4" t="s">
        <v>283</v>
      </c>
      <c r="J596" s="4" t="s">
        <v>650</v>
      </c>
      <c r="K596" s="4" t="s">
        <v>644</v>
      </c>
      <c r="L596" s="4" t="str">
        <f>VLOOKUP($K596,'Property names'!$A$1:$D$99,2,FALSE)</f>
        <v>The amount of moisture present in the soil, often expressed as a percentage of the maximum amount the soil could hold at a given temperature.</v>
      </c>
      <c r="M596" s="4" t="str">
        <f>VLOOKUP($K596,'Property names'!$A$1:$D$99,3,FALSE)</f>
        <v>Percentage</v>
      </c>
      <c r="N596" s="4" t="str">
        <f>VLOOKUP($K596,'Property names'!$A$1:$D$99,4,FALSE)</f>
        <v>%</v>
      </c>
      <c r="O596" s="4" t="str">
        <f t="shared" si="12"/>
        <v>Faisal_Neimat_J015_soil_moisture_1</v>
      </c>
      <c r="P596" s="4" t="str">
        <f t="shared" si="13"/>
        <v>The datastream containing mesures of field Faisal Neimat by sensor J015 which measures Soil Moisture.</v>
      </c>
    </row>
    <row r="597" spans="1:16" ht="12.75">
      <c r="A597" s="4" t="s">
        <v>176</v>
      </c>
      <c r="B597" s="4" t="s">
        <v>835</v>
      </c>
      <c r="C597" s="4" t="s">
        <v>816</v>
      </c>
      <c r="D597" s="4">
        <v>35.621113000000001</v>
      </c>
      <c r="E597" s="4">
        <v>32.174145000000003</v>
      </c>
      <c r="F597" s="4" t="s">
        <v>281</v>
      </c>
      <c r="G597" s="4" t="s">
        <v>819</v>
      </c>
      <c r="H597" s="4" t="s">
        <v>198</v>
      </c>
      <c r="I597" s="4" t="s">
        <v>283</v>
      </c>
      <c r="J597" s="4" t="s">
        <v>651</v>
      </c>
      <c r="K597" s="4" t="s">
        <v>644</v>
      </c>
      <c r="L597" s="4" t="str">
        <f>VLOOKUP($K597,'Property names'!$A$1:$D$99,2,FALSE)</f>
        <v>The amount of moisture present in the soil, often expressed as a percentage of the maximum amount the soil could hold at a given temperature.</v>
      </c>
      <c r="M597" s="4" t="str">
        <f>VLOOKUP($K597,'Property names'!$A$1:$D$99,3,FALSE)</f>
        <v>Percentage</v>
      </c>
      <c r="N597" s="4" t="str">
        <f>VLOOKUP($K597,'Property names'!$A$1:$D$99,4,FALSE)</f>
        <v>%</v>
      </c>
      <c r="O597" s="4" t="str">
        <f t="shared" si="12"/>
        <v>Faisal_Neimat_J015_soil_moisture_2</v>
      </c>
      <c r="P597" s="4" t="str">
        <f t="shared" si="13"/>
        <v>The datastream containing mesures of field Faisal Neimat by sensor J015 which measures Soil Moisture.</v>
      </c>
    </row>
    <row r="598" spans="1:16" ht="12.75">
      <c r="A598" s="4" t="s">
        <v>176</v>
      </c>
      <c r="B598" s="4" t="s">
        <v>835</v>
      </c>
      <c r="C598" s="4" t="s">
        <v>816</v>
      </c>
      <c r="D598" s="4">
        <v>35.621113000000001</v>
      </c>
      <c r="E598" s="4">
        <v>32.174145000000003</v>
      </c>
      <c r="F598" s="4" t="s">
        <v>281</v>
      </c>
      <c r="G598" s="4" t="s">
        <v>819</v>
      </c>
      <c r="H598" s="4" t="s">
        <v>198</v>
      </c>
      <c r="I598" s="4" t="s">
        <v>283</v>
      </c>
      <c r="J598" s="4" t="s">
        <v>652</v>
      </c>
      <c r="K598" s="4" t="s">
        <v>644</v>
      </c>
      <c r="L598" s="4" t="str">
        <f>VLOOKUP($K598,'Property names'!$A$1:$D$99,2,FALSE)</f>
        <v>The amount of moisture present in the soil, often expressed as a percentage of the maximum amount the soil could hold at a given temperature.</v>
      </c>
      <c r="M598" s="4" t="str">
        <f>VLOOKUP($K598,'Property names'!$A$1:$D$99,3,FALSE)</f>
        <v>Percentage</v>
      </c>
      <c r="N598" s="4" t="str">
        <f>VLOOKUP($K598,'Property names'!$A$1:$D$99,4,FALSE)</f>
        <v>%</v>
      </c>
      <c r="O598" s="4" t="str">
        <f t="shared" si="12"/>
        <v>Faisal_Neimat_J015_soil_moisture_3</v>
      </c>
      <c r="P598" s="4" t="str">
        <f t="shared" si="13"/>
        <v>The datastream containing mesures of field Faisal Neimat by sensor J015 which measures Soil Moisture.</v>
      </c>
    </row>
    <row r="599" spans="1:16" ht="12.75">
      <c r="A599" s="4" t="s">
        <v>176</v>
      </c>
      <c r="B599" s="4" t="s">
        <v>835</v>
      </c>
      <c r="C599" s="4" t="s">
        <v>816</v>
      </c>
      <c r="D599" s="4">
        <v>35.621113000000001</v>
      </c>
      <c r="E599" s="4">
        <v>32.174145000000003</v>
      </c>
      <c r="F599" s="4" t="s">
        <v>281</v>
      </c>
      <c r="G599" s="4" t="s">
        <v>819</v>
      </c>
      <c r="H599" s="4" t="s">
        <v>198</v>
      </c>
      <c r="I599" s="4" t="s">
        <v>283</v>
      </c>
      <c r="J599" s="4" t="s">
        <v>653</v>
      </c>
      <c r="K599" s="4" t="s">
        <v>644</v>
      </c>
      <c r="L599" s="4" t="str">
        <f>VLOOKUP($K599,'Property names'!$A$1:$D$99,2,FALSE)</f>
        <v>The amount of moisture present in the soil, often expressed as a percentage of the maximum amount the soil could hold at a given temperature.</v>
      </c>
      <c r="M599" s="4" t="str">
        <f>VLOOKUP($K599,'Property names'!$A$1:$D$99,3,FALSE)</f>
        <v>Percentage</v>
      </c>
      <c r="N599" s="4" t="str">
        <f>VLOOKUP($K599,'Property names'!$A$1:$D$99,4,FALSE)</f>
        <v>%</v>
      </c>
      <c r="O599" s="4" t="str">
        <f t="shared" si="12"/>
        <v>Faisal_Neimat_J015_soil_moisture_4</v>
      </c>
      <c r="P599" s="4" t="str">
        <f t="shared" si="13"/>
        <v>The datastream containing mesures of field Faisal Neimat by sensor J015 which measures Soil Moisture.</v>
      </c>
    </row>
    <row r="600" spans="1:16" ht="12.75">
      <c r="A600" s="4" t="s">
        <v>176</v>
      </c>
      <c r="B600" s="4" t="s">
        <v>835</v>
      </c>
      <c r="C600" s="4" t="s">
        <v>816</v>
      </c>
      <c r="D600" s="4">
        <v>35.621113000000001</v>
      </c>
      <c r="E600" s="4">
        <v>32.174145000000003</v>
      </c>
      <c r="F600" s="4" t="s">
        <v>281</v>
      </c>
      <c r="G600" s="4" t="s">
        <v>819</v>
      </c>
      <c r="H600" s="4" t="s">
        <v>198</v>
      </c>
      <c r="I600" s="4" t="s">
        <v>283</v>
      </c>
      <c r="J600" s="4" t="s">
        <v>654</v>
      </c>
      <c r="K600" s="4" t="s">
        <v>644</v>
      </c>
      <c r="L600" s="4" t="str">
        <f>VLOOKUP($K600,'Property names'!$A$1:$D$99,2,FALSE)</f>
        <v>The amount of moisture present in the soil, often expressed as a percentage of the maximum amount the soil could hold at a given temperature.</v>
      </c>
      <c r="M600" s="4" t="str">
        <f>VLOOKUP($K600,'Property names'!$A$1:$D$99,3,FALSE)</f>
        <v>Percentage</v>
      </c>
      <c r="N600" s="4" t="str">
        <f>VLOOKUP($K600,'Property names'!$A$1:$D$99,4,FALSE)</f>
        <v>%</v>
      </c>
      <c r="O600" s="4" t="str">
        <f t="shared" si="12"/>
        <v>Faisal_Neimat_J015_soil_moisture_5</v>
      </c>
      <c r="P600" s="4" t="str">
        <f t="shared" si="13"/>
        <v>The datastream containing mesures of field Faisal Neimat by sensor J015 which measures Soil Moisture.</v>
      </c>
    </row>
    <row r="601" spans="1:16" ht="12.75">
      <c r="A601" s="4" t="s">
        <v>176</v>
      </c>
      <c r="B601" s="4" t="s">
        <v>835</v>
      </c>
      <c r="C601" s="4" t="s">
        <v>816</v>
      </c>
      <c r="D601" s="4">
        <v>35.621113000000001</v>
      </c>
      <c r="E601" s="4">
        <v>32.174145000000003</v>
      </c>
      <c r="F601" s="4" t="s">
        <v>281</v>
      </c>
      <c r="G601" s="4" t="s">
        <v>819</v>
      </c>
      <c r="H601" s="4" t="s">
        <v>198</v>
      </c>
      <c r="I601" s="4" t="s">
        <v>283</v>
      </c>
      <c r="J601" s="4" t="s">
        <v>655</v>
      </c>
      <c r="K601" s="4" t="s">
        <v>644</v>
      </c>
      <c r="L601" s="4" t="str">
        <f>VLOOKUP($K601,'Property names'!$A$1:$D$99,2,FALSE)</f>
        <v>The amount of moisture present in the soil, often expressed as a percentage of the maximum amount the soil could hold at a given temperature.</v>
      </c>
      <c r="M601" s="4" t="str">
        <f>VLOOKUP($K601,'Property names'!$A$1:$D$99,3,FALSE)</f>
        <v>Percentage</v>
      </c>
      <c r="N601" s="4" t="str">
        <f>VLOOKUP($K601,'Property names'!$A$1:$D$99,4,FALSE)</f>
        <v>%</v>
      </c>
      <c r="O601" s="4" t="str">
        <f t="shared" si="12"/>
        <v>Faisal_Neimat_J015_soil_moisture_6</v>
      </c>
      <c r="P601" s="4" t="str">
        <f t="shared" si="13"/>
        <v>The datastream containing mesures of field Faisal Neimat by sensor J015 which measures Soil Moisture.</v>
      </c>
    </row>
    <row r="602" spans="1:16" ht="12.75">
      <c r="A602" s="4" t="s">
        <v>176</v>
      </c>
      <c r="B602" s="4" t="s">
        <v>835</v>
      </c>
      <c r="C602" s="4" t="s">
        <v>816</v>
      </c>
      <c r="D602" s="4">
        <v>35.621113000000001</v>
      </c>
      <c r="E602" s="4">
        <v>32.174145000000003</v>
      </c>
      <c r="F602" s="4" t="s">
        <v>281</v>
      </c>
      <c r="G602" s="4" t="s">
        <v>819</v>
      </c>
      <c r="H602" s="4" t="s">
        <v>198</v>
      </c>
      <c r="I602" s="4" t="s">
        <v>283</v>
      </c>
      <c r="J602" s="4" t="s">
        <v>657</v>
      </c>
      <c r="K602" s="4" t="s">
        <v>646</v>
      </c>
      <c r="L602" s="4" t="str">
        <f>VLOOKUP($K602,'Property names'!$A$1:$D$99,2,FALSE)</f>
        <v>The measure of temperature of the soil.</v>
      </c>
      <c r="M602" s="4" t="str">
        <f>VLOOKUP($K602,'Property names'!$A$1:$D$99,3,FALSE)</f>
        <v>Degrees Celsius</v>
      </c>
      <c r="N602" s="4" t="str">
        <f>VLOOKUP($K602,'Property names'!$A$1:$D$99,4,FALSE)</f>
        <v>ºC</v>
      </c>
      <c r="O602" s="4" t="str">
        <f t="shared" si="12"/>
        <v>Faisal_Neimat_J015_soil_temperature_1</v>
      </c>
      <c r="P602" s="4" t="str">
        <f t="shared" si="13"/>
        <v>The datastream containing mesures of field Faisal Neimat by sensor J015 which measures Soil Temperature.</v>
      </c>
    </row>
    <row r="603" spans="1:16" ht="12.75">
      <c r="A603" s="4" t="s">
        <v>176</v>
      </c>
      <c r="B603" s="4" t="s">
        <v>835</v>
      </c>
      <c r="C603" s="4" t="s">
        <v>816</v>
      </c>
      <c r="D603" s="4">
        <v>35.621113000000001</v>
      </c>
      <c r="E603" s="4">
        <v>32.174145000000003</v>
      </c>
      <c r="F603" s="4" t="s">
        <v>281</v>
      </c>
      <c r="G603" s="4" t="s">
        <v>819</v>
      </c>
      <c r="H603" s="4" t="s">
        <v>198</v>
      </c>
      <c r="I603" s="4" t="s">
        <v>283</v>
      </c>
      <c r="J603" s="4" t="s">
        <v>658</v>
      </c>
      <c r="K603" s="4" t="s">
        <v>646</v>
      </c>
      <c r="L603" s="4" t="str">
        <f>VLOOKUP($K603,'Property names'!$A$1:$D$99,2,FALSE)</f>
        <v>The measure of temperature of the soil.</v>
      </c>
      <c r="M603" s="4" t="str">
        <f>VLOOKUP($K603,'Property names'!$A$1:$D$99,3,FALSE)</f>
        <v>Degrees Celsius</v>
      </c>
      <c r="N603" s="4" t="str">
        <f>VLOOKUP($K603,'Property names'!$A$1:$D$99,4,FALSE)</f>
        <v>ºC</v>
      </c>
      <c r="O603" s="4" t="str">
        <f t="shared" si="12"/>
        <v>Faisal_Neimat_J015_soil_temperature_2</v>
      </c>
      <c r="P603" s="4" t="str">
        <f t="shared" si="13"/>
        <v>The datastream containing mesures of field Faisal Neimat by sensor J015 which measures Soil Temperature.</v>
      </c>
    </row>
    <row r="604" spans="1:16" ht="12.75">
      <c r="A604" s="4" t="s">
        <v>176</v>
      </c>
      <c r="B604" s="4" t="s">
        <v>835</v>
      </c>
      <c r="C604" s="4" t="s">
        <v>816</v>
      </c>
      <c r="D604" s="4">
        <v>35.621113000000001</v>
      </c>
      <c r="E604" s="4">
        <v>32.174145000000003</v>
      </c>
      <c r="F604" s="4" t="s">
        <v>281</v>
      </c>
      <c r="G604" s="4" t="s">
        <v>819</v>
      </c>
      <c r="H604" s="4" t="s">
        <v>198</v>
      </c>
      <c r="I604" s="4" t="s">
        <v>283</v>
      </c>
      <c r="J604" s="4" t="s">
        <v>659</v>
      </c>
      <c r="K604" s="4" t="s">
        <v>646</v>
      </c>
      <c r="L604" s="4" t="str">
        <f>VLOOKUP($K604,'Property names'!$A$1:$D$99,2,FALSE)</f>
        <v>The measure of temperature of the soil.</v>
      </c>
      <c r="M604" s="4" t="str">
        <f>VLOOKUP($K604,'Property names'!$A$1:$D$99,3,FALSE)</f>
        <v>Degrees Celsius</v>
      </c>
      <c r="N604" s="4" t="str">
        <f>VLOOKUP($K604,'Property names'!$A$1:$D$99,4,FALSE)</f>
        <v>ºC</v>
      </c>
      <c r="O604" s="4" t="str">
        <f t="shared" si="12"/>
        <v>Faisal_Neimat_J015_soil_temperature_3</v>
      </c>
      <c r="P604" s="4" t="str">
        <f t="shared" si="13"/>
        <v>The datastream containing mesures of field Faisal Neimat by sensor J015 which measures Soil Temperature.</v>
      </c>
    </row>
    <row r="605" spans="1:16" ht="12.75">
      <c r="A605" s="4" t="s">
        <v>176</v>
      </c>
      <c r="B605" s="4" t="s">
        <v>835</v>
      </c>
      <c r="C605" s="4" t="s">
        <v>816</v>
      </c>
      <c r="D605" s="4">
        <v>35.621113000000001</v>
      </c>
      <c r="E605" s="4">
        <v>32.174145000000003</v>
      </c>
      <c r="F605" s="4" t="s">
        <v>281</v>
      </c>
      <c r="G605" s="4" t="s">
        <v>819</v>
      </c>
      <c r="H605" s="4" t="s">
        <v>198</v>
      </c>
      <c r="I605" s="4" t="s">
        <v>283</v>
      </c>
      <c r="J605" s="4" t="s">
        <v>660</v>
      </c>
      <c r="K605" s="4" t="s">
        <v>646</v>
      </c>
      <c r="L605" s="4" t="str">
        <f>VLOOKUP($K605,'Property names'!$A$1:$D$99,2,FALSE)</f>
        <v>The measure of temperature of the soil.</v>
      </c>
      <c r="M605" s="4" t="str">
        <f>VLOOKUP($K605,'Property names'!$A$1:$D$99,3,FALSE)</f>
        <v>Degrees Celsius</v>
      </c>
      <c r="N605" s="4" t="str">
        <f>VLOOKUP($K605,'Property names'!$A$1:$D$99,4,FALSE)</f>
        <v>ºC</v>
      </c>
      <c r="O605" s="4" t="str">
        <f t="shared" si="12"/>
        <v>Faisal_Neimat_J015_soil_temperature_4</v>
      </c>
      <c r="P605" s="4" t="str">
        <f t="shared" si="13"/>
        <v>The datastream containing mesures of field Faisal Neimat by sensor J015 which measures Soil Temperature.</v>
      </c>
    </row>
    <row r="606" spans="1:16" ht="12.75">
      <c r="A606" s="4" t="s">
        <v>176</v>
      </c>
      <c r="B606" s="4" t="s">
        <v>835</v>
      </c>
      <c r="C606" s="4" t="s">
        <v>816</v>
      </c>
      <c r="D606" s="4">
        <v>35.621113000000001</v>
      </c>
      <c r="E606" s="4">
        <v>32.174145000000003</v>
      </c>
      <c r="F606" s="4" t="s">
        <v>281</v>
      </c>
      <c r="G606" s="4" t="s">
        <v>819</v>
      </c>
      <c r="H606" s="4" t="s">
        <v>198</v>
      </c>
      <c r="I606" s="4" t="s">
        <v>283</v>
      </c>
      <c r="J606" s="4" t="s">
        <v>661</v>
      </c>
      <c r="K606" s="4" t="s">
        <v>646</v>
      </c>
      <c r="L606" s="4" t="str">
        <f>VLOOKUP($K606,'Property names'!$A$1:$D$99,2,FALSE)</f>
        <v>The measure of temperature of the soil.</v>
      </c>
      <c r="M606" s="4" t="str">
        <f>VLOOKUP($K606,'Property names'!$A$1:$D$99,3,FALSE)</f>
        <v>Degrees Celsius</v>
      </c>
      <c r="N606" s="4" t="str">
        <f>VLOOKUP($K606,'Property names'!$A$1:$D$99,4,FALSE)</f>
        <v>ºC</v>
      </c>
      <c r="O606" s="4" t="str">
        <f t="shared" si="12"/>
        <v>Faisal_Neimat_J015_soil_temperature_5</v>
      </c>
      <c r="P606" s="4" t="str">
        <f t="shared" si="13"/>
        <v>The datastream containing mesures of field Faisal Neimat by sensor J015 which measures Soil Temperature.</v>
      </c>
    </row>
    <row r="607" spans="1:16" ht="12.75">
      <c r="A607" s="4" t="s">
        <v>176</v>
      </c>
      <c r="B607" s="4" t="s">
        <v>835</v>
      </c>
      <c r="C607" s="4" t="s">
        <v>816</v>
      </c>
      <c r="D607" s="4">
        <v>35.621113000000001</v>
      </c>
      <c r="E607" s="4">
        <v>32.174145000000003</v>
      </c>
      <c r="F607" s="4" t="s">
        <v>281</v>
      </c>
      <c r="G607" s="4" t="s">
        <v>819</v>
      </c>
      <c r="H607" s="4" t="s">
        <v>198</v>
      </c>
      <c r="I607" s="4" t="s">
        <v>283</v>
      </c>
      <c r="J607" s="4" t="s">
        <v>662</v>
      </c>
      <c r="K607" s="4" t="s">
        <v>646</v>
      </c>
      <c r="L607" s="4" t="str">
        <f>VLOOKUP($K607,'Property names'!$A$1:$D$99,2,FALSE)</f>
        <v>The measure of temperature of the soil.</v>
      </c>
      <c r="M607" s="4" t="str">
        <f>VLOOKUP($K607,'Property names'!$A$1:$D$99,3,FALSE)</f>
        <v>Degrees Celsius</v>
      </c>
      <c r="N607" s="4" t="str">
        <f>VLOOKUP($K607,'Property names'!$A$1:$D$99,4,FALSE)</f>
        <v>ºC</v>
      </c>
      <c r="O607" s="4" t="str">
        <f t="shared" si="12"/>
        <v>Faisal_Neimat_J015_soil_temperature_6</v>
      </c>
      <c r="P607" s="4" t="str">
        <f t="shared" si="13"/>
        <v>The datastream containing mesures of field Faisal Neimat by sensor J015 which measures Soil Temperature.</v>
      </c>
    </row>
    <row r="608" spans="1:16" ht="12.75">
      <c r="A608" s="4" t="s">
        <v>176</v>
      </c>
      <c r="B608" s="4" t="s">
        <v>836</v>
      </c>
      <c r="C608" s="4" t="s">
        <v>816</v>
      </c>
      <c r="D608" s="4">
        <v>35.685884999999999</v>
      </c>
      <c r="E608" s="4">
        <v>32.188872000000003</v>
      </c>
      <c r="F608" s="4" t="s">
        <v>291</v>
      </c>
      <c r="G608" s="4" t="s">
        <v>820</v>
      </c>
      <c r="H608" s="4" t="s">
        <v>207</v>
      </c>
      <c r="I608" s="4" t="s">
        <v>293</v>
      </c>
      <c r="J608" s="4" t="s">
        <v>821</v>
      </c>
      <c r="K608" s="4" t="s">
        <v>822</v>
      </c>
      <c r="L608" s="4" t="str">
        <f>VLOOKUP($K608,'Property names'!$A$1:$D$99,2,FALSE)</f>
        <v>Measure of the acidity or alkalinity of a solution.</v>
      </c>
      <c r="M608" s="4" t="str">
        <f>VLOOKUP($K608,'Property names'!$A$1:$D$99,3,FALSE)</f>
        <v>-</v>
      </c>
      <c r="N608" s="4" t="str">
        <f>VLOOKUP($K608,'Property names'!$A$1:$D$99,4,FALSE)</f>
        <v>-</v>
      </c>
      <c r="O608" s="4" t="str">
        <f t="shared" si="12"/>
        <v>Telal_Al_Thahab_J016_ph</v>
      </c>
      <c r="P608" s="4" t="str">
        <f t="shared" si="13"/>
        <v>The datastream containing mesures of field Telal Al Thahab by sensor J016 which measures pH.</v>
      </c>
    </row>
    <row r="609" spans="1:16" ht="12.75">
      <c r="A609" s="4" t="s">
        <v>176</v>
      </c>
      <c r="B609" s="4" t="s">
        <v>836</v>
      </c>
      <c r="C609" s="4" t="s">
        <v>816</v>
      </c>
      <c r="D609" s="4">
        <v>35.685884999999999</v>
      </c>
      <c r="E609" s="4">
        <v>32.188872000000003</v>
      </c>
      <c r="F609" s="4" t="s">
        <v>291</v>
      </c>
      <c r="G609" s="4" t="s">
        <v>820</v>
      </c>
      <c r="H609" s="4" t="s">
        <v>207</v>
      </c>
      <c r="I609" s="4" t="s">
        <v>293</v>
      </c>
      <c r="J609" s="4" t="s">
        <v>823</v>
      </c>
      <c r="K609" s="4" t="s">
        <v>824</v>
      </c>
      <c r="L609" s="4" t="str">
        <f>VLOOKUP($K609,'Property names'!$A$1:$D$99,2,FALSE)</f>
        <v>Measure of the ability of a solution to conduct electricity.</v>
      </c>
      <c r="M609" s="4" t="str">
        <f>VLOOKUP($K609,'Property names'!$A$1:$D$99,3,FALSE)</f>
        <v>Siemens per meter</v>
      </c>
      <c r="N609" s="4" t="str">
        <f>VLOOKUP($K609,'Property names'!$A$1:$D$99,4,FALSE)</f>
        <v>S/m</v>
      </c>
      <c r="O609" s="4" t="str">
        <f t="shared" si="12"/>
        <v>Telal_Al_Thahab_J016_ec</v>
      </c>
      <c r="P609" s="4" t="str">
        <f t="shared" si="13"/>
        <v>The datastream containing mesures of field Telal Al Thahab by sensor J016 which measures Electric Conductivity.</v>
      </c>
    </row>
    <row r="610" spans="1:16" ht="12.75">
      <c r="A610" s="4" t="s">
        <v>176</v>
      </c>
      <c r="B610" s="4" t="s">
        <v>836</v>
      </c>
      <c r="C610" s="4" t="s">
        <v>816</v>
      </c>
      <c r="D610" s="4">
        <v>35.685884999999999</v>
      </c>
      <c r="E610" s="4">
        <v>32.188872000000003</v>
      </c>
      <c r="F610" s="4" t="s">
        <v>291</v>
      </c>
      <c r="G610" s="4" t="s">
        <v>820</v>
      </c>
      <c r="H610" s="4" t="s">
        <v>207</v>
      </c>
      <c r="I610" s="4" t="s">
        <v>293</v>
      </c>
      <c r="J610" s="4" t="s">
        <v>825</v>
      </c>
      <c r="K610" s="4" t="s">
        <v>826</v>
      </c>
      <c r="L610" s="4" t="str">
        <f>VLOOKUP($K610,'Property names'!$A$1:$D$99,2,FALSE)</f>
        <v>Concentration of ammonia.</v>
      </c>
      <c r="M610" s="4" t="str">
        <f>VLOOKUP($K610,'Property names'!$A$1:$D$99,3,FALSE)</f>
        <v>Parts per million</v>
      </c>
      <c r="N610" s="4" t="str">
        <f>VLOOKUP($K610,'Property names'!$A$1:$D$99,4,FALSE)</f>
        <v>ppm</v>
      </c>
      <c r="O610" s="4" t="str">
        <f t="shared" si="12"/>
        <v>Telal_Al_Thahab_J016_nh3</v>
      </c>
      <c r="P610" s="4" t="str">
        <f t="shared" si="13"/>
        <v>The datastream containing mesures of field Telal Al Thahab by sensor J016 which measures NH3 / Ammonia.</v>
      </c>
    </row>
    <row r="611" spans="1:16" ht="12.75">
      <c r="A611" s="4" t="s">
        <v>176</v>
      </c>
      <c r="B611" s="4" t="s">
        <v>836</v>
      </c>
      <c r="C611" s="4" t="s">
        <v>816</v>
      </c>
      <c r="D611" s="4">
        <v>35.685884999999999</v>
      </c>
      <c r="E611" s="4">
        <v>32.188872000000003</v>
      </c>
      <c r="F611" s="4" t="s">
        <v>291</v>
      </c>
      <c r="G611" s="4" t="s">
        <v>820</v>
      </c>
      <c r="H611" s="4" t="s">
        <v>207</v>
      </c>
      <c r="I611" s="4" t="s">
        <v>293</v>
      </c>
      <c r="J611" s="4" t="s">
        <v>827</v>
      </c>
      <c r="K611" s="4" t="s">
        <v>828</v>
      </c>
      <c r="L611" s="4" t="str">
        <f>VLOOKUP($K611,'Property names'!$A$1:$D$99,2,FALSE)</f>
        <v>Concentration of nitrogen.</v>
      </c>
      <c r="M611" s="4" t="str">
        <f>VLOOKUP($K611,'Property names'!$A$1:$D$99,3,FALSE)</f>
        <v>Parts per million</v>
      </c>
      <c r="N611" s="4" t="str">
        <f>VLOOKUP($K611,'Property names'!$A$1:$D$99,4,FALSE)</f>
        <v>ppm</v>
      </c>
      <c r="O611" s="4" t="str">
        <f t="shared" si="12"/>
        <v>Telal_Al_Thahab_J016_no4</v>
      </c>
      <c r="P611" s="4" t="str">
        <f t="shared" si="13"/>
        <v>The datastream containing mesures of field Telal Al Thahab by sensor J016 which measures NO4 / Nitrate.</v>
      </c>
    </row>
    <row r="612" spans="1:16" ht="12.75">
      <c r="A612" s="4" t="s">
        <v>176</v>
      </c>
      <c r="B612" s="4" t="s">
        <v>836</v>
      </c>
      <c r="C612" s="4" t="s">
        <v>816</v>
      </c>
      <c r="D612" s="4">
        <v>35.685884999999999</v>
      </c>
      <c r="E612" s="4">
        <v>32.188872000000003</v>
      </c>
      <c r="F612" s="4" t="s">
        <v>291</v>
      </c>
      <c r="G612" s="4" t="s">
        <v>820</v>
      </c>
      <c r="H612" s="4" t="s">
        <v>207</v>
      </c>
      <c r="I612" s="4" t="s">
        <v>293</v>
      </c>
      <c r="J612" s="4" t="s">
        <v>829</v>
      </c>
      <c r="K612" s="4" t="s">
        <v>705</v>
      </c>
      <c r="L612" s="4" t="str">
        <f>VLOOKUP($K612,'Property names'!$A$1:$D$99,2,FALSE)</f>
        <v>The measure of the hotness or coldness of something.</v>
      </c>
      <c r="M612" s="4" t="str">
        <f>VLOOKUP($K612,'Property names'!$A$1:$D$99,3,FALSE)</f>
        <v>Degrees Celsius</v>
      </c>
      <c r="N612" s="4" t="str">
        <f>VLOOKUP($K612,'Property names'!$A$1:$D$99,4,FALSE)</f>
        <v>ºC</v>
      </c>
      <c r="O612" s="4" t="str">
        <f t="shared" si="12"/>
        <v>Telal_Al_Thahab_J016_temperature</v>
      </c>
      <c r="P612" s="4" t="str">
        <f t="shared" si="13"/>
        <v>The datastream containing mesures of field Telal Al Thahab by sensor J016 which measures Temperature.</v>
      </c>
    </row>
    <row r="613" spans="1:16" ht="12.75">
      <c r="A613" s="4" t="s">
        <v>176</v>
      </c>
      <c r="B613" s="4" t="s">
        <v>836</v>
      </c>
      <c r="C613" s="4" t="s">
        <v>816</v>
      </c>
      <c r="D613" s="4">
        <v>35.685884999999999</v>
      </c>
      <c r="E613" s="4">
        <v>32.188872000000003</v>
      </c>
      <c r="F613" s="4" t="s">
        <v>291</v>
      </c>
      <c r="G613" s="4" t="s">
        <v>820</v>
      </c>
      <c r="H613" s="4" t="s">
        <v>207</v>
      </c>
      <c r="I613" s="4" t="s">
        <v>293</v>
      </c>
      <c r="J613" s="4" t="s">
        <v>830</v>
      </c>
      <c r="K613" s="4" t="s">
        <v>831</v>
      </c>
      <c r="L613" s="4" t="str">
        <f>VLOOKUP($K613,'Property names'!$A$1:$D$99,2,FALSE)</f>
        <v>The depth at which the water table is found beneath the Earth's surface.</v>
      </c>
      <c r="M613" s="4" t="str">
        <f>VLOOKUP($K613,'Property names'!$A$1:$D$99,3,FALSE)</f>
        <v>Meters</v>
      </c>
      <c r="N613" s="4" t="str">
        <f>VLOOKUP($K613,'Property names'!$A$1:$D$99,4,FALSE)</f>
        <v>m</v>
      </c>
      <c r="O613" s="4" t="str">
        <f t="shared" si="12"/>
        <v>Telal_Al_Thahab_J016_gw_level</v>
      </c>
      <c r="P613" s="4" t="str">
        <f t="shared" si="13"/>
        <v>The datastream containing mesures of field Telal Al Thahab by sensor J016 which measures Groundwater Level.</v>
      </c>
    </row>
    <row r="614" spans="1:16" ht="12.75">
      <c r="G614" s="4"/>
      <c r="L614" s="4"/>
      <c r="M614" s="4"/>
      <c r="N614" s="4"/>
      <c r="O614" s="4"/>
    </row>
    <row r="615" spans="1:16" ht="12.75">
      <c r="A615" s="4" t="s">
        <v>336</v>
      </c>
      <c r="B615" s="4" t="s">
        <v>837</v>
      </c>
      <c r="C615" s="4" t="s">
        <v>838</v>
      </c>
      <c r="D615" s="4">
        <v>10.350576999999999</v>
      </c>
      <c r="E615" s="150">
        <v>33.310747999999997</v>
      </c>
      <c r="F615" s="4" t="s">
        <v>365</v>
      </c>
      <c r="G615" s="4" t="s">
        <v>839</v>
      </c>
      <c r="H615" s="4" t="s">
        <v>691</v>
      </c>
      <c r="I615" s="4" t="s">
        <v>691</v>
      </c>
      <c r="J615" s="4" t="s">
        <v>840</v>
      </c>
      <c r="K615" s="4" t="s">
        <v>709</v>
      </c>
      <c r="L615" s="4" t="str">
        <f>VLOOKUP($K615,'Property names'!$A$1:$D$99,2,FALSE)</f>
        <v>The rate at which the air is moving horizontally, often measured in miles per hour or meters per second.</v>
      </c>
      <c r="M615" s="4" t="str">
        <f>VLOOKUP($K615,'Property names'!$A$1:$D$99,3,FALSE)</f>
        <v>Meters per second</v>
      </c>
      <c r="N615" s="4" t="str">
        <f>VLOOKUP($K615,'Property names'!$A$1:$D$99,4,FALSE)</f>
        <v>m/s</v>
      </c>
      <c r="O615" s="4" t="str">
        <f t="shared" ref="O615:O697" si="14">SUBSTITUTE(CONCATENATE(B615,"_",F615,"_",J615)," ","_")</f>
        <v>Noureddine_Rojbani_TS01_wind_speed</v>
      </c>
      <c r="P615" s="4" t="str">
        <f t="shared" ref="P615:P697" si="15">CONCATENATE("The datastream containing mesures of field ",B615," by sensor ",F615," which measures ",K615,".")</f>
        <v>The datastream containing mesures of field Noureddine Rojbani by sensor TS01 which measures Wind Speed.</v>
      </c>
    </row>
    <row r="616" spans="1:16" ht="12.75">
      <c r="A616" s="4" t="s">
        <v>336</v>
      </c>
      <c r="B616" s="4" t="s">
        <v>837</v>
      </c>
      <c r="C616" s="4" t="s">
        <v>838</v>
      </c>
      <c r="D616" s="4">
        <v>10.350576999999999</v>
      </c>
      <c r="E616" s="150">
        <v>33.310747999999997</v>
      </c>
      <c r="F616" s="4" t="s">
        <v>365</v>
      </c>
      <c r="G616" s="4" t="s">
        <v>839</v>
      </c>
      <c r="H616" s="4" t="s">
        <v>691</v>
      </c>
      <c r="I616" s="4" t="s">
        <v>691</v>
      </c>
      <c r="J616" s="4" t="s">
        <v>841</v>
      </c>
      <c r="K616" s="4" t="s">
        <v>708</v>
      </c>
      <c r="L616" s="4" t="str">
        <f>VLOOKUP($K616,'Property names'!$A$1:$D$99,2,FALSE)</f>
        <v>The compass direction from which the wind is blowing.</v>
      </c>
      <c r="M616" s="4" t="str">
        <f>VLOOKUP($K616,'Property names'!$A$1:$D$99,3,FALSE)</f>
        <v>Degrees</v>
      </c>
      <c r="N616" s="4" t="str">
        <f>VLOOKUP($K616,'Property names'!$A$1:$D$99,4,FALSE)</f>
        <v>º</v>
      </c>
      <c r="O616" s="4" t="str">
        <f t="shared" si="14"/>
        <v>Noureddine_Rojbani_TS01_wind_direction</v>
      </c>
      <c r="P616" s="4" t="str">
        <f t="shared" si="15"/>
        <v>The datastream containing mesures of field Noureddine Rojbani by sensor TS01 which measures Wind Direction.</v>
      </c>
    </row>
    <row r="617" spans="1:16" ht="12.75">
      <c r="A617" s="4" t="s">
        <v>336</v>
      </c>
      <c r="B617" s="4" t="s">
        <v>837</v>
      </c>
      <c r="C617" s="4" t="s">
        <v>838</v>
      </c>
      <c r="D617" s="4">
        <v>10.350576999999999</v>
      </c>
      <c r="E617" s="150">
        <v>33.310747999999997</v>
      </c>
      <c r="F617" s="4" t="s">
        <v>365</v>
      </c>
      <c r="G617" s="4" t="s">
        <v>839</v>
      </c>
      <c r="H617" s="4" t="s">
        <v>691</v>
      </c>
      <c r="I617" s="4" t="s">
        <v>691</v>
      </c>
      <c r="J617" s="4" t="s">
        <v>842</v>
      </c>
      <c r="K617" s="4" t="s">
        <v>704</v>
      </c>
      <c r="L617" s="4" t="str">
        <f>VLOOKUP($K617,'Property names'!$A$1:$D$99,2,FALSE)</f>
        <v>Energy from the sun in the form of electromagnetic waves.</v>
      </c>
      <c r="M617" s="4" t="str">
        <f>VLOOKUP($K617,'Property names'!$A$1:$D$99,3,FALSE)</f>
        <v>Watts per square meter</v>
      </c>
      <c r="N617" s="4" t="str">
        <f>VLOOKUP($K617,'Property names'!$A$1:$D$99,4,FALSE)</f>
        <v>W/m²</v>
      </c>
      <c r="O617" s="4" t="str">
        <f t="shared" si="14"/>
        <v>Noureddine_Rojbani_TS01_solar_radiation</v>
      </c>
      <c r="P617" s="4" t="str">
        <f t="shared" si="15"/>
        <v>The datastream containing mesures of field Noureddine Rojbani by sensor TS01 which measures Solar Radiation.</v>
      </c>
    </row>
    <row r="618" spans="1:16" ht="12.75">
      <c r="A618" s="4" t="s">
        <v>336</v>
      </c>
      <c r="B618" s="4" t="s">
        <v>837</v>
      </c>
      <c r="C618" s="4" t="s">
        <v>838</v>
      </c>
      <c r="D618" s="4">
        <v>10.350576999999999</v>
      </c>
      <c r="E618" s="150">
        <v>33.310747999999997</v>
      </c>
      <c r="F618" s="4" t="s">
        <v>365</v>
      </c>
      <c r="G618" s="4" t="s">
        <v>839</v>
      </c>
      <c r="H618" s="4" t="s">
        <v>691</v>
      </c>
      <c r="I618" s="4" t="s">
        <v>691</v>
      </c>
      <c r="J618" s="4" t="s">
        <v>829</v>
      </c>
      <c r="K618" s="4" t="s">
        <v>705</v>
      </c>
      <c r="L618" s="4" t="str">
        <f>VLOOKUP($K618,'Property names'!$A$1:$D$99,2,FALSE)</f>
        <v>The measure of the hotness or coldness of something.</v>
      </c>
      <c r="M618" s="4" t="str">
        <f>VLOOKUP($K618,'Property names'!$A$1:$D$99,3,FALSE)</f>
        <v>Degrees Celsius</v>
      </c>
      <c r="N618" s="4" t="str">
        <f>VLOOKUP($K618,'Property names'!$A$1:$D$99,4,FALSE)</f>
        <v>ºC</v>
      </c>
      <c r="O618" s="4" t="str">
        <f t="shared" si="14"/>
        <v>Noureddine_Rojbani_TS01_temperature</v>
      </c>
      <c r="P618" s="4" t="str">
        <f t="shared" si="15"/>
        <v>The datastream containing mesures of field Noureddine Rojbani by sensor TS01 which measures Temperature.</v>
      </c>
    </row>
    <row r="619" spans="1:16" ht="12.75">
      <c r="A619" s="4" t="s">
        <v>336</v>
      </c>
      <c r="B619" s="4" t="s">
        <v>837</v>
      </c>
      <c r="C619" s="4" t="s">
        <v>838</v>
      </c>
      <c r="D619" s="4">
        <v>10.350576999999999</v>
      </c>
      <c r="E619" s="150">
        <v>33.310747999999997</v>
      </c>
      <c r="F619" s="4" t="s">
        <v>365</v>
      </c>
      <c r="G619" s="4" t="s">
        <v>839</v>
      </c>
      <c r="H619" s="4" t="s">
        <v>691</v>
      </c>
      <c r="I619" s="4" t="s">
        <v>691</v>
      </c>
      <c r="J619" s="4" t="s">
        <v>639</v>
      </c>
      <c r="K619" s="4" t="s">
        <v>640</v>
      </c>
      <c r="L619" s="4" t="str">
        <f>VLOOKUP($K619,'Property names'!$A$1:$D$99,2,FALSE)</f>
        <v>The amount of moisture or water vapor present in the air, often expressed as a percentage of the maximum amount the air could hold at a given temperature.</v>
      </c>
      <c r="M619" s="4" t="str">
        <f>VLOOKUP($K619,'Property names'!$A$1:$D$99,3,FALSE)</f>
        <v>Percentage</v>
      </c>
      <c r="N619" s="4" t="str">
        <f>VLOOKUP($K619,'Property names'!$A$1:$D$99,4,FALSE)</f>
        <v>%</v>
      </c>
      <c r="O619" s="4" t="str">
        <f t="shared" si="14"/>
        <v>Noureddine_Rojbani_TS01_air_humidity</v>
      </c>
      <c r="P619" s="4" t="str">
        <f t="shared" si="15"/>
        <v>The datastream containing mesures of field Noureddine Rojbani by sensor TS01 which measures Air Humidity.</v>
      </c>
    </row>
    <row r="620" spans="1:16" ht="12.75">
      <c r="A620" s="4" t="s">
        <v>336</v>
      </c>
      <c r="B620" s="4" t="s">
        <v>837</v>
      </c>
      <c r="C620" s="4" t="s">
        <v>838</v>
      </c>
      <c r="D620" s="4">
        <v>10.350576999999999</v>
      </c>
      <c r="E620" s="150">
        <v>33.310747999999997</v>
      </c>
      <c r="F620" s="4" t="s">
        <v>369</v>
      </c>
      <c r="G620" s="4" t="s">
        <v>843</v>
      </c>
      <c r="H620" s="4" t="s">
        <v>691</v>
      </c>
      <c r="I620" s="4" t="s">
        <v>691</v>
      </c>
      <c r="J620" s="4" t="s">
        <v>844</v>
      </c>
      <c r="K620" s="4" t="s">
        <v>700</v>
      </c>
      <c r="L620" s="4" t="str">
        <f>VLOOKUP($K620,'Property names'!$A$1:$D$99,2,FALSE)</f>
        <v>The highest rate at which rain or other forms of precipitation fall in a given period.</v>
      </c>
      <c r="M620" s="4" t="str">
        <f>VLOOKUP($K620,'Property names'!$A$1:$D$99,3,FALSE)</f>
        <v>Millimeters per hour</v>
      </c>
      <c r="N620" s="4" t="str">
        <f>VLOOKUP($K620,'Property names'!$A$1:$D$99,4,FALSE)</f>
        <v>mm/h</v>
      </c>
      <c r="O620" s="4" t="str">
        <f t="shared" si="14"/>
        <v>Noureddine_Rojbani_TS02_rain_intensity</v>
      </c>
      <c r="P620" s="4" t="str">
        <f t="shared" si="15"/>
        <v>The datastream containing mesures of field Noureddine Rojbani by sensor TS02 which measures Max Precipitation Rate.</v>
      </c>
    </row>
    <row r="621" spans="1:16" ht="12.75">
      <c r="A621" s="4" t="s">
        <v>336</v>
      </c>
      <c r="B621" s="4" t="s">
        <v>837</v>
      </c>
      <c r="C621" s="4" t="s">
        <v>838</v>
      </c>
      <c r="D621" s="4">
        <v>10.350576999999999</v>
      </c>
      <c r="E621" s="150">
        <v>33.310747999999997</v>
      </c>
      <c r="F621" s="4" t="s">
        <v>369</v>
      </c>
      <c r="G621" s="4" t="s">
        <v>843</v>
      </c>
      <c r="H621" s="4" t="s">
        <v>691</v>
      </c>
      <c r="I621" s="4" t="s">
        <v>691</v>
      </c>
      <c r="J621" s="4" t="s">
        <v>845</v>
      </c>
      <c r="K621" s="4" t="s">
        <v>846</v>
      </c>
      <c r="L621" s="4" t="str">
        <f>VLOOKUP($K621,'Property names'!$A$1:$D$99,2,FALSE)</f>
        <v>Cumulatime Rainfall.</v>
      </c>
      <c r="M621" s="4" t="str">
        <f>VLOOKUP($K621,'Property names'!$A$1:$D$99,3,FALSE)</f>
        <v>Liters per square meter</v>
      </c>
      <c r="N621" s="4" t="str">
        <f>VLOOKUP($K621,'Property names'!$A$1:$D$99,4,FALSE)</f>
        <v>L/m^2</v>
      </c>
      <c r="O621" s="4" t="str">
        <f t="shared" si="14"/>
        <v>Noureddine_Rojbani_TS02_cumulative_rainfall</v>
      </c>
      <c r="P621" s="4" t="str">
        <f t="shared" si="15"/>
        <v>The datastream containing mesures of field Noureddine Rojbani by sensor TS02 which measures Cumulative Rainfall.</v>
      </c>
    </row>
    <row r="622" spans="1:16" ht="12.75">
      <c r="A622" s="4" t="s">
        <v>336</v>
      </c>
      <c r="B622" s="4" t="s">
        <v>837</v>
      </c>
      <c r="C622" s="4" t="s">
        <v>838</v>
      </c>
      <c r="D622" s="4">
        <v>10.350576999999999</v>
      </c>
      <c r="E622" s="150">
        <v>33.310747999999997</v>
      </c>
      <c r="F622" s="4" t="s">
        <v>373</v>
      </c>
      <c r="G622" s="4" t="s">
        <v>847</v>
      </c>
      <c r="H622" s="4" t="s">
        <v>691</v>
      </c>
      <c r="I622" s="4" t="s">
        <v>691</v>
      </c>
      <c r="J622" s="4" t="s">
        <v>643</v>
      </c>
      <c r="K622" s="4" t="s">
        <v>644</v>
      </c>
      <c r="L622" s="4" t="str">
        <f>VLOOKUP($K622,'Property names'!$A$1:$D$99,2,FALSE)</f>
        <v>The amount of moisture present in the soil, often expressed as a percentage of the maximum amount the soil could hold at a given temperature.</v>
      </c>
      <c r="M622" s="4" t="str">
        <f>VLOOKUP($K622,'Property names'!$A$1:$D$99,3,FALSE)</f>
        <v>Percentage</v>
      </c>
      <c r="N622" s="4" t="str">
        <f>VLOOKUP($K622,'Property names'!$A$1:$D$99,4,FALSE)</f>
        <v>%</v>
      </c>
      <c r="O622" s="4" t="str">
        <f t="shared" si="14"/>
        <v>Noureddine_Rojbani_TS03_soil_moisture</v>
      </c>
      <c r="P622" s="4" t="str">
        <f t="shared" si="15"/>
        <v>The datastream containing mesures of field Noureddine Rojbani by sensor TS03 which measures Soil Moisture.</v>
      </c>
    </row>
    <row r="623" spans="1:16" ht="12.75">
      <c r="A623" s="4" t="s">
        <v>336</v>
      </c>
      <c r="B623" s="4" t="s">
        <v>837</v>
      </c>
      <c r="C623" s="4" t="s">
        <v>838</v>
      </c>
      <c r="D623" s="4">
        <v>10.350576999999999</v>
      </c>
      <c r="E623" s="150">
        <v>33.310747999999997</v>
      </c>
      <c r="F623" s="4" t="s">
        <v>373</v>
      </c>
      <c r="G623" s="4" t="s">
        <v>847</v>
      </c>
      <c r="H623" s="4" t="s">
        <v>691</v>
      </c>
      <c r="I623" s="4" t="s">
        <v>691</v>
      </c>
      <c r="J623" s="4" t="s">
        <v>645</v>
      </c>
      <c r="K623" s="4" t="s">
        <v>646</v>
      </c>
      <c r="L623" s="4" t="str">
        <f>VLOOKUP($K623,'Property names'!$A$1:$D$99,2,FALSE)</f>
        <v>The measure of temperature of the soil.</v>
      </c>
      <c r="M623" s="4" t="str">
        <f>VLOOKUP($K623,'Property names'!$A$1:$D$99,3,FALSE)</f>
        <v>Degrees Celsius</v>
      </c>
      <c r="N623" s="4" t="str">
        <f>VLOOKUP($K623,'Property names'!$A$1:$D$99,4,FALSE)</f>
        <v>ºC</v>
      </c>
      <c r="O623" s="4" t="str">
        <f t="shared" si="14"/>
        <v>Noureddine_Rojbani_TS03_soil_temperature</v>
      </c>
      <c r="P623" s="4" t="str">
        <f t="shared" si="15"/>
        <v>The datastream containing mesures of field Noureddine Rojbani by sensor TS03 which measures Soil Temperature.</v>
      </c>
    </row>
    <row r="624" spans="1:16" ht="12.75">
      <c r="A624" s="4" t="s">
        <v>336</v>
      </c>
      <c r="B624" s="4" t="s">
        <v>837</v>
      </c>
      <c r="C624" s="4" t="s">
        <v>838</v>
      </c>
      <c r="D624" s="4">
        <v>10.350576999999999</v>
      </c>
      <c r="E624" s="150">
        <v>33.310747999999997</v>
      </c>
      <c r="F624" s="4" t="s">
        <v>377</v>
      </c>
      <c r="G624" s="4" t="s">
        <v>847</v>
      </c>
      <c r="H624" s="4" t="s">
        <v>691</v>
      </c>
      <c r="I624" s="4" t="s">
        <v>691</v>
      </c>
      <c r="J624" s="4" t="s">
        <v>643</v>
      </c>
      <c r="K624" s="4" t="s">
        <v>644</v>
      </c>
      <c r="L624" s="4" t="str">
        <f>VLOOKUP($K624,'Property names'!$A$1:$D$99,2,FALSE)</f>
        <v>The amount of moisture present in the soil, often expressed as a percentage of the maximum amount the soil could hold at a given temperature.</v>
      </c>
      <c r="M624" s="4" t="str">
        <f>VLOOKUP($K624,'Property names'!$A$1:$D$99,3,FALSE)</f>
        <v>Percentage</v>
      </c>
      <c r="N624" s="4" t="str">
        <f>VLOOKUP($K624,'Property names'!$A$1:$D$99,4,FALSE)</f>
        <v>%</v>
      </c>
      <c r="O624" s="4" t="str">
        <f t="shared" si="14"/>
        <v>Noureddine_Rojbani_TS04_soil_moisture</v>
      </c>
      <c r="P624" s="4" t="str">
        <f t="shared" si="15"/>
        <v>The datastream containing mesures of field Noureddine Rojbani by sensor TS04 which measures Soil Moisture.</v>
      </c>
    </row>
    <row r="625" spans="1:16" ht="12.75">
      <c r="A625" s="4" t="s">
        <v>336</v>
      </c>
      <c r="B625" s="4" t="s">
        <v>837</v>
      </c>
      <c r="C625" s="4" t="s">
        <v>838</v>
      </c>
      <c r="D625" s="4">
        <v>10.350576999999999</v>
      </c>
      <c r="E625" s="150">
        <v>33.310747999999997</v>
      </c>
      <c r="F625" s="4" t="s">
        <v>377</v>
      </c>
      <c r="G625" s="4" t="s">
        <v>847</v>
      </c>
      <c r="H625" s="4" t="s">
        <v>691</v>
      </c>
      <c r="I625" s="4" t="s">
        <v>691</v>
      </c>
      <c r="J625" s="4" t="s">
        <v>645</v>
      </c>
      <c r="K625" s="4" t="s">
        <v>646</v>
      </c>
      <c r="L625" s="4" t="str">
        <f>VLOOKUP($K625,'Property names'!$A$1:$D$99,2,FALSE)</f>
        <v>The measure of temperature of the soil.</v>
      </c>
      <c r="M625" s="4" t="str">
        <f>VLOOKUP($K625,'Property names'!$A$1:$D$99,3,FALSE)</f>
        <v>Degrees Celsius</v>
      </c>
      <c r="N625" s="4" t="str">
        <f>VLOOKUP($K625,'Property names'!$A$1:$D$99,4,FALSE)</f>
        <v>ºC</v>
      </c>
      <c r="O625" s="4" t="str">
        <f t="shared" si="14"/>
        <v>Noureddine_Rojbani_TS04_soil_temperature</v>
      </c>
      <c r="P625" s="4" t="str">
        <f t="shared" si="15"/>
        <v>The datastream containing mesures of field Noureddine Rojbani by sensor TS04 which measures Soil Temperature.</v>
      </c>
    </row>
    <row r="626" spans="1:16" ht="12.75">
      <c r="A626" s="4" t="s">
        <v>336</v>
      </c>
      <c r="B626" s="4" t="s">
        <v>837</v>
      </c>
      <c r="C626" s="4" t="s">
        <v>838</v>
      </c>
      <c r="D626" s="4">
        <v>10.350576999999999</v>
      </c>
      <c r="E626" s="150">
        <v>33.310747999999997</v>
      </c>
      <c r="F626" s="4" t="s">
        <v>378</v>
      </c>
      <c r="G626" s="4" t="s">
        <v>847</v>
      </c>
      <c r="H626" s="4" t="s">
        <v>691</v>
      </c>
      <c r="I626" s="4" t="s">
        <v>691</v>
      </c>
      <c r="J626" s="4" t="s">
        <v>643</v>
      </c>
      <c r="K626" s="4" t="s">
        <v>644</v>
      </c>
      <c r="L626" s="4" t="str">
        <f>VLOOKUP($K626,'Property names'!$A$1:$D$99,2,FALSE)</f>
        <v>The amount of moisture present in the soil, often expressed as a percentage of the maximum amount the soil could hold at a given temperature.</v>
      </c>
      <c r="M626" s="4" t="str">
        <f>VLOOKUP($K626,'Property names'!$A$1:$D$99,3,FALSE)</f>
        <v>Percentage</v>
      </c>
      <c r="N626" s="4" t="str">
        <f>VLOOKUP($K626,'Property names'!$A$1:$D$99,4,FALSE)</f>
        <v>%</v>
      </c>
      <c r="O626" s="4" t="str">
        <f t="shared" si="14"/>
        <v>Noureddine_Rojbani_TS05_soil_moisture</v>
      </c>
      <c r="P626" s="4" t="str">
        <f t="shared" si="15"/>
        <v>The datastream containing mesures of field Noureddine Rojbani by sensor TS05 which measures Soil Moisture.</v>
      </c>
    </row>
    <row r="627" spans="1:16" ht="12.75">
      <c r="A627" s="4" t="s">
        <v>336</v>
      </c>
      <c r="B627" s="4" t="s">
        <v>837</v>
      </c>
      <c r="C627" s="4" t="s">
        <v>838</v>
      </c>
      <c r="D627" s="4">
        <v>10.350576999999999</v>
      </c>
      <c r="E627" s="150">
        <v>33.310747999999997</v>
      </c>
      <c r="F627" s="4" t="s">
        <v>378</v>
      </c>
      <c r="G627" s="4" t="s">
        <v>847</v>
      </c>
      <c r="H627" s="4" t="s">
        <v>691</v>
      </c>
      <c r="I627" s="4" t="s">
        <v>691</v>
      </c>
      <c r="J627" s="4" t="s">
        <v>645</v>
      </c>
      <c r="K627" s="4" t="s">
        <v>646</v>
      </c>
      <c r="L627" s="4" t="str">
        <f>VLOOKUP($K627,'Property names'!$A$1:$D$99,2,FALSE)</f>
        <v>The measure of temperature of the soil.</v>
      </c>
      <c r="M627" s="4" t="str">
        <f>VLOOKUP($K627,'Property names'!$A$1:$D$99,3,FALSE)</f>
        <v>Degrees Celsius</v>
      </c>
      <c r="N627" s="4" t="str">
        <f>VLOOKUP($K627,'Property names'!$A$1:$D$99,4,FALSE)</f>
        <v>ºC</v>
      </c>
      <c r="O627" s="4" t="str">
        <f t="shared" si="14"/>
        <v>Noureddine_Rojbani_TS05_soil_temperature</v>
      </c>
      <c r="P627" s="4" t="str">
        <f t="shared" si="15"/>
        <v>The datastream containing mesures of field Noureddine Rojbani by sensor TS05 which measures Soil Temperature.</v>
      </c>
    </row>
    <row r="628" spans="1:16" ht="12.75">
      <c r="A628" s="4" t="s">
        <v>336</v>
      </c>
      <c r="B628" s="4" t="s">
        <v>837</v>
      </c>
      <c r="C628" s="4" t="s">
        <v>838</v>
      </c>
      <c r="D628" s="4">
        <v>10.350576999999999</v>
      </c>
      <c r="E628" s="150">
        <v>33.310747999999997</v>
      </c>
      <c r="F628" s="4" t="s">
        <v>379</v>
      </c>
      <c r="G628" s="4" t="s">
        <v>847</v>
      </c>
      <c r="H628" s="4" t="s">
        <v>691</v>
      </c>
      <c r="I628" s="4" t="s">
        <v>691</v>
      </c>
      <c r="J628" s="4" t="s">
        <v>643</v>
      </c>
      <c r="K628" s="4" t="s">
        <v>644</v>
      </c>
      <c r="L628" s="4" t="str">
        <f>VLOOKUP($K628,'Property names'!$A$1:$D$99,2,FALSE)</f>
        <v>The amount of moisture present in the soil, often expressed as a percentage of the maximum amount the soil could hold at a given temperature.</v>
      </c>
      <c r="M628" s="4" t="str">
        <f>VLOOKUP($K628,'Property names'!$A$1:$D$99,3,FALSE)</f>
        <v>Percentage</v>
      </c>
      <c r="N628" s="4" t="str">
        <f>VLOOKUP($K628,'Property names'!$A$1:$D$99,4,FALSE)</f>
        <v>%</v>
      </c>
      <c r="O628" s="4" t="str">
        <f t="shared" si="14"/>
        <v>Noureddine_Rojbani_TS06_soil_moisture</v>
      </c>
      <c r="P628" s="4" t="str">
        <f t="shared" si="15"/>
        <v>The datastream containing mesures of field Noureddine Rojbani by sensor TS06 which measures Soil Moisture.</v>
      </c>
    </row>
    <row r="629" spans="1:16" ht="12.75">
      <c r="A629" s="4" t="s">
        <v>336</v>
      </c>
      <c r="B629" s="4" t="s">
        <v>837</v>
      </c>
      <c r="C629" s="4" t="s">
        <v>838</v>
      </c>
      <c r="D629" s="4">
        <v>10.350576999999999</v>
      </c>
      <c r="E629" s="150">
        <v>33.310747999999997</v>
      </c>
      <c r="F629" s="4" t="s">
        <v>379</v>
      </c>
      <c r="G629" s="4" t="s">
        <v>847</v>
      </c>
      <c r="H629" s="4" t="s">
        <v>691</v>
      </c>
      <c r="I629" s="4" t="s">
        <v>691</v>
      </c>
      <c r="J629" s="4" t="s">
        <v>645</v>
      </c>
      <c r="K629" s="4" t="s">
        <v>646</v>
      </c>
      <c r="L629" s="4" t="str">
        <f>VLOOKUP($K629,'Property names'!$A$1:$D$99,2,FALSE)</f>
        <v>The measure of temperature of the soil.</v>
      </c>
      <c r="M629" s="4" t="str">
        <f>VLOOKUP($K629,'Property names'!$A$1:$D$99,3,FALSE)</f>
        <v>Degrees Celsius</v>
      </c>
      <c r="N629" s="4" t="str">
        <f>VLOOKUP($K629,'Property names'!$A$1:$D$99,4,FALSE)</f>
        <v>ºC</v>
      </c>
      <c r="O629" s="4" t="str">
        <f t="shared" si="14"/>
        <v>Noureddine_Rojbani_TS06_soil_temperature</v>
      </c>
      <c r="P629" s="4" t="str">
        <f t="shared" si="15"/>
        <v>The datastream containing mesures of field Noureddine Rojbani by sensor TS06 which measures Soil Temperature.</v>
      </c>
    </row>
    <row r="630" spans="1:16" ht="12.75">
      <c r="A630" s="4" t="s">
        <v>336</v>
      </c>
      <c r="B630" s="4" t="s">
        <v>837</v>
      </c>
      <c r="C630" s="4" t="s">
        <v>838</v>
      </c>
      <c r="D630" s="4">
        <v>10.350576999999999</v>
      </c>
      <c r="E630" s="150">
        <v>33.310747999999997</v>
      </c>
      <c r="F630" s="4" t="s">
        <v>380</v>
      </c>
      <c r="G630" s="4" t="s">
        <v>847</v>
      </c>
      <c r="H630" s="4" t="s">
        <v>691</v>
      </c>
      <c r="I630" s="4" t="s">
        <v>691</v>
      </c>
      <c r="J630" s="4" t="s">
        <v>643</v>
      </c>
      <c r="K630" s="4" t="s">
        <v>644</v>
      </c>
      <c r="L630" s="4" t="str">
        <f>VLOOKUP($K630,'Property names'!$A$1:$D$99,2,FALSE)</f>
        <v>The amount of moisture present in the soil, often expressed as a percentage of the maximum amount the soil could hold at a given temperature.</v>
      </c>
      <c r="M630" s="4" t="str">
        <f>VLOOKUP($K630,'Property names'!$A$1:$D$99,3,FALSE)</f>
        <v>Percentage</v>
      </c>
      <c r="N630" s="4" t="str">
        <f>VLOOKUP($K630,'Property names'!$A$1:$D$99,4,FALSE)</f>
        <v>%</v>
      </c>
      <c r="O630" s="4" t="str">
        <f t="shared" si="14"/>
        <v>Noureddine_Rojbani_TS07_soil_moisture</v>
      </c>
      <c r="P630" s="4" t="str">
        <f t="shared" si="15"/>
        <v>The datastream containing mesures of field Noureddine Rojbani by sensor TS07 which measures Soil Moisture.</v>
      </c>
    </row>
    <row r="631" spans="1:16" ht="12.75">
      <c r="A631" s="4" t="s">
        <v>336</v>
      </c>
      <c r="B631" s="4" t="s">
        <v>837</v>
      </c>
      <c r="C631" s="4" t="s">
        <v>838</v>
      </c>
      <c r="D631" s="4">
        <v>10.350576999999999</v>
      </c>
      <c r="E631" s="150">
        <v>33.310747999999997</v>
      </c>
      <c r="F631" s="4" t="s">
        <v>380</v>
      </c>
      <c r="G631" s="4" t="s">
        <v>847</v>
      </c>
      <c r="H631" s="4" t="s">
        <v>691</v>
      </c>
      <c r="I631" s="4" t="s">
        <v>691</v>
      </c>
      <c r="J631" s="4" t="s">
        <v>645</v>
      </c>
      <c r="K631" s="4" t="s">
        <v>646</v>
      </c>
      <c r="L631" s="4" t="str">
        <f>VLOOKUP($K631,'Property names'!$A$1:$D$99,2,FALSE)</f>
        <v>The measure of temperature of the soil.</v>
      </c>
      <c r="M631" s="4" t="str">
        <f>VLOOKUP($K631,'Property names'!$A$1:$D$99,3,FALSE)</f>
        <v>Degrees Celsius</v>
      </c>
      <c r="N631" s="4" t="str">
        <f>VLOOKUP($K631,'Property names'!$A$1:$D$99,4,FALSE)</f>
        <v>ºC</v>
      </c>
      <c r="O631" s="4" t="str">
        <f t="shared" si="14"/>
        <v>Noureddine_Rojbani_TS07_soil_temperature</v>
      </c>
      <c r="P631" s="4" t="str">
        <f t="shared" si="15"/>
        <v>The datastream containing mesures of field Noureddine Rojbani by sensor TS07 which measures Soil Temperature.</v>
      </c>
    </row>
    <row r="632" spans="1:16" ht="12.75">
      <c r="A632" s="4" t="s">
        <v>336</v>
      </c>
      <c r="B632" s="4" t="s">
        <v>837</v>
      </c>
      <c r="C632" s="4" t="s">
        <v>838</v>
      </c>
      <c r="D632" s="4">
        <v>10.350576999999999</v>
      </c>
      <c r="E632" s="150">
        <v>33.310747999999997</v>
      </c>
      <c r="F632" s="4" t="s">
        <v>381</v>
      </c>
      <c r="G632" s="4" t="s">
        <v>847</v>
      </c>
      <c r="H632" s="4" t="s">
        <v>691</v>
      </c>
      <c r="I632" s="4" t="s">
        <v>691</v>
      </c>
      <c r="J632" s="4" t="s">
        <v>643</v>
      </c>
      <c r="K632" s="4" t="s">
        <v>644</v>
      </c>
      <c r="L632" s="4" t="str">
        <f>VLOOKUP($K632,'Property names'!$A$1:$D$99,2,FALSE)</f>
        <v>The amount of moisture present in the soil, often expressed as a percentage of the maximum amount the soil could hold at a given temperature.</v>
      </c>
      <c r="M632" s="4" t="str">
        <f>VLOOKUP($K632,'Property names'!$A$1:$D$99,3,FALSE)</f>
        <v>Percentage</v>
      </c>
      <c r="N632" s="4" t="str">
        <f>VLOOKUP($K632,'Property names'!$A$1:$D$99,4,FALSE)</f>
        <v>%</v>
      </c>
      <c r="O632" s="4" t="str">
        <f t="shared" si="14"/>
        <v>Noureddine_Rojbani_TS08_soil_moisture</v>
      </c>
      <c r="P632" s="4" t="str">
        <f t="shared" si="15"/>
        <v>The datastream containing mesures of field Noureddine Rojbani by sensor TS08 which measures Soil Moisture.</v>
      </c>
    </row>
    <row r="633" spans="1:16" ht="12.75">
      <c r="A633" s="4" t="s">
        <v>336</v>
      </c>
      <c r="B633" s="4" t="s">
        <v>837</v>
      </c>
      <c r="C633" s="4" t="s">
        <v>838</v>
      </c>
      <c r="D633" s="4">
        <v>10.350576999999999</v>
      </c>
      <c r="E633" s="150">
        <v>33.310747999999997</v>
      </c>
      <c r="F633" s="4" t="s">
        <v>381</v>
      </c>
      <c r="G633" s="4" t="s">
        <v>847</v>
      </c>
      <c r="H633" s="4" t="s">
        <v>691</v>
      </c>
      <c r="I633" s="4" t="s">
        <v>691</v>
      </c>
      <c r="J633" s="4" t="s">
        <v>645</v>
      </c>
      <c r="K633" s="4" t="s">
        <v>646</v>
      </c>
      <c r="L633" s="4" t="str">
        <f>VLOOKUP($K633,'Property names'!$A$1:$D$99,2,FALSE)</f>
        <v>The measure of temperature of the soil.</v>
      </c>
      <c r="M633" s="4" t="str">
        <f>VLOOKUP($K633,'Property names'!$A$1:$D$99,3,FALSE)</f>
        <v>Degrees Celsius</v>
      </c>
      <c r="N633" s="4" t="str">
        <f>VLOOKUP($K633,'Property names'!$A$1:$D$99,4,FALSE)</f>
        <v>ºC</v>
      </c>
      <c r="O633" s="4" t="str">
        <f t="shared" si="14"/>
        <v>Noureddine_Rojbani_TS08_soil_temperature</v>
      </c>
      <c r="P633" s="4" t="str">
        <f t="shared" si="15"/>
        <v>The datastream containing mesures of field Noureddine Rojbani by sensor TS08 which measures Soil Temperature.</v>
      </c>
    </row>
    <row r="634" spans="1:16" ht="12.75">
      <c r="A634" s="4" t="s">
        <v>336</v>
      </c>
      <c r="B634" s="4" t="s">
        <v>837</v>
      </c>
      <c r="C634" s="4" t="s">
        <v>838</v>
      </c>
      <c r="D634" s="4">
        <v>10.350576999999999</v>
      </c>
      <c r="E634" s="150">
        <v>33.310747999999997</v>
      </c>
      <c r="F634" s="4" t="s">
        <v>382</v>
      </c>
      <c r="G634" s="4" t="s">
        <v>848</v>
      </c>
      <c r="H634" s="4" t="s">
        <v>691</v>
      </c>
      <c r="I634" s="4" t="s">
        <v>691</v>
      </c>
      <c r="J634" s="4" t="s">
        <v>818</v>
      </c>
      <c r="K634" s="4" t="s">
        <v>386</v>
      </c>
      <c r="L634" s="4" t="str">
        <f>VLOOKUP($K634,'Property names'!$A$1:$D$99,2,FALSE)</f>
        <v>The continuous movement of water in a particular direction.</v>
      </c>
      <c r="M634" s="4" t="str">
        <f>VLOOKUP($K634,'Property names'!$A$1:$D$99,3,FALSE)</f>
        <v>Cubic meters per second</v>
      </c>
      <c r="N634" s="4" t="str">
        <f>VLOOKUP($K634,'Property names'!$A$1:$D$99,4,FALSE)</f>
        <v>m^3/s</v>
      </c>
      <c r="O634" s="4" t="str">
        <f t="shared" si="14"/>
        <v>Noureddine_Rojbani_TS027_water_flow</v>
      </c>
      <c r="P634" s="4" t="str">
        <f t="shared" si="15"/>
        <v>The datastream containing mesures of field Noureddine Rojbani by sensor TS027 which measures Water Flow.</v>
      </c>
    </row>
    <row r="635" spans="1:16" ht="12.75">
      <c r="A635" s="4" t="s">
        <v>336</v>
      </c>
      <c r="B635" s="4" t="s">
        <v>837</v>
      </c>
      <c r="C635" s="4" t="s">
        <v>838</v>
      </c>
      <c r="D635" s="4">
        <v>10.350576999999999</v>
      </c>
      <c r="E635" s="150">
        <v>33.310747999999997</v>
      </c>
      <c r="F635" s="4" t="s">
        <v>387</v>
      </c>
      <c r="G635" s="4" t="s">
        <v>848</v>
      </c>
      <c r="H635" s="4" t="s">
        <v>691</v>
      </c>
      <c r="I635" s="4" t="s">
        <v>691</v>
      </c>
      <c r="J635" s="4" t="s">
        <v>818</v>
      </c>
      <c r="K635" s="4" t="s">
        <v>386</v>
      </c>
      <c r="L635" s="4" t="str">
        <f>VLOOKUP($K635,'Property names'!$A$1:$D$99,2,FALSE)</f>
        <v>The continuous movement of water in a particular direction.</v>
      </c>
      <c r="M635" s="4" t="str">
        <f>VLOOKUP($K635,'Property names'!$A$1:$D$99,3,FALSE)</f>
        <v>Cubic meters per second</v>
      </c>
      <c r="N635" s="4" t="str">
        <f>VLOOKUP($K635,'Property names'!$A$1:$D$99,4,FALSE)</f>
        <v>m^3/s</v>
      </c>
      <c r="O635" s="4" t="str">
        <f t="shared" si="14"/>
        <v>Noureddine_Rojbani_TS032_water_flow</v>
      </c>
      <c r="P635" s="4" t="str">
        <f t="shared" si="15"/>
        <v>The datastream containing mesures of field Noureddine Rojbani by sensor TS032 which measures Water Flow.</v>
      </c>
    </row>
    <row r="636" spans="1:16" ht="12.75">
      <c r="A636" s="4" t="s">
        <v>336</v>
      </c>
      <c r="B636" s="4" t="s">
        <v>849</v>
      </c>
      <c r="C636" s="4" t="s">
        <v>838</v>
      </c>
      <c r="D636" s="150">
        <v>10.389754</v>
      </c>
      <c r="E636" s="150">
        <v>33.322935000000001</v>
      </c>
      <c r="F636" s="4" t="s">
        <v>404</v>
      </c>
      <c r="G636" s="4" t="s">
        <v>847</v>
      </c>
      <c r="H636" s="4" t="s">
        <v>691</v>
      </c>
      <c r="I636" s="4" t="s">
        <v>691</v>
      </c>
      <c r="J636" s="4" t="s">
        <v>643</v>
      </c>
      <c r="K636" s="4" t="s">
        <v>644</v>
      </c>
      <c r="L636" s="4" t="str">
        <f>VLOOKUP($K636,'Property names'!$A$1:$D$99,2,FALSE)</f>
        <v>The amount of moisture present in the soil, often expressed as a percentage of the maximum amount the soil could hold at a given temperature.</v>
      </c>
      <c r="M636" s="4" t="str">
        <f>VLOOKUP($K636,'Property names'!$A$1:$D$99,3,FALSE)</f>
        <v>Percentage</v>
      </c>
      <c r="N636" s="4" t="str">
        <f>VLOOKUP($K636,'Property names'!$A$1:$D$99,4,FALSE)</f>
        <v>%</v>
      </c>
      <c r="O636" s="4" t="str">
        <f t="shared" si="14"/>
        <v>Jomaa_Dhibi_TS09_soil_moisture</v>
      </c>
      <c r="P636" s="4" t="str">
        <f t="shared" si="15"/>
        <v>The datastream containing mesures of field Jomaa Dhibi by sensor TS09 which measures Soil Moisture.</v>
      </c>
    </row>
    <row r="637" spans="1:16" ht="12.75">
      <c r="A637" s="4" t="s">
        <v>336</v>
      </c>
      <c r="B637" s="4" t="s">
        <v>849</v>
      </c>
      <c r="C637" s="4" t="s">
        <v>838</v>
      </c>
      <c r="D637" s="150">
        <v>10.389754</v>
      </c>
      <c r="E637" s="150">
        <v>33.322935000000001</v>
      </c>
      <c r="F637" s="4" t="s">
        <v>404</v>
      </c>
      <c r="G637" s="4" t="s">
        <v>847</v>
      </c>
      <c r="H637" s="4" t="s">
        <v>691</v>
      </c>
      <c r="I637" s="4" t="s">
        <v>691</v>
      </c>
      <c r="J637" s="4" t="s">
        <v>645</v>
      </c>
      <c r="K637" s="4" t="s">
        <v>646</v>
      </c>
      <c r="L637" s="4" t="str">
        <f>VLOOKUP($K637,'Property names'!$A$1:$D$99,2,FALSE)</f>
        <v>The measure of temperature of the soil.</v>
      </c>
      <c r="M637" s="4" t="str">
        <f>VLOOKUP($K637,'Property names'!$A$1:$D$99,3,FALSE)</f>
        <v>Degrees Celsius</v>
      </c>
      <c r="N637" s="4" t="str">
        <f>VLOOKUP($K637,'Property names'!$A$1:$D$99,4,FALSE)</f>
        <v>ºC</v>
      </c>
      <c r="O637" s="4" t="str">
        <f t="shared" si="14"/>
        <v>Jomaa_Dhibi_TS09_soil_temperature</v>
      </c>
      <c r="P637" s="4" t="str">
        <f t="shared" si="15"/>
        <v>The datastream containing mesures of field Jomaa Dhibi by sensor TS09 which measures Soil Temperature.</v>
      </c>
    </row>
    <row r="638" spans="1:16" ht="12.75">
      <c r="A638" s="4" t="s">
        <v>336</v>
      </c>
      <c r="B638" s="4" t="s">
        <v>849</v>
      </c>
      <c r="C638" s="4" t="s">
        <v>838</v>
      </c>
      <c r="D638" s="150">
        <v>10.389754</v>
      </c>
      <c r="E638" s="150">
        <v>33.322935000000001</v>
      </c>
      <c r="F638" s="4" t="s">
        <v>405</v>
      </c>
      <c r="G638" s="4" t="s">
        <v>847</v>
      </c>
      <c r="H638" s="4" t="s">
        <v>691</v>
      </c>
      <c r="I638" s="4" t="s">
        <v>691</v>
      </c>
      <c r="J638" s="4" t="s">
        <v>643</v>
      </c>
      <c r="K638" s="4" t="s">
        <v>644</v>
      </c>
      <c r="L638" s="4" t="str">
        <f>VLOOKUP($K638,'Property names'!$A$1:$D$99,2,FALSE)</f>
        <v>The amount of moisture present in the soil, often expressed as a percentage of the maximum amount the soil could hold at a given temperature.</v>
      </c>
      <c r="M638" s="4" t="str">
        <f>VLOOKUP($K638,'Property names'!$A$1:$D$99,3,FALSE)</f>
        <v>Percentage</v>
      </c>
      <c r="N638" s="4" t="str">
        <f>VLOOKUP($K638,'Property names'!$A$1:$D$99,4,FALSE)</f>
        <v>%</v>
      </c>
      <c r="O638" s="4" t="str">
        <f t="shared" si="14"/>
        <v>Jomaa_Dhibi_TS010_soil_moisture</v>
      </c>
      <c r="P638" s="4" t="str">
        <f t="shared" si="15"/>
        <v>The datastream containing mesures of field Jomaa Dhibi by sensor TS010 which measures Soil Moisture.</v>
      </c>
    </row>
    <row r="639" spans="1:16" ht="12.75">
      <c r="A639" s="4" t="s">
        <v>336</v>
      </c>
      <c r="B639" s="4" t="s">
        <v>849</v>
      </c>
      <c r="C639" s="4" t="s">
        <v>838</v>
      </c>
      <c r="D639" s="150">
        <v>10.389754</v>
      </c>
      <c r="E639" s="150">
        <v>33.322935000000001</v>
      </c>
      <c r="F639" s="4" t="s">
        <v>405</v>
      </c>
      <c r="G639" s="4" t="s">
        <v>847</v>
      </c>
      <c r="H639" s="4" t="s">
        <v>691</v>
      </c>
      <c r="I639" s="4" t="s">
        <v>691</v>
      </c>
      <c r="J639" s="4" t="s">
        <v>645</v>
      </c>
      <c r="K639" s="4" t="s">
        <v>646</v>
      </c>
      <c r="L639" s="4" t="str">
        <f>VLOOKUP($K639,'Property names'!$A$1:$D$99,2,FALSE)</f>
        <v>The measure of temperature of the soil.</v>
      </c>
      <c r="M639" s="4" t="str">
        <f>VLOOKUP($K639,'Property names'!$A$1:$D$99,3,FALSE)</f>
        <v>Degrees Celsius</v>
      </c>
      <c r="N639" s="4" t="str">
        <f>VLOOKUP($K639,'Property names'!$A$1:$D$99,4,FALSE)</f>
        <v>ºC</v>
      </c>
      <c r="O639" s="4" t="str">
        <f t="shared" si="14"/>
        <v>Jomaa_Dhibi_TS010_soil_temperature</v>
      </c>
      <c r="P639" s="4" t="str">
        <f t="shared" si="15"/>
        <v>The datastream containing mesures of field Jomaa Dhibi by sensor TS010 which measures Soil Temperature.</v>
      </c>
    </row>
    <row r="640" spans="1:16" ht="12.75">
      <c r="A640" s="4" t="s">
        <v>336</v>
      </c>
      <c r="B640" s="4" t="s">
        <v>849</v>
      </c>
      <c r="C640" s="4" t="s">
        <v>838</v>
      </c>
      <c r="D640" s="150">
        <v>10.389754</v>
      </c>
      <c r="E640" s="150">
        <v>33.322935000000001</v>
      </c>
      <c r="F640" s="4" t="s">
        <v>406</v>
      </c>
      <c r="G640" s="4" t="s">
        <v>847</v>
      </c>
      <c r="H640" s="4" t="s">
        <v>691</v>
      </c>
      <c r="I640" s="4" t="s">
        <v>691</v>
      </c>
      <c r="J640" s="4" t="s">
        <v>643</v>
      </c>
      <c r="K640" s="4" t="s">
        <v>644</v>
      </c>
      <c r="L640" s="4" t="str">
        <f>VLOOKUP($K640,'Property names'!$A$1:$D$99,2,FALSE)</f>
        <v>The amount of moisture present in the soil, often expressed as a percentage of the maximum amount the soil could hold at a given temperature.</v>
      </c>
      <c r="M640" s="4" t="str">
        <f>VLOOKUP($K640,'Property names'!$A$1:$D$99,3,FALSE)</f>
        <v>Percentage</v>
      </c>
      <c r="N640" s="4" t="str">
        <f>VLOOKUP($K640,'Property names'!$A$1:$D$99,4,FALSE)</f>
        <v>%</v>
      </c>
      <c r="O640" s="4" t="str">
        <f t="shared" si="14"/>
        <v>Jomaa_Dhibi_TS011_soil_moisture</v>
      </c>
      <c r="P640" s="4" t="str">
        <f t="shared" si="15"/>
        <v>The datastream containing mesures of field Jomaa Dhibi by sensor TS011 which measures Soil Moisture.</v>
      </c>
    </row>
    <row r="641" spans="1:16" ht="12.75">
      <c r="A641" s="4" t="s">
        <v>336</v>
      </c>
      <c r="B641" s="4" t="s">
        <v>849</v>
      </c>
      <c r="C641" s="4" t="s">
        <v>838</v>
      </c>
      <c r="D641" s="150">
        <v>10.389754</v>
      </c>
      <c r="E641" s="150">
        <v>33.322935000000001</v>
      </c>
      <c r="F641" s="4" t="s">
        <v>406</v>
      </c>
      <c r="G641" s="4" t="s">
        <v>847</v>
      </c>
      <c r="H641" s="4" t="s">
        <v>691</v>
      </c>
      <c r="I641" s="4" t="s">
        <v>691</v>
      </c>
      <c r="J641" s="4" t="s">
        <v>645</v>
      </c>
      <c r="K641" s="4" t="s">
        <v>646</v>
      </c>
      <c r="L641" s="4" t="str">
        <f>VLOOKUP($K641,'Property names'!$A$1:$D$99,2,FALSE)</f>
        <v>The measure of temperature of the soil.</v>
      </c>
      <c r="M641" s="4" t="str">
        <f>VLOOKUP($K641,'Property names'!$A$1:$D$99,3,FALSE)</f>
        <v>Degrees Celsius</v>
      </c>
      <c r="N641" s="4" t="str">
        <f>VLOOKUP($K641,'Property names'!$A$1:$D$99,4,FALSE)</f>
        <v>ºC</v>
      </c>
      <c r="O641" s="4" t="str">
        <f t="shared" si="14"/>
        <v>Jomaa_Dhibi_TS011_soil_temperature</v>
      </c>
      <c r="P641" s="4" t="str">
        <f t="shared" si="15"/>
        <v>The datastream containing mesures of field Jomaa Dhibi by sensor TS011 which measures Soil Temperature.</v>
      </c>
    </row>
    <row r="642" spans="1:16" ht="12.75">
      <c r="A642" s="4" t="s">
        <v>336</v>
      </c>
      <c r="B642" s="4" t="s">
        <v>849</v>
      </c>
      <c r="C642" s="4" t="s">
        <v>838</v>
      </c>
      <c r="D642" s="150">
        <v>10.389754</v>
      </c>
      <c r="E642" s="150">
        <v>33.322935000000001</v>
      </c>
      <c r="F642" s="4" t="s">
        <v>407</v>
      </c>
      <c r="G642" s="4" t="s">
        <v>847</v>
      </c>
      <c r="H642" s="4" t="s">
        <v>691</v>
      </c>
      <c r="I642" s="4" t="s">
        <v>691</v>
      </c>
      <c r="J642" s="4" t="s">
        <v>643</v>
      </c>
      <c r="K642" s="4" t="s">
        <v>644</v>
      </c>
      <c r="L642" s="4" t="str">
        <f>VLOOKUP($K642,'Property names'!$A$1:$D$99,2,FALSE)</f>
        <v>The amount of moisture present in the soil, often expressed as a percentage of the maximum amount the soil could hold at a given temperature.</v>
      </c>
      <c r="M642" s="4" t="str">
        <f>VLOOKUP($K642,'Property names'!$A$1:$D$99,3,FALSE)</f>
        <v>Percentage</v>
      </c>
      <c r="N642" s="4" t="str">
        <f>VLOOKUP($K642,'Property names'!$A$1:$D$99,4,FALSE)</f>
        <v>%</v>
      </c>
      <c r="O642" s="4" t="str">
        <f t="shared" si="14"/>
        <v>Jomaa_Dhibi_TS012_soil_moisture</v>
      </c>
      <c r="P642" s="4" t="str">
        <f t="shared" si="15"/>
        <v>The datastream containing mesures of field Jomaa Dhibi by sensor TS012 which measures Soil Moisture.</v>
      </c>
    </row>
    <row r="643" spans="1:16" ht="12.75">
      <c r="A643" s="4" t="s">
        <v>336</v>
      </c>
      <c r="B643" s="4" t="s">
        <v>849</v>
      </c>
      <c r="C643" s="4" t="s">
        <v>838</v>
      </c>
      <c r="D643" s="150">
        <v>10.389754</v>
      </c>
      <c r="E643" s="150">
        <v>33.322935000000001</v>
      </c>
      <c r="F643" s="4" t="s">
        <v>407</v>
      </c>
      <c r="G643" s="4" t="s">
        <v>847</v>
      </c>
      <c r="H643" s="4" t="s">
        <v>691</v>
      </c>
      <c r="I643" s="4" t="s">
        <v>691</v>
      </c>
      <c r="J643" s="4" t="s">
        <v>645</v>
      </c>
      <c r="K643" s="4" t="s">
        <v>646</v>
      </c>
      <c r="L643" s="4" t="str">
        <f>VLOOKUP($K643,'Property names'!$A$1:$D$99,2,FALSE)</f>
        <v>The measure of temperature of the soil.</v>
      </c>
      <c r="M643" s="4" t="str">
        <f>VLOOKUP($K643,'Property names'!$A$1:$D$99,3,FALSE)</f>
        <v>Degrees Celsius</v>
      </c>
      <c r="N643" s="4" t="str">
        <f>VLOOKUP($K643,'Property names'!$A$1:$D$99,4,FALSE)</f>
        <v>ºC</v>
      </c>
      <c r="O643" s="4" t="str">
        <f t="shared" si="14"/>
        <v>Jomaa_Dhibi_TS012_soil_temperature</v>
      </c>
      <c r="P643" s="4" t="str">
        <f t="shared" si="15"/>
        <v>The datastream containing mesures of field Jomaa Dhibi by sensor TS012 which measures Soil Temperature.</v>
      </c>
    </row>
    <row r="644" spans="1:16" ht="12.75">
      <c r="A644" s="4" t="s">
        <v>336</v>
      </c>
      <c r="B644" s="4" t="s">
        <v>849</v>
      </c>
      <c r="C644" s="4" t="s">
        <v>838</v>
      </c>
      <c r="D644" s="150">
        <v>10.389754</v>
      </c>
      <c r="E644" s="150">
        <v>33.322935000000001</v>
      </c>
      <c r="F644" s="4" t="s">
        <v>408</v>
      </c>
      <c r="G644" s="4" t="s">
        <v>847</v>
      </c>
      <c r="H644" s="4" t="s">
        <v>691</v>
      </c>
      <c r="I644" s="4" t="s">
        <v>691</v>
      </c>
      <c r="J644" s="4" t="s">
        <v>643</v>
      </c>
      <c r="K644" s="4" t="s">
        <v>644</v>
      </c>
      <c r="L644" s="4" t="str">
        <f>VLOOKUP($K644,'Property names'!$A$1:$D$99,2,FALSE)</f>
        <v>The amount of moisture present in the soil, often expressed as a percentage of the maximum amount the soil could hold at a given temperature.</v>
      </c>
      <c r="M644" s="4" t="str">
        <f>VLOOKUP($K644,'Property names'!$A$1:$D$99,3,FALSE)</f>
        <v>Percentage</v>
      </c>
      <c r="N644" s="4" t="str">
        <f>VLOOKUP($K644,'Property names'!$A$1:$D$99,4,FALSE)</f>
        <v>%</v>
      </c>
      <c r="O644" s="4" t="str">
        <f t="shared" si="14"/>
        <v>Jomaa_Dhibi_TS013_soil_moisture</v>
      </c>
      <c r="P644" s="4" t="str">
        <f t="shared" si="15"/>
        <v>The datastream containing mesures of field Jomaa Dhibi by sensor TS013 which measures Soil Moisture.</v>
      </c>
    </row>
    <row r="645" spans="1:16" ht="12.75">
      <c r="A645" s="4" t="s">
        <v>336</v>
      </c>
      <c r="B645" s="4" t="s">
        <v>849</v>
      </c>
      <c r="C645" s="4" t="s">
        <v>838</v>
      </c>
      <c r="D645" s="150">
        <v>10.389754</v>
      </c>
      <c r="E645" s="150">
        <v>33.322935000000001</v>
      </c>
      <c r="F645" s="4" t="s">
        <v>408</v>
      </c>
      <c r="G645" s="4" t="s">
        <v>847</v>
      </c>
      <c r="H645" s="4" t="s">
        <v>691</v>
      </c>
      <c r="I645" s="4" t="s">
        <v>691</v>
      </c>
      <c r="J645" s="4" t="s">
        <v>645</v>
      </c>
      <c r="K645" s="4" t="s">
        <v>646</v>
      </c>
      <c r="L645" s="4" t="str">
        <f>VLOOKUP($K645,'Property names'!$A$1:$D$99,2,FALSE)</f>
        <v>The measure of temperature of the soil.</v>
      </c>
      <c r="M645" s="4" t="str">
        <f>VLOOKUP($K645,'Property names'!$A$1:$D$99,3,FALSE)</f>
        <v>Degrees Celsius</v>
      </c>
      <c r="N645" s="4" t="str">
        <f>VLOOKUP($K645,'Property names'!$A$1:$D$99,4,FALSE)</f>
        <v>ºC</v>
      </c>
      <c r="O645" s="4" t="str">
        <f t="shared" si="14"/>
        <v>Jomaa_Dhibi_TS013_soil_temperature</v>
      </c>
      <c r="P645" s="4" t="str">
        <f t="shared" si="15"/>
        <v>The datastream containing mesures of field Jomaa Dhibi by sensor TS013 which measures Soil Temperature.</v>
      </c>
    </row>
    <row r="646" spans="1:16" ht="12.75">
      <c r="A646" s="4" t="s">
        <v>336</v>
      </c>
      <c r="B646" s="4" t="s">
        <v>849</v>
      </c>
      <c r="C646" s="4" t="s">
        <v>838</v>
      </c>
      <c r="D646" s="150">
        <v>10.389754</v>
      </c>
      <c r="E646" s="150">
        <v>33.322935000000001</v>
      </c>
      <c r="F646" s="4" t="s">
        <v>409</v>
      </c>
      <c r="G646" s="4" t="s">
        <v>847</v>
      </c>
      <c r="H646" s="4" t="s">
        <v>691</v>
      </c>
      <c r="I646" s="4" t="s">
        <v>691</v>
      </c>
      <c r="J646" s="4" t="s">
        <v>643</v>
      </c>
      <c r="K646" s="4" t="s">
        <v>644</v>
      </c>
      <c r="L646" s="4" t="str">
        <f>VLOOKUP($K646,'Property names'!$A$1:$D$99,2,FALSE)</f>
        <v>The amount of moisture present in the soil, often expressed as a percentage of the maximum amount the soil could hold at a given temperature.</v>
      </c>
      <c r="M646" s="4" t="str">
        <f>VLOOKUP($K646,'Property names'!$A$1:$D$99,3,FALSE)</f>
        <v>Percentage</v>
      </c>
      <c r="N646" s="4" t="str">
        <f>VLOOKUP($K646,'Property names'!$A$1:$D$99,4,FALSE)</f>
        <v>%</v>
      </c>
      <c r="O646" s="4" t="str">
        <f t="shared" si="14"/>
        <v>Jomaa_Dhibi_TS014_soil_moisture</v>
      </c>
      <c r="P646" s="4" t="str">
        <f t="shared" si="15"/>
        <v>The datastream containing mesures of field Jomaa Dhibi by sensor TS014 which measures Soil Moisture.</v>
      </c>
    </row>
    <row r="647" spans="1:16" ht="12.75">
      <c r="A647" s="4" t="s">
        <v>336</v>
      </c>
      <c r="B647" s="4" t="s">
        <v>849</v>
      </c>
      <c r="C647" s="4" t="s">
        <v>838</v>
      </c>
      <c r="D647" s="150">
        <v>10.389754</v>
      </c>
      <c r="E647" s="150">
        <v>33.322935000000001</v>
      </c>
      <c r="F647" s="4" t="s">
        <v>409</v>
      </c>
      <c r="G647" s="4" t="s">
        <v>847</v>
      </c>
      <c r="H647" s="4" t="s">
        <v>691</v>
      </c>
      <c r="I647" s="4" t="s">
        <v>691</v>
      </c>
      <c r="J647" s="4" t="s">
        <v>645</v>
      </c>
      <c r="K647" s="4" t="s">
        <v>646</v>
      </c>
      <c r="L647" s="4" t="str">
        <f>VLOOKUP($K647,'Property names'!$A$1:$D$99,2,FALSE)</f>
        <v>The measure of temperature of the soil.</v>
      </c>
      <c r="M647" s="4" t="str">
        <f>VLOOKUP($K647,'Property names'!$A$1:$D$99,3,FALSE)</f>
        <v>Degrees Celsius</v>
      </c>
      <c r="N647" s="4" t="str">
        <f>VLOOKUP($K647,'Property names'!$A$1:$D$99,4,FALSE)</f>
        <v>ºC</v>
      </c>
      <c r="O647" s="4" t="str">
        <f t="shared" si="14"/>
        <v>Jomaa_Dhibi_TS014_soil_temperature</v>
      </c>
      <c r="P647" s="4" t="str">
        <f t="shared" si="15"/>
        <v>The datastream containing mesures of field Jomaa Dhibi by sensor TS014 which measures Soil Temperature.</v>
      </c>
    </row>
    <row r="648" spans="1:16" ht="12.75">
      <c r="A648" s="4" t="s">
        <v>336</v>
      </c>
      <c r="B648" s="4" t="s">
        <v>849</v>
      </c>
      <c r="C648" s="4" t="s">
        <v>838</v>
      </c>
      <c r="D648" s="150">
        <v>10.389754</v>
      </c>
      <c r="E648" s="150">
        <v>33.322935000000001</v>
      </c>
      <c r="F648" s="4" t="s">
        <v>411</v>
      </c>
      <c r="G648" s="4" t="s">
        <v>848</v>
      </c>
      <c r="H648" s="4" t="s">
        <v>691</v>
      </c>
      <c r="I648" s="4" t="s">
        <v>691</v>
      </c>
      <c r="J648" s="4" t="s">
        <v>818</v>
      </c>
      <c r="K648" s="4" t="s">
        <v>386</v>
      </c>
      <c r="L648" s="4" t="str">
        <f>VLOOKUP($K648,'Property names'!$A$1:$D$99,2,FALSE)</f>
        <v>The continuous movement of water in a particular direction.</v>
      </c>
      <c r="M648" s="4" t="str">
        <f>VLOOKUP($K648,'Property names'!$A$1:$D$99,3,FALSE)</f>
        <v>Cubic meters per second</v>
      </c>
      <c r="N648" s="4" t="str">
        <f>VLOOKUP($K648,'Property names'!$A$1:$D$99,4,FALSE)</f>
        <v>m^3/s</v>
      </c>
      <c r="O648" s="4" t="str">
        <f t="shared" si="14"/>
        <v>Jomaa_Dhibi_TS033_water_flow</v>
      </c>
      <c r="P648" s="4" t="str">
        <f t="shared" si="15"/>
        <v>The datastream containing mesures of field Jomaa Dhibi by sensor TS033 which measures Water Flow.</v>
      </c>
    </row>
    <row r="649" spans="1:16" ht="12.75">
      <c r="A649" s="4" t="s">
        <v>336</v>
      </c>
      <c r="B649" s="4" t="s">
        <v>849</v>
      </c>
      <c r="C649" s="4" t="s">
        <v>838</v>
      </c>
      <c r="D649" s="150">
        <v>10.389754</v>
      </c>
      <c r="E649" s="150">
        <v>33.322935000000001</v>
      </c>
      <c r="F649" s="4" t="s">
        <v>412</v>
      </c>
      <c r="G649" s="4" t="s">
        <v>848</v>
      </c>
      <c r="H649" s="4" t="s">
        <v>691</v>
      </c>
      <c r="I649" s="4" t="s">
        <v>691</v>
      </c>
      <c r="J649" s="4" t="s">
        <v>818</v>
      </c>
      <c r="K649" s="4" t="s">
        <v>386</v>
      </c>
      <c r="L649" s="4" t="str">
        <f>VLOOKUP($K649,'Property names'!$A$1:$D$99,2,FALSE)</f>
        <v>The continuous movement of water in a particular direction.</v>
      </c>
      <c r="M649" s="4" t="str">
        <f>VLOOKUP($K649,'Property names'!$A$1:$D$99,3,FALSE)</f>
        <v>Cubic meters per second</v>
      </c>
      <c r="N649" s="4" t="str">
        <f>VLOOKUP($K649,'Property names'!$A$1:$D$99,4,FALSE)</f>
        <v>m^3/s</v>
      </c>
      <c r="O649" s="4" t="str">
        <f t="shared" si="14"/>
        <v>Jomaa_Dhibi_TS042_water_flow</v>
      </c>
      <c r="P649" s="4" t="str">
        <f t="shared" si="15"/>
        <v>The datastream containing mesures of field Jomaa Dhibi by sensor TS042 which measures Water Flow.</v>
      </c>
    </row>
    <row r="650" spans="1:16" ht="12.75">
      <c r="A650" s="4" t="s">
        <v>336</v>
      </c>
      <c r="B650" s="4" t="s">
        <v>850</v>
      </c>
      <c r="C650" s="4" t="s">
        <v>838</v>
      </c>
      <c r="D650" s="150">
        <v>10.336111000000001</v>
      </c>
      <c r="E650" s="150">
        <v>33.309654999999999</v>
      </c>
      <c r="F650" s="4" t="s">
        <v>423</v>
      </c>
      <c r="G650" s="4" t="s">
        <v>847</v>
      </c>
      <c r="H650" s="4" t="s">
        <v>691</v>
      </c>
      <c r="I650" s="4" t="s">
        <v>691</v>
      </c>
      <c r="J650" s="4" t="s">
        <v>643</v>
      </c>
      <c r="K650" s="4" t="s">
        <v>644</v>
      </c>
      <c r="L650" s="4" t="str">
        <f>VLOOKUP($K650,'Property names'!$A$1:$D$99,2,FALSE)</f>
        <v>The amount of moisture present in the soil, often expressed as a percentage of the maximum amount the soil could hold at a given temperature.</v>
      </c>
      <c r="M650" s="4" t="str">
        <f>VLOOKUP($K650,'Property names'!$A$1:$D$99,3,FALSE)</f>
        <v>Percentage</v>
      </c>
      <c r="N650" s="4" t="str">
        <f>VLOOKUP($K650,'Property names'!$A$1:$D$99,4,FALSE)</f>
        <v>%</v>
      </c>
      <c r="O650" s="4" t="str">
        <f t="shared" si="14"/>
        <v>Lamine_Moussa_TS015_soil_moisture</v>
      </c>
      <c r="P650" s="4" t="str">
        <f t="shared" si="15"/>
        <v>The datastream containing mesures of field Lamine Moussa by sensor TS015 which measures Soil Moisture.</v>
      </c>
    </row>
    <row r="651" spans="1:16" ht="12.75">
      <c r="A651" s="4" t="s">
        <v>336</v>
      </c>
      <c r="B651" s="4" t="s">
        <v>850</v>
      </c>
      <c r="C651" s="4" t="s">
        <v>838</v>
      </c>
      <c r="D651" s="150">
        <v>10.336111000000001</v>
      </c>
      <c r="E651" s="150">
        <v>33.309654999999999</v>
      </c>
      <c r="F651" s="4" t="s">
        <v>423</v>
      </c>
      <c r="G651" s="4" t="s">
        <v>847</v>
      </c>
      <c r="H651" s="4" t="s">
        <v>691</v>
      </c>
      <c r="I651" s="4" t="s">
        <v>691</v>
      </c>
      <c r="J651" s="4" t="s">
        <v>645</v>
      </c>
      <c r="K651" s="4" t="s">
        <v>646</v>
      </c>
      <c r="L651" s="4" t="str">
        <f>VLOOKUP($K651,'Property names'!$A$1:$D$99,2,FALSE)</f>
        <v>The measure of temperature of the soil.</v>
      </c>
      <c r="M651" s="4" t="str">
        <f>VLOOKUP($K651,'Property names'!$A$1:$D$99,3,FALSE)</f>
        <v>Degrees Celsius</v>
      </c>
      <c r="N651" s="4" t="str">
        <f>VLOOKUP($K651,'Property names'!$A$1:$D$99,4,FALSE)</f>
        <v>ºC</v>
      </c>
      <c r="O651" s="4" t="str">
        <f t="shared" si="14"/>
        <v>Lamine_Moussa_TS015_soil_temperature</v>
      </c>
      <c r="P651" s="4" t="str">
        <f t="shared" si="15"/>
        <v>The datastream containing mesures of field Lamine Moussa by sensor TS015 which measures Soil Temperature.</v>
      </c>
    </row>
    <row r="652" spans="1:16" ht="12.75">
      <c r="A652" s="4" t="s">
        <v>336</v>
      </c>
      <c r="B652" s="4" t="s">
        <v>850</v>
      </c>
      <c r="C652" s="4" t="s">
        <v>838</v>
      </c>
      <c r="D652" s="150">
        <v>10.336111000000001</v>
      </c>
      <c r="E652" s="150">
        <v>33.309654999999999</v>
      </c>
      <c r="F652" s="4" t="s">
        <v>424</v>
      </c>
      <c r="G652" s="4" t="s">
        <v>847</v>
      </c>
      <c r="H652" s="4" t="s">
        <v>691</v>
      </c>
      <c r="I652" s="4" t="s">
        <v>691</v>
      </c>
      <c r="J652" s="4" t="s">
        <v>643</v>
      </c>
      <c r="K652" s="4" t="s">
        <v>644</v>
      </c>
      <c r="L652" s="4" t="str">
        <f>VLOOKUP($K652,'Property names'!$A$1:$D$99,2,FALSE)</f>
        <v>The amount of moisture present in the soil, often expressed as a percentage of the maximum amount the soil could hold at a given temperature.</v>
      </c>
      <c r="M652" s="4" t="str">
        <f>VLOOKUP($K652,'Property names'!$A$1:$D$99,3,FALSE)</f>
        <v>Percentage</v>
      </c>
      <c r="N652" s="4" t="str">
        <f>VLOOKUP($K652,'Property names'!$A$1:$D$99,4,FALSE)</f>
        <v>%</v>
      </c>
      <c r="O652" s="4" t="str">
        <f t="shared" si="14"/>
        <v>Lamine_Moussa_TS016_soil_moisture</v>
      </c>
      <c r="P652" s="4" t="str">
        <f t="shared" si="15"/>
        <v>The datastream containing mesures of field Lamine Moussa by sensor TS016 which measures Soil Moisture.</v>
      </c>
    </row>
    <row r="653" spans="1:16" ht="12.75">
      <c r="A653" s="4" t="s">
        <v>336</v>
      </c>
      <c r="B653" s="4" t="s">
        <v>850</v>
      </c>
      <c r="C653" s="4" t="s">
        <v>838</v>
      </c>
      <c r="D653" s="150">
        <v>10.336111000000001</v>
      </c>
      <c r="E653" s="150">
        <v>33.309654999999999</v>
      </c>
      <c r="F653" s="4" t="s">
        <v>424</v>
      </c>
      <c r="G653" s="4" t="s">
        <v>847</v>
      </c>
      <c r="H653" s="4" t="s">
        <v>691</v>
      </c>
      <c r="I653" s="4" t="s">
        <v>691</v>
      </c>
      <c r="J653" s="4" t="s">
        <v>645</v>
      </c>
      <c r="K653" s="4" t="s">
        <v>646</v>
      </c>
      <c r="L653" s="4" t="str">
        <f>VLOOKUP($K653,'Property names'!$A$1:$D$99,2,FALSE)</f>
        <v>The measure of temperature of the soil.</v>
      </c>
      <c r="M653" s="4" t="str">
        <f>VLOOKUP($K653,'Property names'!$A$1:$D$99,3,FALSE)</f>
        <v>Degrees Celsius</v>
      </c>
      <c r="N653" s="4" t="str">
        <f>VLOOKUP($K653,'Property names'!$A$1:$D$99,4,FALSE)</f>
        <v>ºC</v>
      </c>
      <c r="O653" s="4" t="str">
        <f t="shared" si="14"/>
        <v>Lamine_Moussa_TS016_soil_temperature</v>
      </c>
      <c r="P653" s="4" t="str">
        <f t="shared" si="15"/>
        <v>The datastream containing mesures of field Lamine Moussa by sensor TS016 which measures Soil Temperature.</v>
      </c>
    </row>
    <row r="654" spans="1:16" ht="12.75">
      <c r="A654" s="4" t="s">
        <v>336</v>
      </c>
      <c r="B654" s="4" t="s">
        <v>850</v>
      </c>
      <c r="C654" s="4" t="s">
        <v>838</v>
      </c>
      <c r="D654" s="150">
        <v>10.336111000000001</v>
      </c>
      <c r="E654" s="150">
        <v>33.309654999999999</v>
      </c>
      <c r="F654" s="4" t="s">
        <v>425</v>
      </c>
      <c r="G654" s="4" t="s">
        <v>847</v>
      </c>
      <c r="H654" s="4" t="s">
        <v>691</v>
      </c>
      <c r="I654" s="4" t="s">
        <v>691</v>
      </c>
      <c r="J654" s="4" t="s">
        <v>643</v>
      </c>
      <c r="K654" s="4" t="s">
        <v>644</v>
      </c>
      <c r="L654" s="4" t="str">
        <f>VLOOKUP($K654,'Property names'!$A$1:$D$99,2,FALSE)</f>
        <v>The amount of moisture present in the soil, often expressed as a percentage of the maximum amount the soil could hold at a given temperature.</v>
      </c>
      <c r="M654" s="4" t="str">
        <f>VLOOKUP($K654,'Property names'!$A$1:$D$99,3,FALSE)</f>
        <v>Percentage</v>
      </c>
      <c r="N654" s="4" t="str">
        <f>VLOOKUP($K654,'Property names'!$A$1:$D$99,4,FALSE)</f>
        <v>%</v>
      </c>
      <c r="O654" s="4" t="str">
        <f t="shared" si="14"/>
        <v>Lamine_Moussa_TS017_soil_moisture</v>
      </c>
      <c r="P654" s="4" t="str">
        <f t="shared" si="15"/>
        <v>The datastream containing mesures of field Lamine Moussa by sensor TS017 which measures Soil Moisture.</v>
      </c>
    </row>
    <row r="655" spans="1:16" ht="12.75">
      <c r="A655" s="4" t="s">
        <v>336</v>
      </c>
      <c r="B655" s="4" t="s">
        <v>850</v>
      </c>
      <c r="C655" s="4" t="s">
        <v>838</v>
      </c>
      <c r="D655" s="150">
        <v>10.336111000000001</v>
      </c>
      <c r="E655" s="150">
        <v>33.309654999999999</v>
      </c>
      <c r="F655" s="4" t="s">
        <v>425</v>
      </c>
      <c r="G655" s="4" t="s">
        <v>847</v>
      </c>
      <c r="H655" s="4" t="s">
        <v>691</v>
      </c>
      <c r="I655" s="4" t="s">
        <v>691</v>
      </c>
      <c r="J655" s="4" t="s">
        <v>645</v>
      </c>
      <c r="K655" s="4" t="s">
        <v>646</v>
      </c>
      <c r="L655" s="4" t="str">
        <f>VLOOKUP($K655,'Property names'!$A$1:$D$99,2,FALSE)</f>
        <v>The measure of temperature of the soil.</v>
      </c>
      <c r="M655" s="4" t="str">
        <f>VLOOKUP($K655,'Property names'!$A$1:$D$99,3,FALSE)</f>
        <v>Degrees Celsius</v>
      </c>
      <c r="N655" s="4" t="str">
        <f>VLOOKUP($K655,'Property names'!$A$1:$D$99,4,FALSE)</f>
        <v>ºC</v>
      </c>
      <c r="O655" s="4" t="str">
        <f t="shared" si="14"/>
        <v>Lamine_Moussa_TS017_soil_temperature</v>
      </c>
      <c r="P655" s="4" t="str">
        <f t="shared" si="15"/>
        <v>The datastream containing mesures of field Lamine Moussa by sensor TS017 which measures Soil Temperature.</v>
      </c>
    </row>
    <row r="656" spans="1:16" ht="12.75">
      <c r="A656" s="4" t="s">
        <v>336</v>
      </c>
      <c r="B656" s="4" t="s">
        <v>850</v>
      </c>
      <c r="C656" s="4" t="s">
        <v>838</v>
      </c>
      <c r="D656" s="150">
        <v>10.336111000000001</v>
      </c>
      <c r="E656" s="150">
        <v>33.309654999999999</v>
      </c>
      <c r="F656" s="4" t="s">
        <v>426</v>
      </c>
      <c r="G656" s="4" t="s">
        <v>847</v>
      </c>
      <c r="H656" s="4" t="s">
        <v>691</v>
      </c>
      <c r="I656" s="4" t="s">
        <v>691</v>
      </c>
      <c r="J656" s="4" t="s">
        <v>643</v>
      </c>
      <c r="K656" s="4" t="s">
        <v>644</v>
      </c>
      <c r="L656" s="4" t="str">
        <f>VLOOKUP($K656,'Property names'!$A$1:$D$99,2,FALSE)</f>
        <v>The amount of moisture present in the soil, often expressed as a percentage of the maximum amount the soil could hold at a given temperature.</v>
      </c>
      <c r="M656" s="4" t="str">
        <f>VLOOKUP($K656,'Property names'!$A$1:$D$99,3,FALSE)</f>
        <v>Percentage</v>
      </c>
      <c r="N656" s="4" t="str">
        <f>VLOOKUP($K656,'Property names'!$A$1:$D$99,4,FALSE)</f>
        <v>%</v>
      </c>
      <c r="O656" s="4" t="str">
        <f t="shared" si="14"/>
        <v>Lamine_Moussa_TS018_soil_moisture</v>
      </c>
      <c r="P656" s="4" t="str">
        <f t="shared" si="15"/>
        <v>The datastream containing mesures of field Lamine Moussa by sensor TS018 which measures Soil Moisture.</v>
      </c>
    </row>
    <row r="657" spans="1:16" ht="12.75">
      <c r="A657" s="4" t="s">
        <v>336</v>
      </c>
      <c r="B657" s="4" t="s">
        <v>850</v>
      </c>
      <c r="C657" s="4" t="s">
        <v>838</v>
      </c>
      <c r="D657" s="150">
        <v>10.336111000000001</v>
      </c>
      <c r="E657" s="150">
        <v>33.309654999999999</v>
      </c>
      <c r="F657" s="4" t="s">
        <v>426</v>
      </c>
      <c r="G657" s="4" t="s">
        <v>847</v>
      </c>
      <c r="H657" s="4" t="s">
        <v>691</v>
      </c>
      <c r="I657" s="4" t="s">
        <v>691</v>
      </c>
      <c r="J657" s="4" t="s">
        <v>645</v>
      </c>
      <c r="K657" s="4" t="s">
        <v>646</v>
      </c>
      <c r="L657" s="4" t="str">
        <f>VLOOKUP($K657,'Property names'!$A$1:$D$99,2,FALSE)</f>
        <v>The measure of temperature of the soil.</v>
      </c>
      <c r="M657" s="4" t="str">
        <f>VLOOKUP($K657,'Property names'!$A$1:$D$99,3,FALSE)</f>
        <v>Degrees Celsius</v>
      </c>
      <c r="N657" s="4" t="str">
        <f>VLOOKUP($K657,'Property names'!$A$1:$D$99,4,FALSE)</f>
        <v>ºC</v>
      </c>
      <c r="O657" s="4" t="str">
        <f t="shared" si="14"/>
        <v>Lamine_Moussa_TS018_soil_temperature</v>
      </c>
      <c r="P657" s="4" t="str">
        <f t="shared" si="15"/>
        <v>The datastream containing mesures of field Lamine Moussa by sensor TS018 which measures Soil Temperature.</v>
      </c>
    </row>
    <row r="658" spans="1:16" ht="12.75">
      <c r="A658" s="4" t="s">
        <v>336</v>
      </c>
      <c r="B658" s="4" t="s">
        <v>850</v>
      </c>
      <c r="C658" s="4" t="s">
        <v>838</v>
      </c>
      <c r="D658" s="150">
        <v>10.336111000000001</v>
      </c>
      <c r="E658" s="150">
        <v>33.309654999999999</v>
      </c>
      <c r="F658" s="4" t="s">
        <v>427</v>
      </c>
      <c r="G658" s="4" t="s">
        <v>847</v>
      </c>
      <c r="H658" s="4" t="s">
        <v>691</v>
      </c>
      <c r="I658" s="4" t="s">
        <v>691</v>
      </c>
      <c r="J658" s="4" t="s">
        <v>643</v>
      </c>
      <c r="K658" s="4" t="s">
        <v>644</v>
      </c>
      <c r="L658" s="4" t="str">
        <f>VLOOKUP($K658,'Property names'!$A$1:$D$99,2,FALSE)</f>
        <v>The amount of moisture present in the soil, often expressed as a percentage of the maximum amount the soil could hold at a given temperature.</v>
      </c>
      <c r="M658" s="4" t="str">
        <f>VLOOKUP($K658,'Property names'!$A$1:$D$99,3,FALSE)</f>
        <v>Percentage</v>
      </c>
      <c r="N658" s="4" t="str">
        <f>VLOOKUP($K658,'Property names'!$A$1:$D$99,4,FALSE)</f>
        <v>%</v>
      </c>
      <c r="O658" s="4" t="str">
        <f t="shared" si="14"/>
        <v>Lamine_Moussa_TS019_soil_moisture</v>
      </c>
      <c r="P658" s="4" t="str">
        <f t="shared" si="15"/>
        <v>The datastream containing mesures of field Lamine Moussa by sensor TS019 which measures Soil Moisture.</v>
      </c>
    </row>
    <row r="659" spans="1:16" ht="12.75">
      <c r="A659" s="4" t="s">
        <v>336</v>
      </c>
      <c r="B659" s="4" t="s">
        <v>850</v>
      </c>
      <c r="C659" s="4" t="s">
        <v>838</v>
      </c>
      <c r="D659" s="150">
        <v>10.336111000000001</v>
      </c>
      <c r="E659" s="150">
        <v>33.309654999999999</v>
      </c>
      <c r="F659" s="4" t="s">
        <v>427</v>
      </c>
      <c r="G659" s="4" t="s">
        <v>847</v>
      </c>
      <c r="H659" s="4" t="s">
        <v>691</v>
      </c>
      <c r="I659" s="4" t="s">
        <v>691</v>
      </c>
      <c r="J659" s="4" t="s">
        <v>645</v>
      </c>
      <c r="K659" s="4" t="s">
        <v>646</v>
      </c>
      <c r="L659" s="4" t="str">
        <f>VLOOKUP($K659,'Property names'!$A$1:$D$99,2,FALSE)</f>
        <v>The measure of temperature of the soil.</v>
      </c>
      <c r="M659" s="4" t="str">
        <f>VLOOKUP($K659,'Property names'!$A$1:$D$99,3,FALSE)</f>
        <v>Degrees Celsius</v>
      </c>
      <c r="N659" s="4" t="str">
        <f>VLOOKUP($K659,'Property names'!$A$1:$D$99,4,FALSE)</f>
        <v>ºC</v>
      </c>
      <c r="O659" s="4" t="str">
        <f t="shared" si="14"/>
        <v>Lamine_Moussa_TS019_soil_temperature</v>
      </c>
      <c r="P659" s="4" t="str">
        <f t="shared" si="15"/>
        <v>The datastream containing mesures of field Lamine Moussa by sensor TS019 which measures Soil Temperature.</v>
      </c>
    </row>
    <row r="660" spans="1:16" ht="12.75">
      <c r="A660" s="4" t="s">
        <v>336</v>
      </c>
      <c r="B660" s="4" t="s">
        <v>850</v>
      </c>
      <c r="C660" s="4" t="s">
        <v>838</v>
      </c>
      <c r="D660" s="150">
        <v>10.336111000000001</v>
      </c>
      <c r="E660" s="150">
        <v>33.309654999999999</v>
      </c>
      <c r="F660" s="4" t="s">
        <v>428</v>
      </c>
      <c r="G660" s="4" t="s">
        <v>847</v>
      </c>
      <c r="H660" s="4" t="s">
        <v>691</v>
      </c>
      <c r="I660" s="4" t="s">
        <v>691</v>
      </c>
      <c r="J660" s="4" t="s">
        <v>643</v>
      </c>
      <c r="K660" s="4" t="s">
        <v>644</v>
      </c>
      <c r="L660" s="4" t="str">
        <f>VLOOKUP($K660,'Property names'!$A$1:$D$99,2,FALSE)</f>
        <v>The amount of moisture present in the soil, often expressed as a percentage of the maximum amount the soil could hold at a given temperature.</v>
      </c>
      <c r="M660" s="4" t="str">
        <f>VLOOKUP($K660,'Property names'!$A$1:$D$99,3,FALSE)</f>
        <v>Percentage</v>
      </c>
      <c r="N660" s="4" t="str">
        <f>VLOOKUP($K660,'Property names'!$A$1:$D$99,4,FALSE)</f>
        <v>%</v>
      </c>
      <c r="O660" s="4" t="str">
        <f t="shared" si="14"/>
        <v>Lamine_Moussa_TS020_soil_moisture</v>
      </c>
      <c r="P660" s="4" t="str">
        <f t="shared" si="15"/>
        <v>The datastream containing mesures of field Lamine Moussa by sensor TS020 which measures Soil Moisture.</v>
      </c>
    </row>
    <row r="661" spans="1:16" ht="12.75">
      <c r="A661" s="4" t="s">
        <v>336</v>
      </c>
      <c r="B661" s="4" t="s">
        <v>850</v>
      </c>
      <c r="C661" s="4" t="s">
        <v>838</v>
      </c>
      <c r="D661" s="150">
        <v>10.336111000000001</v>
      </c>
      <c r="E661" s="150">
        <v>33.309654999999999</v>
      </c>
      <c r="F661" s="4" t="s">
        <v>428</v>
      </c>
      <c r="G661" s="4" t="s">
        <v>847</v>
      </c>
      <c r="H661" s="4" t="s">
        <v>691</v>
      </c>
      <c r="I661" s="4" t="s">
        <v>691</v>
      </c>
      <c r="J661" s="4" t="s">
        <v>645</v>
      </c>
      <c r="K661" s="4" t="s">
        <v>646</v>
      </c>
      <c r="L661" s="4" t="str">
        <f>VLOOKUP($K661,'Property names'!$A$1:$D$99,2,FALSE)</f>
        <v>The measure of temperature of the soil.</v>
      </c>
      <c r="M661" s="4" t="str">
        <f>VLOOKUP($K661,'Property names'!$A$1:$D$99,3,FALSE)</f>
        <v>Degrees Celsius</v>
      </c>
      <c r="N661" s="4" t="str">
        <f>VLOOKUP($K661,'Property names'!$A$1:$D$99,4,FALSE)</f>
        <v>ºC</v>
      </c>
      <c r="O661" s="4" t="str">
        <f t="shared" si="14"/>
        <v>Lamine_Moussa_TS020_soil_temperature</v>
      </c>
      <c r="P661" s="4" t="str">
        <f t="shared" si="15"/>
        <v>The datastream containing mesures of field Lamine Moussa by sensor TS020 which measures Soil Temperature.</v>
      </c>
    </row>
    <row r="662" spans="1:16" ht="12.75">
      <c r="A662" s="4" t="s">
        <v>336</v>
      </c>
      <c r="B662" s="4" t="s">
        <v>850</v>
      </c>
      <c r="C662" s="4" t="s">
        <v>838</v>
      </c>
      <c r="D662" s="150">
        <v>10.336111000000001</v>
      </c>
      <c r="E662" s="150">
        <v>33.309654999999999</v>
      </c>
      <c r="F662" s="4" t="s">
        <v>429</v>
      </c>
      <c r="G662" s="4" t="s">
        <v>848</v>
      </c>
      <c r="H662" s="4" t="s">
        <v>691</v>
      </c>
      <c r="I662" s="4" t="s">
        <v>691</v>
      </c>
      <c r="J662" s="4" t="s">
        <v>818</v>
      </c>
      <c r="K662" s="4" t="s">
        <v>386</v>
      </c>
      <c r="L662" s="4" t="str">
        <f>VLOOKUP($K662,'Property names'!$A$1:$D$99,2,FALSE)</f>
        <v>The continuous movement of water in a particular direction.</v>
      </c>
      <c r="M662" s="4" t="str">
        <f>VLOOKUP($K662,'Property names'!$A$1:$D$99,3,FALSE)</f>
        <v>Cubic meters per second</v>
      </c>
      <c r="N662" s="4" t="str">
        <f>VLOOKUP($K662,'Property names'!$A$1:$D$99,4,FALSE)</f>
        <v>m^3/s</v>
      </c>
      <c r="O662" s="4" t="str">
        <f t="shared" si="14"/>
        <v>Lamine_Moussa_TS029_water_flow</v>
      </c>
      <c r="P662" s="4" t="str">
        <f t="shared" si="15"/>
        <v>The datastream containing mesures of field Lamine Moussa by sensor TS029 which measures Water Flow.</v>
      </c>
    </row>
    <row r="663" spans="1:16" ht="12.75">
      <c r="A663" s="4" t="s">
        <v>336</v>
      </c>
      <c r="B663" s="4" t="s">
        <v>850</v>
      </c>
      <c r="C663" s="4" t="s">
        <v>838</v>
      </c>
      <c r="D663" s="150">
        <v>10.336111000000001</v>
      </c>
      <c r="E663" s="150">
        <v>33.309654999999999</v>
      </c>
      <c r="F663" s="4" t="s">
        <v>431</v>
      </c>
      <c r="G663" s="4" t="s">
        <v>848</v>
      </c>
      <c r="H663" s="4" t="s">
        <v>691</v>
      </c>
      <c r="I663" s="4" t="s">
        <v>691</v>
      </c>
      <c r="J663" s="4" t="s">
        <v>818</v>
      </c>
      <c r="K663" s="4" t="s">
        <v>386</v>
      </c>
      <c r="L663" s="4" t="str">
        <f>VLOOKUP($K663,'Property names'!$A$1:$D$99,2,FALSE)</f>
        <v>The continuous movement of water in a particular direction.</v>
      </c>
      <c r="M663" s="4" t="str">
        <f>VLOOKUP($K663,'Property names'!$A$1:$D$99,3,FALSE)</f>
        <v>Cubic meters per second</v>
      </c>
      <c r="N663" s="4" t="str">
        <f>VLOOKUP($K663,'Property names'!$A$1:$D$99,4,FALSE)</f>
        <v>m^3/s</v>
      </c>
      <c r="O663" s="4" t="str">
        <f t="shared" si="14"/>
        <v>Lamine_Moussa_TS043_water_flow</v>
      </c>
      <c r="P663" s="4" t="str">
        <f t="shared" si="15"/>
        <v>The datastream containing mesures of field Lamine Moussa by sensor TS043 which measures Water Flow.</v>
      </c>
    </row>
    <row r="664" spans="1:16" ht="12.75">
      <c r="A664" s="4" t="s">
        <v>336</v>
      </c>
      <c r="B664" s="4" t="s">
        <v>851</v>
      </c>
      <c r="C664" s="4" t="s">
        <v>838</v>
      </c>
      <c r="D664" s="150">
        <v>10.324999999999999</v>
      </c>
      <c r="E664" s="150">
        <v>33.341304000000001</v>
      </c>
      <c r="F664" s="4" t="s">
        <v>442</v>
      </c>
      <c r="G664" s="4" t="s">
        <v>847</v>
      </c>
      <c r="H664" s="4" t="s">
        <v>691</v>
      </c>
      <c r="I664" s="4" t="s">
        <v>691</v>
      </c>
      <c r="J664" s="4" t="s">
        <v>643</v>
      </c>
      <c r="K664" s="4" t="s">
        <v>644</v>
      </c>
      <c r="L664" s="4" t="str">
        <f>VLOOKUP($K664,'Property names'!$A$1:$D$99,2,FALSE)</f>
        <v>The amount of moisture present in the soil, often expressed as a percentage of the maximum amount the soil could hold at a given temperature.</v>
      </c>
      <c r="M664" s="4" t="str">
        <f>VLOOKUP($K664,'Property names'!$A$1:$D$99,3,FALSE)</f>
        <v>Percentage</v>
      </c>
      <c r="N664" s="4" t="str">
        <f>VLOOKUP($K664,'Property names'!$A$1:$D$99,4,FALSE)</f>
        <v>%</v>
      </c>
      <c r="O664" s="4" t="str">
        <f t="shared" si="14"/>
        <v>Mabrouka_Company_TS021_soil_moisture</v>
      </c>
      <c r="P664" s="4" t="str">
        <f t="shared" si="15"/>
        <v>The datastream containing mesures of field Mabrouka Company by sensor TS021 which measures Soil Moisture.</v>
      </c>
    </row>
    <row r="665" spans="1:16" ht="12.75">
      <c r="A665" s="4" t="s">
        <v>336</v>
      </c>
      <c r="B665" s="4" t="s">
        <v>851</v>
      </c>
      <c r="C665" s="4" t="s">
        <v>838</v>
      </c>
      <c r="D665" s="150">
        <v>10.324999999999999</v>
      </c>
      <c r="E665" s="150">
        <v>33.341304000000001</v>
      </c>
      <c r="F665" s="4" t="s">
        <v>442</v>
      </c>
      <c r="G665" s="4" t="s">
        <v>847</v>
      </c>
      <c r="H665" s="4" t="s">
        <v>691</v>
      </c>
      <c r="I665" s="4" t="s">
        <v>691</v>
      </c>
      <c r="J665" s="4" t="s">
        <v>645</v>
      </c>
      <c r="K665" s="4" t="s">
        <v>646</v>
      </c>
      <c r="L665" s="4" t="str">
        <f>VLOOKUP($K665,'Property names'!$A$1:$D$99,2,FALSE)</f>
        <v>The measure of temperature of the soil.</v>
      </c>
      <c r="M665" s="4" t="str">
        <f>VLOOKUP($K665,'Property names'!$A$1:$D$99,3,FALSE)</f>
        <v>Degrees Celsius</v>
      </c>
      <c r="N665" s="4" t="str">
        <f>VLOOKUP($K665,'Property names'!$A$1:$D$99,4,FALSE)</f>
        <v>ºC</v>
      </c>
      <c r="O665" s="4" t="str">
        <f t="shared" si="14"/>
        <v>Mabrouka_Company_TS021_soil_temperature</v>
      </c>
      <c r="P665" s="4" t="str">
        <f t="shared" si="15"/>
        <v>The datastream containing mesures of field Mabrouka Company by sensor TS021 which measures Soil Temperature.</v>
      </c>
    </row>
    <row r="666" spans="1:16" ht="12.75">
      <c r="A666" s="4" t="s">
        <v>336</v>
      </c>
      <c r="B666" s="4" t="s">
        <v>851</v>
      </c>
      <c r="C666" s="4" t="s">
        <v>838</v>
      </c>
      <c r="D666" s="150">
        <v>10.324999999999999</v>
      </c>
      <c r="E666" s="150">
        <v>33.341304000000001</v>
      </c>
      <c r="F666" s="4" t="s">
        <v>443</v>
      </c>
      <c r="G666" s="4" t="s">
        <v>847</v>
      </c>
      <c r="H666" s="4" t="s">
        <v>691</v>
      </c>
      <c r="I666" s="4" t="s">
        <v>691</v>
      </c>
      <c r="J666" s="4" t="s">
        <v>643</v>
      </c>
      <c r="K666" s="4" t="s">
        <v>644</v>
      </c>
      <c r="L666" s="4" t="str">
        <f>VLOOKUP($K666,'Property names'!$A$1:$D$99,2,FALSE)</f>
        <v>The amount of moisture present in the soil, often expressed as a percentage of the maximum amount the soil could hold at a given temperature.</v>
      </c>
      <c r="M666" s="4" t="str">
        <f>VLOOKUP($K666,'Property names'!$A$1:$D$99,3,FALSE)</f>
        <v>Percentage</v>
      </c>
      <c r="N666" s="4" t="str">
        <f>VLOOKUP($K666,'Property names'!$A$1:$D$99,4,FALSE)</f>
        <v>%</v>
      </c>
      <c r="O666" s="4" t="str">
        <f t="shared" si="14"/>
        <v>Mabrouka_Company_TS022_soil_moisture</v>
      </c>
      <c r="P666" s="4" t="str">
        <f t="shared" si="15"/>
        <v>The datastream containing mesures of field Mabrouka Company by sensor TS022 which measures Soil Moisture.</v>
      </c>
    </row>
    <row r="667" spans="1:16" ht="12.75">
      <c r="A667" s="4" t="s">
        <v>336</v>
      </c>
      <c r="B667" s="4" t="s">
        <v>851</v>
      </c>
      <c r="C667" s="4" t="s">
        <v>838</v>
      </c>
      <c r="D667" s="150">
        <v>10.324999999999999</v>
      </c>
      <c r="E667" s="150">
        <v>33.341304000000001</v>
      </c>
      <c r="F667" s="4" t="s">
        <v>443</v>
      </c>
      <c r="G667" s="4" t="s">
        <v>847</v>
      </c>
      <c r="H667" s="4" t="s">
        <v>691</v>
      </c>
      <c r="I667" s="4" t="s">
        <v>691</v>
      </c>
      <c r="J667" s="4" t="s">
        <v>645</v>
      </c>
      <c r="K667" s="4" t="s">
        <v>646</v>
      </c>
      <c r="L667" s="4" t="str">
        <f>VLOOKUP($K667,'Property names'!$A$1:$D$99,2,FALSE)</f>
        <v>The measure of temperature of the soil.</v>
      </c>
      <c r="M667" s="4" t="str">
        <f>VLOOKUP($K667,'Property names'!$A$1:$D$99,3,FALSE)</f>
        <v>Degrees Celsius</v>
      </c>
      <c r="N667" s="4" t="str">
        <f>VLOOKUP($K667,'Property names'!$A$1:$D$99,4,FALSE)</f>
        <v>ºC</v>
      </c>
      <c r="O667" s="4" t="str">
        <f t="shared" si="14"/>
        <v>Mabrouka_Company_TS022_soil_temperature</v>
      </c>
      <c r="P667" s="4" t="str">
        <f t="shared" si="15"/>
        <v>The datastream containing mesures of field Mabrouka Company by sensor TS022 which measures Soil Temperature.</v>
      </c>
    </row>
    <row r="668" spans="1:16" ht="12.75">
      <c r="A668" s="4" t="s">
        <v>336</v>
      </c>
      <c r="B668" s="4" t="s">
        <v>851</v>
      </c>
      <c r="C668" s="4" t="s">
        <v>838</v>
      </c>
      <c r="D668" s="150">
        <v>10.324999999999999</v>
      </c>
      <c r="E668" s="150">
        <v>33.341304000000001</v>
      </c>
      <c r="F668" s="4" t="s">
        <v>444</v>
      </c>
      <c r="G668" s="4" t="s">
        <v>847</v>
      </c>
      <c r="H668" s="4" t="s">
        <v>691</v>
      </c>
      <c r="I668" s="4" t="s">
        <v>691</v>
      </c>
      <c r="J668" s="4" t="s">
        <v>643</v>
      </c>
      <c r="K668" s="4" t="s">
        <v>644</v>
      </c>
      <c r="L668" s="4" t="str">
        <f>VLOOKUP($K668,'Property names'!$A$1:$D$99,2,FALSE)</f>
        <v>The amount of moisture present in the soil, often expressed as a percentage of the maximum amount the soil could hold at a given temperature.</v>
      </c>
      <c r="M668" s="4" t="str">
        <f>VLOOKUP($K668,'Property names'!$A$1:$D$99,3,FALSE)</f>
        <v>Percentage</v>
      </c>
      <c r="N668" s="4" t="str">
        <f>VLOOKUP($K668,'Property names'!$A$1:$D$99,4,FALSE)</f>
        <v>%</v>
      </c>
      <c r="O668" s="4" t="str">
        <f t="shared" si="14"/>
        <v>Mabrouka_Company_TS023_soil_moisture</v>
      </c>
      <c r="P668" s="4" t="str">
        <f t="shared" si="15"/>
        <v>The datastream containing mesures of field Mabrouka Company by sensor TS023 which measures Soil Moisture.</v>
      </c>
    </row>
    <row r="669" spans="1:16" ht="12.75">
      <c r="A669" s="4" t="s">
        <v>336</v>
      </c>
      <c r="B669" s="4" t="s">
        <v>851</v>
      </c>
      <c r="C669" s="4" t="s">
        <v>838</v>
      </c>
      <c r="D669" s="150">
        <v>10.324999999999999</v>
      </c>
      <c r="E669" s="150">
        <v>33.341304000000001</v>
      </c>
      <c r="F669" s="4" t="s">
        <v>444</v>
      </c>
      <c r="G669" s="4" t="s">
        <v>847</v>
      </c>
      <c r="H669" s="4" t="s">
        <v>691</v>
      </c>
      <c r="I669" s="4" t="s">
        <v>691</v>
      </c>
      <c r="J669" s="4" t="s">
        <v>645</v>
      </c>
      <c r="K669" s="4" t="s">
        <v>646</v>
      </c>
      <c r="L669" s="4" t="str">
        <f>VLOOKUP($K669,'Property names'!$A$1:$D$99,2,FALSE)</f>
        <v>The measure of temperature of the soil.</v>
      </c>
      <c r="M669" s="4" t="str">
        <f>VLOOKUP($K669,'Property names'!$A$1:$D$99,3,FALSE)</f>
        <v>Degrees Celsius</v>
      </c>
      <c r="N669" s="4" t="str">
        <f>VLOOKUP($K669,'Property names'!$A$1:$D$99,4,FALSE)</f>
        <v>ºC</v>
      </c>
      <c r="O669" s="4" t="str">
        <f t="shared" si="14"/>
        <v>Mabrouka_Company_TS023_soil_temperature</v>
      </c>
      <c r="P669" s="4" t="str">
        <f t="shared" si="15"/>
        <v>The datastream containing mesures of field Mabrouka Company by sensor TS023 which measures Soil Temperature.</v>
      </c>
    </row>
    <row r="670" spans="1:16" ht="12.75">
      <c r="A670" s="4" t="s">
        <v>336</v>
      </c>
      <c r="B670" s="4" t="s">
        <v>851</v>
      </c>
      <c r="C670" s="4" t="s">
        <v>838</v>
      </c>
      <c r="D670" s="150">
        <v>10.324999999999999</v>
      </c>
      <c r="E670" s="150">
        <v>33.341304000000001</v>
      </c>
      <c r="F670" s="4" t="s">
        <v>445</v>
      </c>
      <c r="G670" s="4" t="s">
        <v>847</v>
      </c>
      <c r="H670" s="4" t="s">
        <v>691</v>
      </c>
      <c r="I670" s="4" t="s">
        <v>691</v>
      </c>
      <c r="J670" s="4" t="s">
        <v>643</v>
      </c>
      <c r="K670" s="4" t="s">
        <v>644</v>
      </c>
      <c r="L670" s="4" t="str">
        <f>VLOOKUP($K670,'Property names'!$A$1:$D$99,2,FALSE)</f>
        <v>The amount of moisture present in the soil, often expressed as a percentage of the maximum amount the soil could hold at a given temperature.</v>
      </c>
      <c r="M670" s="4" t="str">
        <f>VLOOKUP($K670,'Property names'!$A$1:$D$99,3,FALSE)</f>
        <v>Percentage</v>
      </c>
      <c r="N670" s="4" t="str">
        <f>VLOOKUP($K670,'Property names'!$A$1:$D$99,4,FALSE)</f>
        <v>%</v>
      </c>
      <c r="O670" s="4" t="str">
        <f t="shared" si="14"/>
        <v>Mabrouka_Company_TS024_soil_moisture</v>
      </c>
      <c r="P670" s="4" t="str">
        <f t="shared" si="15"/>
        <v>The datastream containing mesures of field Mabrouka Company by sensor TS024 which measures Soil Moisture.</v>
      </c>
    </row>
    <row r="671" spans="1:16" ht="12.75">
      <c r="A671" s="4" t="s">
        <v>336</v>
      </c>
      <c r="B671" s="4" t="s">
        <v>851</v>
      </c>
      <c r="C671" s="4" t="s">
        <v>838</v>
      </c>
      <c r="D671" s="150">
        <v>10.324999999999999</v>
      </c>
      <c r="E671" s="150">
        <v>33.341304000000001</v>
      </c>
      <c r="F671" s="4" t="s">
        <v>445</v>
      </c>
      <c r="G671" s="4" t="s">
        <v>847</v>
      </c>
      <c r="H671" s="4" t="s">
        <v>691</v>
      </c>
      <c r="I671" s="4" t="s">
        <v>691</v>
      </c>
      <c r="J671" s="4" t="s">
        <v>645</v>
      </c>
      <c r="K671" s="4" t="s">
        <v>646</v>
      </c>
      <c r="L671" s="4" t="str">
        <f>VLOOKUP($K671,'Property names'!$A$1:$D$99,2,FALSE)</f>
        <v>The measure of temperature of the soil.</v>
      </c>
      <c r="M671" s="4" t="str">
        <f>VLOOKUP($K671,'Property names'!$A$1:$D$99,3,FALSE)</f>
        <v>Degrees Celsius</v>
      </c>
      <c r="N671" s="4" t="str">
        <f>VLOOKUP($K671,'Property names'!$A$1:$D$99,4,FALSE)</f>
        <v>ºC</v>
      </c>
      <c r="O671" s="4" t="str">
        <f t="shared" si="14"/>
        <v>Mabrouka_Company_TS024_soil_temperature</v>
      </c>
      <c r="P671" s="4" t="str">
        <f t="shared" si="15"/>
        <v>The datastream containing mesures of field Mabrouka Company by sensor TS024 which measures Soil Temperature.</v>
      </c>
    </row>
    <row r="672" spans="1:16" ht="12.75">
      <c r="A672" s="4" t="s">
        <v>336</v>
      </c>
      <c r="B672" s="4" t="s">
        <v>851</v>
      </c>
      <c r="C672" s="4" t="s">
        <v>838</v>
      </c>
      <c r="D672" s="150">
        <v>10.324999999999999</v>
      </c>
      <c r="E672" s="150">
        <v>33.341304000000001</v>
      </c>
      <c r="F672" s="4" t="s">
        <v>446</v>
      </c>
      <c r="G672" s="4" t="s">
        <v>847</v>
      </c>
      <c r="H672" s="4" t="s">
        <v>691</v>
      </c>
      <c r="I672" s="4" t="s">
        <v>691</v>
      </c>
      <c r="J672" s="4" t="s">
        <v>643</v>
      </c>
      <c r="K672" s="4" t="s">
        <v>644</v>
      </c>
      <c r="L672" s="4" t="str">
        <f>VLOOKUP($K672,'Property names'!$A$1:$D$99,2,FALSE)</f>
        <v>The amount of moisture present in the soil, often expressed as a percentage of the maximum amount the soil could hold at a given temperature.</v>
      </c>
      <c r="M672" s="4" t="str">
        <f>VLOOKUP($K672,'Property names'!$A$1:$D$99,3,FALSE)</f>
        <v>Percentage</v>
      </c>
      <c r="N672" s="4" t="str">
        <f>VLOOKUP($K672,'Property names'!$A$1:$D$99,4,FALSE)</f>
        <v>%</v>
      </c>
      <c r="O672" s="4" t="str">
        <f t="shared" si="14"/>
        <v>Mabrouka_Company_TS025_soil_moisture</v>
      </c>
      <c r="P672" s="4" t="str">
        <f t="shared" si="15"/>
        <v>The datastream containing mesures of field Mabrouka Company by sensor TS025 which measures Soil Moisture.</v>
      </c>
    </row>
    <row r="673" spans="1:16" ht="12.75">
      <c r="A673" s="4" t="s">
        <v>336</v>
      </c>
      <c r="B673" s="4" t="s">
        <v>851</v>
      </c>
      <c r="C673" s="4" t="s">
        <v>838</v>
      </c>
      <c r="D673" s="150">
        <v>10.324999999999999</v>
      </c>
      <c r="E673" s="150">
        <v>33.341304000000001</v>
      </c>
      <c r="F673" s="4" t="s">
        <v>446</v>
      </c>
      <c r="G673" s="4" t="s">
        <v>847</v>
      </c>
      <c r="H673" s="4" t="s">
        <v>691</v>
      </c>
      <c r="I673" s="4" t="s">
        <v>691</v>
      </c>
      <c r="J673" s="4" t="s">
        <v>645</v>
      </c>
      <c r="K673" s="4" t="s">
        <v>646</v>
      </c>
      <c r="L673" s="4" t="str">
        <f>VLOOKUP($K673,'Property names'!$A$1:$D$99,2,FALSE)</f>
        <v>The measure of temperature of the soil.</v>
      </c>
      <c r="M673" s="4" t="str">
        <f>VLOOKUP($K673,'Property names'!$A$1:$D$99,3,FALSE)</f>
        <v>Degrees Celsius</v>
      </c>
      <c r="N673" s="4" t="str">
        <f>VLOOKUP($K673,'Property names'!$A$1:$D$99,4,FALSE)</f>
        <v>ºC</v>
      </c>
      <c r="O673" s="4" t="str">
        <f t="shared" si="14"/>
        <v>Mabrouka_Company_TS025_soil_temperature</v>
      </c>
      <c r="P673" s="4" t="str">
        <f t="shared" si="15"/>
        <v>The datastream containing mesures of field Mabrouka Company by sensor TS025 which measures Soil Temperature.</v>
      </c>
    </row>
    <row r="674" spans="1:16" ht="12.75">
      <c r="A674" s="4" t="s">
        <v>336</v>
      </c>
      <c r="B674" s="4" t="s">
        <v>851</v>
      </c>
      <c r="C674" s="4" t="s">
        <v>838</v>
      </c>
      <c r="D674" s="150">
        <v>10.324999999999999</v>
      </c>
      <c r="E674" s="150">
        <v>33.341304000000001</v>
      </c>
      <c r="F674" s="4" t="s">
        <v>447</v>
      </c>
      <c r="G674" s="4" t="s">
        <v>847</v>
      </c>
      <c r="H674" s="4" t="s">
        <v>691</v>
      </c>
      <c r="I674" s="4" t="s">
        <v>691</v>
      </c>
      <c r="J674" s="4" t="s">
        <v>643</v>
      </c>
      <c r="K674" s="4" t="s">
        <v>644</v>
      </c>
      <c r="L674" s="4" t="str">
        <f>VLOOKUP($K674,'Property names'!$A$1:$D$99,2,FALSE)</f>
        <v>The amount of moisture present in the soil, often expressed as a percentage of the maximum amount the soil could hold at a given temperature.</v>
      </c>
      <c r="M674" s="4" t="str">
        <f>VLOOKUP($K674,'Property names'!$A$1:$D$99,3,FALSE)</f>
        <v>Percentage</v>
      </c>
      <c r="N674" s="4" t="str">
        <f>VLOOKUP($K674,'Property names'!$A$1:$D$99,4,FALSE)</f>
        <v>%</v>
      </c>
      <c r="O674" s="4" t="str">
        <f t="shared" si="14"/>
        <v>Mabrouka_Company_TS026_soil_moisture</v>
      </c>
      <c r="P674" s="4" t="str">
        <f t="shared" si="15"/>
        <v>The datastream containing mesures of field Mabrouka Company by sensor TS026 which measures Soil Moisture.</v>
      </c>
    </row>
    <row r="675" spans="1:16" ht="12.75">
      <c r="A675" s="4" t="s">
        <v>336</v>
      </c>
      <c r="B675" s="4" t="s">
        <v>851</v>
      </c>
      <c r="C675" s="4" t="s">
        <v>838</v>
      </c>
      <c r="D675" s="150">
        <v>10.324999999999999</v>
      </c>
      <c r="E675" s="150">
        <v>33.341304000000001</v>
      </c>
      <c r="F675" s="4" t="s">
        <v>447</v>
      </c>
      <c r="G675" s="4" t="s">
        <v>847</v>
      </c>
      <c r="H675" s="4" t="s">
        <v>691</v>
      </c>
      <c r="I675" s="4" t="s">
        <v>691</v>
      </c>
      <c r="J675" s="4" t="s">
        <v>645</v>
      </c>
      <c r="K675" s="4" t="s">
        <v>646</v>
      </c>
      <c r="L675" s="4" t="str">
        <f>VLOOKUP($K675,'Property names'!$A$1:$D$99,2,FALSE)</f>
        <v>The measure of temperature of the soil.</v>
      </c>
      <c r="M675" s="4" t="str">
        <f>VLOOKUP($K675,'Property names'!$A$1:$D$99,3,FALSE)</f>
        <v>Degrees Celsius</v>
      </c>
      <c r="N675" s="4" t="str">
        <f>VLOOKUP($K675,'Property names'!$A$1:$D$99,4,FALSE)</f>
        <v>ºC</v>
      </c>
      <c r="O675" s="4" t="str">
        <f t="shared" si="14"/>
        <v>Mabrouka_Company_TS026_soil_temperature</v>
      </c>
      <c r="P675" s="4" t="str">
        <f t="shared" si="15"/>
        <v>The datastream containing mesures of field Mabrouka Company by sensor TS026 which measures Soil Temperature.</v>
      </c>
    </row>
    <row r="676" spans="1:16" ht="12.75">
      <c r="A676" s="4" t="s">
        <v>336</v>
      </c>
      <c r="B676" s="4" t="s">
        <v>851</v>
      </c>
      <c r="C676" s="4" t="s">
        <v>838</v>
      </c>
      <c r="D676" s="150">
        <v>10.324999999999999</v>
      </c>
      <c r="E676" s="150">
        <v>33.341304000000001</v>
      </c>
      <c r="F676" s="4" t="s">
        <v>448</v>
      </c>
      <c r="G676" s="4" t="s">
        <v>848</v>
      </c>
      <c r="H676" s="4" t="s">
        <v>691</v>
      </c>
      <c r="I676" s="4" t="s">
        <v>691</v>
      </c>
      <c r="J676" s="4" t="s">
        <v>818</v>
      </c>
      <c r="K676" s="4" t="s">
        <v>386</v>
      </c>
      <c r="L676" s="4" t="str">
        <f>VLOOKUP($K676,'Property names'!$A$1:$D$99,2,FALSE)</f>
        <v>The continuous movement of water in a particular direction.</v>
      </c>
      <c r="M676" s="4" t="str">
        <f>VLOOKUP($K676,'Property names'!$A$1:$D$99,3,FALSE)</f>
        <v>Cubic meters per second</v>
      </c>
      <c r="N676" s="4" t="str">
        <f>VLOOKUP($K676,'Property names'!$A$1:$D$99,4,FALSE)</f>
        <v>m^3/s</v>
      </c>
      <c r="O676" s="4" t="str">
        <f t="shared" si="14"/>
        <v>Mabrouka_Company_TS030_water_flow</v>
      </c>
      <c r="P676" s="4" t="str">
        <f t="shared" si="15"/>
        <v>The datastream containing mesures of field Mabrouka Company by sensor TS030 which measures Water Flow.</v>
      </c>
    </row>
    <row r="677" spans="1:16" ht="12.75">
      <c r="A677" s="4" t="s">
        <v>336</v>
      </c>
      <c r="B677" s="4" t="s">
        <v>851</v>
      </c>
      <c r="C677" s="4" t="s">
        <v>838</v>
      </c>
      <c r="D677" s="150">
        <v>10.324999999999999</v>
      </c>
      <c r="E677" s="150">
        <v>33.341304000000001</v>
      </c>
      <c r="F677" s="4" t="s">
        <v>450</v>
      </c>
      <c r="G677" s="4" t="s">
        <v>848</v>
      </c>
      <c r="H677" s="4" t="s">
        <v>691</v>
      </c>
      <c r="I677" s="4" t="s">
        <v>691</v>
      </c>
      <c r="J677" s="4" t="s">
        <v>818</v>
      </c>
      <c r="K677" s="4" t="s">
        <v>386</v>
      </c>
      <c r="L677" s="4" t="str">
        <f>VLOOKUP($K677,'Property names'!$A$1:$D$99,2,FALSE)</f>
        <v>The continuous movement of water in a particular direction.</v>
      </c>
      <c r="M677" s="4" t="str">
        <f>VLOOKUP($K677,'Property names'!$A$1:$D$99,3,FALSE)</f>
        <v>Cubic meters per second</v>
      </c>
      <c r="N677" s="4" t="str">
        <f>VLOOKUP($K677,'Property names'!$A$1:$D$99,4,FALSE)</f>
        <v>m^3/s</v>
      </c>
      <c r="O677" s="4" t="str">
        <f t="shared" si="14"/>
        <v>Mabrouka_Company_TS045_water_flow</v>
      </c>
      <c r="P677" s="4" t="str">
        <f t="shared" si="15"/>
        <v>The datastream containing mesures of field Mabrouka Company by sensor TS045 which measures Water Flow.</v>
      </c>
    </row>
    <row r="678" spans="1:16" ht="12.75">
      <c r="A678" s="4" t="s">
        <v>336</v>
      </c>
      <c r="B678" s="4" t="s">
        <v>852</v>
      </c>
      <c r="C678" s="4" t="s">
        <v>853</v>
      </c>
      <c r="D678" s="150">
        <v>10.357336</v>
      </c>
      <c r="E678" s="150">
        <v>33.340522999999997</v>
      </c>
      <c r="F678" s="4" t="s">
        <v>457</v>
      </c>
      <c r="G678" s="4" t="s">
        <v>848</v>
      </c>
      <c r="H678" s="4" t="s">
        <v>691</v>
      </c>
      <c r="I678" s="4" t="s">
        <v>691</v>
      </c>
      <c r="J678" s="4" t="s">
        <v>818</v>
      </c>
      <c r="K678" s="4" t="s">
        <v>386</v>
      </c>
      <c r="L678" s="4" t="str">
        <f>VLOOKUP($K678,'Property names'!$A$1:$D$99,2,FALSE)</f>
        <v>The continuous movement of water in a particular direction.</v>
      </c>
      <c r="M678" s="4" t="str">
        <f>VLOOKUP($K678,'Property names'!$A$1:$D$99,3,FALSE)</f>
        <v>Cubic meters per second</v>
      </c>
      <c r="N678" s="4" t="str">
        <f>VLOOKUP($K678,'Property names'!$A$1:$D$99,4,FALSE)</f>
        <v>m^3/s</v>
      </c>
      <c r="O678" s="4" t="str">
        <f t="shared" si="14"/>
        <v>SONEDE_-_Well_Drilling_1_TS037_water_flow</v>
      </c>
      <c r="P678" s="4" t="str">
        <f t="shared" si="15"/>
        <v>The datastream containing mesures of field SONEDE - Well Drilling 1 by sensor TS037 which measures Water Flow.</v>
      </c>
    </row>
    <row r="679" spans="1:16" ht="12.75">
      <c r="A679" s="4" t="s">
        <v>336</v>
      </c>
      <c r="B679" s="4" t="s">
        <v>854</v>
      </c>
      <c r="C679" s="4" t="s">
        <v>853</v>
      </c>
      <c r="D679" s="150">
        <v>10.384967</v>
      </c>
      <c r="E679" s="150">
        <v>33.321849</v>
      </c>
      <c r="F679" s="4" t="s">
        <v>465</v>
      </c>
      <c r="G679" s="4" t="s">
        <v>848</v>
      </c>
      <c r="H679" s="4" t="s">
        <v>691</v>
      </c>
      <c r="I679" s="4" t="s">
        <v>691</v>
      </c>
      <c r="J679" s="4" t="s">
        <v>818</v>
      </c>
      <c r="K679" s="4" t="s">
        <v>386</v>
      </c>
      <c r="L679" s="4" t="str">
        <f>VLOOKUP($K679,'Property names'!$A$1:$D$99,2,FALSE)</f>
        <v>The continuous movement of water in a particular direction.</v>
      </c>
      <c r="M679" s="4" t="str">
        <f>VLOOKUP($K679,'Property names'!$A$1:$D$99,3,FALSE)</f>
        <v>Cubic meters per second</v>
      </c>
      <c r="N679" s="4" t="str">
        <f>VLOOKUP($K679,'Property names'!$A$1:$D$99,4,FALSE)</f>
        <v>m^3/s</v>
      </c>
      <c r="O679" s="4" t="str">
        <f t="shared" si="14"/>
        <v>SONEDE_-_Well_Drilling_2_TS038_water_flow</v>
      </c>
      <c r="P679" s="4" t="str">
        <f t="shared" si="15"/>
        <v>The datastream containing mesures of field SONEDE - Well Drilling 2 by sensor TS038 which measures Water Flow.</v>
      </c>
    </row>
    <row r="680" spans="1:16" ht="12.75">
      <c r="A680" s="4" t="s">
        <v>336</v>
      </c>
      <c r="B680" s="4" t="s">
        <v>855</v>
      </c>
      <c r="C680" s="4" t="s">
        <v>853</v>
      </c>
      <c r="D680" s="150">
        <v>10.427504000000001</v>
      </c>
      <c r="E680" s="150">
        <v>33.283906999999999</v>
      </c>
      <c r="F680" s="4" t="s">
        <v>472</v>
      </c>
      <c r="G680" s="4" t="s">
        <v>848</v>
      </c>
      <c r="H680" s="4" t="s">
        <v>691</v>
      </c>
      <c r="I680" s="4" t="s">
        <v>691</v>
      </c>
      <c r="J680" s="4" t="s">
        <v>818</v>
      </c>
      <c r="K680" s="4" t="s">
        <v>386</v>
      </c>
      <c r="L680" s="4" t="str">
        <f>VLOOKUP($K680,'Property names'!$A$1:$D$99,2,FALSE)</f>
        <v>The continuous movement of water in a particular direction.</v>
      </c>
      <c r="M680" s="4" t="str">
        <f>VLOOKUP($K680,'Property names'!$A$1:$D$99,3,FALSE)</f>
        <v>Cubic meters per second</v>
      </c>
      <c r="N680" s="4" t="str">
        <f>VLOOKUP($K680,'Property names'!$A$1:$D$99,4,FALSE)</f>
        <v>m^3/s</v>
      </c>
      <c r="O680" s="4" t="str">
        <f t="shared" si="14"/>
        <v>SONEDE_-_Well_Drilling_3_TS039_water_flow</v>
      </c>
      <c r="P680" s="4" t="str">
        <f t="shared" si="15"/>
        <v>The datastream containing mesures of field SONEDE - Well Drilling 3 by sensor TS039 which measures Water Flow.</v>
      </c>
    </row>
    <row r="681" spans="1:16" ht="12.75">
      <c r="A681" s="4" t="s">
        <v>336</v>
      </c>
      <c r="B681" s="4" t="s">
        <v>856</v>
      </c>
      <c r="C681" s="4" t="s">
        <v>853</v>
      </c>
      <c r="D681" s="150">
        <v>10.371282000000001</v>
      </c>
      <c r="E681" s="150">
        <v>33.306838999999997</v>
      </c>
      <c r="F681" s="4" t="s">
        <v>479</v>
      </c>
      <c r="G681" s="4" t="s">
        <v>848</v>
      </c>
      <c r="H681" s="4" t="s">
        <v>691</v>
      </c>
      <c r="I681" s="4" t="s">
        <v>691</v>
      </c>
      <c r="J681" s="4" t="s">
        <v>818</v>
      </c>
      <c r="K681" s="4" t="s">
        <v>386</v>
      </c>
      <c r="L681" s="4" t="str">
        <f>VLOOKUP($K681,'Property names'!$A$1:$D$99,2,FALSE)</f>
        <v>The continuous movement of water in a particular direction.</v>
      </c>
      <c r="M681" s="4" t="str">
        <f>VLOOKUP($K681,'Property names'!$A$1:$D$99,3,FALSE)</f>
        <v>Cubic meters per second</v>
      </c>
      <c r="N681" s="4" t="str">
        <f>VLOOKUP($K681,'Property names'!$A$1:$D$99,4,FALSE)</f>
        <v>m^3/s</v>
      </c>
      <c r="O681" s="4" t="str">
        <f t="shared" si="14"/>
        <v>SONEDE_-_Well_Drilling_4_TS040_water_flow</v>
      </c>
      <c r="P681" s="4" t="str">
        <f t="shared" si="15"/>
        <v>The datastream containing mesures of field SONEDE - Well Drilling 4 by sensor TS040 which measures Water Flow.</v>
      </c>
    </row>
    <row r="682" spans="1:16" ht="12.75">
      <c r="A682" s="4" t="s">
        <v>336</v>
      </c>
      <c r="B682" s="4" t="s">
        <v>857</v>
      </c>
      <c r="C682" s="4" t="s">
        <v>853</v>
      </c>
      <c r="D682" s="150">
        <v>10.433408</v>
      </c>
      <c r="E682" s="150">
        <v>33.406332999999997</v>
      </c>
      <c r="F682" s="4" t="s">
        <v>487</v>
      </c>
      <c r="G682" s="4" t="s">
        <v>848</v>
      </c>
      <c r="H682" s="4" t="s">
        <v>691</v>
      </c>
      <c r="I682" s="4" t="s">
        <v>691</v>
      </c>
      <c r="J682" s="4" t="s">
        <v>818</v>
      </c>
      <c r="K682" s="4" t="s">
        <v>386</v>
      </c>
      <c r="L682" s="4" t="str">
        <f>VLOOKUP($K682,'Property names'!$A$1:$D$99,2,FALSE)</f>
        <v>The continuous movement of water in a particular direction.</v>
      </c>
      <c r="M682" s="4" t="str">
        <f>VLOOKUP($K682,'Property names'!$A$1:$D$99,3,FALSE)</f>
        <v>Cubic meters per second</v>
      </c>
      <c r="N682" s="4" t="str">
        <f>VLOOKUP($K682,'Property names'!$A$1:$D$99,4,FALSE)</f>
        <v>m^3/s</v>
      </c>
      <c r="O682" s="4" t="str">
        <f t="shared" si="14"/>
        <v>SONEDE_-_Well_Drilling_5_TS031_water_flow</v>
      </c>
      <c r="P682" s="4" t="str">
        <f t="shared" si="15"/>
        <v>The datastream containing mesures of field SONEDE - Well Drilling 5 by sensor TS031 which measures Water Flow.</v>
      </c>
    </row>
    <row r="683" spans="1:16" ht="12.75">
      <c r="A683" s="4" t="s">
        <v>336</v>
      </c>
      <c r="B683" s="4" t="s">
        <v>858</v>
      </c>
      <c r="C683" s="4" t="s">
        <v>853</v>
      </c>
      <c r="D683" s="150">
        <v>10.433408</v>
      </c>
      <c r="E683" s="150">
        <v>33.406332999999997</v>
      </c>
      <c r="F683" s="4" t="s">
        <v>491</v>
      </c>
      <c r="G683" s="4" t="s">
        <v>848</v>
      </c>
      <c r="H683" s="4" t="s">
        <v>691</v>
      </c>
      <c r="I683" s="4" t="s">
        <v>691</v>
      </c>
      <c r="J683" s="4" t="s">
        <v>818</v>
      </c>
      <c r="K683" s="4" t="s">
        <v>386</v>
      </c>
      <c r="L683" s="4" t="str">
        <f>VLOOKUP($K683,'Property names'!$A$1:$D$99,2,FALSE)</f>
        <v>The continuous movement of water in a particular direction.</v>
      </c>
      <c r="M683" s="4" t="str">
        <f>VLOOKUP($K683,'Property names'!$A$1:$D$99,3,FALSE)</f>
        <v>Cubic meters per second</v>
      </c>
      <c r="N683" s="4" t="str">
        <f>VLOOKUP($K683,'Property names'!$A$1:$D$99,4,FALSE)</f>
        <v>m^3/s</v>
      </c>
      <c r="O683" s="4" t="str">
        <f t="shared" si="14"/>
        <v>SONEDE_-_Well_Drilling_6_TS036_water_flow</v>
      </c>
      <c r="P683" s="4" t="str">
        <f t="shared" si="15"/>
        <v>The datastream containing mesures of field SONEDE - Well Drilling 6 by sensor TS036 which measures Water Flow.</v>
      </c>
    </row>
    <row r="684" spans="1:16" ht="12.75">
      <c r="A684" s="4" t="s">
        <v>336</v>
      </c>
      <c r="B684" s="4" t="s">
        <v>859</v>
      </c>
      <c r="C684" s="4" t="s">
        <v>860</v>
      </c>
      <c r="D684" s="150">
        <v>10.444596000000001</v>
      </c>
      <c r="E684" s="150">
        <v>33.245896000000002</v>
      </c>
      <c r="F684" s="4" t="s">
        <v>501</v>
      </c>
      <c r="G684" s="4" t="s">
        <v>861</v>
      </c>
      <c r="H684" s="4" t="s">
        <v>691</v>
      </c>
      <c r="I684" s="4" t="s">
        <v>691</v>
      </c>
      <c r="J684" s="4" t="s">
        <v>862</v>
      </c>
      <c r="K684" s="4" t="s">
        <v>831</v>
      </c>
      <c r="L684" s="4" t="str">
        <f>VLOOKUP($K684,'Property names'!$A$1:$D$99,2,FALSE)</f>
        <v>The depth at which the water table is found beneath the Earth's surface.</v>
      </c>
      <c r="M684" s="4" t="str">
        <f>VLOOKUP($K684,'Property names'!$A$1:$D$99,3,FALSE)</f>
        <v>Meters</v>
      </c>
      <c r="N684" s="4" t="str">
        <f>VLOOKUP($K684,'Property names'!$A$1:$D$99,4,FALSE)</f>
        <v>m</v>
      </c>
      <c r="O684" s="4" t="str">
        <f t="shared" si="14"/>
        <v>DRW_1_TS048_level</v>
      </c>
      <c r="P684" s="4" t="str">
        <f t="shared" si="15"/>
        <v>The datastream containing mesures of field DRW 1 by sensor TS048 which measures Groundwater Level.</v>
      </c>
    </row>
    <row r="685" spans="1:16" ht="12.75">
      <c r="A685" s="4" t="s">
        <v>336</v>
      </c>
      <c r="B685" s="4" t="s">
        <v>859</v>
      </c>
      <c r="C685" s="4" t="s">
        <v>860</v>
      </c>
      <c r="D685" s="150">
        <v>10.444596000000001</v>
      </c>
      <c r="E685" s="150">
        <v>33.245896000000002</v>
      </c>
      <c r="F685" s="4" t="s">
        <v>501</v>
      </c>
      <c r="G685" s="4" t="s">
        <v>861</v>
      </c>
      <c r="H685" s="4" t="s">
        <v>691</v>
      </c>
      <c r="I685" s="4" t="s">
        <v>691</v>
      </c>
      <c r="J685" s="4" t="s">
        <v>863</v>
      </c>
      <c r="K685" s="4" t="s">
        <v>703</v>
      </c>
      <c r="L685" s="4" t="str">
        <f>VLOOKUP($K685,'Property names'!$A$1:$D$99,2,FALSE)</f>
        <v>A standard pressure value used as a basis for comparison in meteorology.</v>
      </c>
      <c r="M685" s="4" t="str">
        <f>VLOOKUP($K685,'Property names'!$A$1:$D$99,3,FALSE)</f>
        <v>Kilopascal</v>
      </c>
      <c r="N685" s="4" t="str">
        <f>VLOOKUP($K685,'Property names'!$A$1:$D$99,4,FALSE)</f>
        <v>kPa</v>
      </c>
      <c r="O685" s="4" t="str">
        <f t="shared" si="14"/>
        <v>DRW_1_TS048_pressure</v>
      </c>
      <c r="P685" s="4" t="str">
        <f t="shared" si="15"/>
        <v>The datastream containing mesures of field DRW 1 by sensor TS048 which measures Reference Pressure.</v>
      </c>
    </row>
    <row r="686" spans="1:16" ht="12.75">
      <c r="A686" s="4" t="s">
        <v>336</v>
      </c>
      <c r="B686" s="4" t="s">
        <v>864</v>
      </c>
      <c r="C686" s="4" t="s">
        <v>860</v>
      </c>
      <c r="D686" s="150">
        <v>10.380013</v>
      </c>
      <c r="E686" s="150">
        <v>33.318260000000002</v>
      </c>
      <c r="F686" s="4" t="s">
        <v>511</v>
      </c>
      <c r="G686" s="4" t="s">
        <v>861</v>
      </c>
      <c r="H686" s="4" t="s">
        <v>691</v>
      </c>
      <c r="I686" s="4" t="s">
        <v>691</v>
      </c>
      <c r="J686" s="4" t="s">
        <v>862</v>
      </c>
      <c r="K686" s="4" t="s">
        <v>831</v>
      </c>
      <c r="L686" s="4" t="str">
        <f>VLOOKUP($K686,'Property names'!$A$1:$D$99,2,FALSE)</f>
        <v>The depth at which the water table is found beneath the Earth's surface.</v>
      </c>
      <c r="M686" s="4" t="str">
        <f>VLOOKUP($K686,'Property names'!$A$1:$D$99,3,FALSE)</f>
        <v>Meters</v>
      </c>
      <c r="N686" s="4" t="str">
        <f>VLOOKUP($K686,'Property names'!$A$1:$D$99,4,FALSE)</f>
        <v>m</v>
      </c>
      <c r="O686" s="4" t="str">
        <f t="shared" si="14"/>
        <v>DRW_2_TS049_level</v>
      </c>
      <c r="P686" s="4" t="str">
        <f t="shared" si="15"/>
        <v>The datastream containing mesures of field DRW 2 by sensor TS049 which measures Groundwater Level.</v>
      </c>
    </row>
    <row r="687" spans="1:16" ht="12.75">
      <c r="A687" s="4" t="s">
        <v>336</v>
      </c>
      <c r="B687" s="4" t="s">
        <v>864</v>
      </c>
      <c r="C687" s="4" t="s">
        <v>860</v>
      </c>
      <c r="D687" s="150">
        <v>10.380013</v>
      </c>
      <c r="E687" s="150">
        <v>33.318260000000002</v>
      </c>
      <c r="F687" s="4" t="s">
        <v>511</v>
      </c>
      <c r="G687" s="4" t="s">
        <v>861</v>
      </c>
      <c r="H687" s="4" t="s">
        <v>691</v>
      </c>
      <c r="I687" s="4" t="s">
        <v>691</v>
      </c>
      <c r="J687" s="4" t="s">
        <v>863</v>
      </c>
      <c r="K687" s="4" t="s">
        <v>703</v>
      </c>
      <c r="L687" s="4" t="str">
        <f>VLOOKUP($K687,'Property names'!$A$1:$D$99,2,FALSE)</f>
        <v>A standard pressure value used as a basis for comparison in meteorology.</v>
      </c>
      <c r="M687" s="4" t="str">
        <f>VLOOKUP($K687,'Property names'!$A$1:$D$99,3,FALSE)</f>
        <v>Kilopascal</v>
      </c>
      <c r="N687" s="4" t="str">
        <f>VLOOKUP($K687,'Property names'!$A$1:$D$99,4,FALSE)</f>
        <v>kPa</v>
      </c>
      <c r="O687" s="4" t="str">
        <f t="shared" si="14"/>
        <v>DRW_2_TS049_pressure</v>
      </c>
      <c r="P687" s="4" t="str">
        <f t="shared" si="15"/>
        <v>The datastream containing mesures of field DRW 2 by sensor TS049 which measures Reference Pressure.</v>
      </c>
    </row>
    <row r="688" spans="1:16" ht="12.75">
      <c r="A688" s="4" t="s">
        <v>336</v>
      </c>
      <c r="B688" s="4" t="s">
        <v>865</v>
      </c>
      <c r="C688" s="4" t="s">
        <v>866</v>
      </c>
      <c r="D688" s="150">
        <v>10.443274000000001</v>
      </c>
      <c r="E688" s="150">
        <v>33.241616</v>
      </c>
      <c r="F688" s="150" t="s">
        <v>521</v>
      </c>
      <c r="G688" s="4" t="s">
        <v>867</v>
      </c>
      <c r="H688" s="4" t="s">
        <v>691</v>
      </c>
      <c r="I688" s="4" t="s">
        <v>691</v>
      </c>
      <c r="J688" s="4" t="s">
        <v>821</v>
      </c>
      <c r="K688" s="4" t="s">
        <v>822</v>
      </c>
      <c r="L688" s="4" t="str">
        <f>VLOOKUP($K688,'Property names'!$A$1:$D$99,2,FALSE)</f>
        <v>Measure of the acidity or alkalinity of a solution.</v>
      </c>
      <c r="M688" s="4" t="str">
        <f>VLOOKUP($K688,'Property names'!$A$1:$D$99,3,FALSE)</f>
        <v>-</v>
      </c>
      <c r="N688" s="4" t="str">
        <f>VLOOKUP($K688,'Property names'!$A$1:$D$99,4,FALSE)</f>
        <v>-</v>
      </c>
      <c r="O688" s="4" t="str">
        <f t="shared" si="14"/>
        <v>WWQ_1_TS046_ph</v>
      </c>
      <c r="P688" s="4" t="str">
        <f t="shared" si="15"/>
        <v>The datastream containing mesures of field WWQ 1 by sensor TS046 which measures pH.</v>
      </c>
    </row>
    <row r="689" spans="1:16" ht="12.75">
      <c r="A689" s="4" t="s">
        <v>336</v>
      </c>
      <c r="B689" s="4" t="s">
        <v>865</v>
      </c>
      <c r="C689" s="4" t="s">
        <v>866</v>
      </c>
      <c r="D689" s="150">
        <v>10.443274000000001</v>
      </c>
      <c r="E689" s="150">
        <v>33.241616</v>
      </c>
      <c r="F689" s="150" t="s">
        <v>521</v>
      </c>
      <c r="G689" s="4" t="s">
        <v>867</v>
      </c>
      <c r="H689" s="4" t="s">
        <v>691</v>
      </c>
      <c r="I689" s="4" t="s">
        <v>691</v>
      </c>
      <c r="J689" s="4" t="s">
        <v>829</v>
      </c>
      <c r="K689" s="4" t="s">
        <v>705</v>
      </c>
      <c r="L689" s="4" t="str">
        <f>VLOOKUP($K689,'Property names'!$A$1:$D$99,2,FALSE)</f>
        <v>The measure of the hotness or coldness of something.</v>
      </c>
      <c r="M689" s="4" t="str">
        <f>VLOOKUP($K689,'Property names'!$A$1:$D$99,3,FALSE)</f>
        <v>Degrees Celsius</v>
      </c>
      <c r="N689" s="4" t="str">
        <f>VLOOKUP($K689,'Property names'!$A$1:$D$99,4,FALSE)</f>
        <v>ºC</v>
      </c>
      <c r="O689" s="4" t="str">
        <f t="shared" si="14"/>
        <v>WWQ_1_TS046_temperature</v>
      </c>
      <c r="P689" s="4" t="str">
        <f t="shared" si="15"/>
        <v>The datastream containing mesures of field WWQ 1 by sensor TS046 which measures Temperature.</v>
      </c>
    </row>
    <row r="690" spans="1:16" ht="12.75">
      <c r="A690" s="4" t="s">
        <v>336</v>
      </c>
      <c r="B690" s="4" t="s">
        <v>865</v>
      </c>
      <c r="C690" s="4" t="s">
        <v>866</v>
      </c>
      <c r="D690" s="150">
        <v>10.443274000000001</v>
      </c>
      <c r="E690" s="150">
        <v>33.241616</v>
      </c>
      <c r="F690" s="150" t="s">
        <v>521</v>
      </c>
      <c r="G690" s="4" t="s">
        <v>867</v>
      </c>
      <c r="H690" s="4" t="s">
        <v>691</v>
      </c>
      <c r="I690" s="4" t="s">
        <v>691</v>
      </c>
      <c r="J690" s="4" t="s">
        <v>868</v>
      </c>
      <c r="K690" s="4" t="s">
        <v>824</v>
      </c>
      <c r="L690" s="4" t="str">
        <f>VLOOKUP($K690,'Property names'!$A$1:$D$99,2,FALSE)</f>
        <v>Measure of the ability of a solution to conduct electricity.</v>
      </c>
      <c r="M690" s="4" t="str">
        <f>VLOOKUP($K690,'Property names'!$A$1:$D$99,3,FALSE)</f>
        <v>Siemens per meter</v>
      </c>
      <c r="N690" s="4" t="str">
        <f>VLOOKUP($K690,'Property names'!$A$1:$D$99,4,FALSE)</f>
        <v>S/m</v>
      </c>
      <c r="O690" s="4" t="str">
        <f t="shared" si="14"/>
        <v>WWQ_1_TS046_electric_conductivity</v>
      </c>
      <c r="P690" s="4" t="str">
        <f t="shared" si="15"/>
        <v>The datastream containing mesures of field WWQ 1 by sensor TS046 which measures Electric Conductivity.</v>
      </c>
    </row>
    <row r="691" spans="1:16" ht="12.75">
      <c r="A691" s="4" t="s">
        <v>336</v>
      </c>
      <c r="B691" s="4" t="s">
        <v>865</v>
      </c>
      <c r="C691" s="4" t="s">
        <v>866</v>
      </c>
      <c r="D691" s="150">
        <v>10.443274000000001</v>
      </c>
      <c r="E691" s="150">
        <v>33.241616</v>
      </c>
      <c r="F691" s="150" t="s">
        <v>521</v>
      </c>
      <c r="G691" s="4" t="s">
        <v>867</v>
      </c>
      <c r="H691" s="4" t="s">
        <v>691</v>
      </c>
      <c r="I691" s="4" t="s">
        <v>691</v>
      </c>
      <c r="J691" s="4" t="s">
        <v>869</v>
      </c>
      <c r="K691" s="4" t="s">
        <v>828</v>
      </c>
      <c r="L691" s="4" t="str">
        <f>VLOOKUP($K691,'Property names'!$A$1:$D$99,2,FALSE)</f>
        <v>Concentration of nitrogen.</v>
      </c>
      <c r="M691" s="4" t="str">
        <f>VLOOKUP($K691,'Property names'!$A$1:$D$99,3,FALSE)</f>
        <v>Parts per million</v>
      </c>
      <c r="N691" s="4" t="str">
        <f>VLOOKUP($K691,'Property names'!$A$1:$D$99,4,FALSE)</f>
        <v>ppm</v>
      </c>
      <c r="O691" s="4" t="str">
        <f t="shared" si="14"/>
        <v>WWQ_1_TS046_nitrate</v>
      </c>
      <c r="P691" s="4" t="str">
        <f t="shared" si="15"/>
        <v>The datastream containing mesures of field WWQ 1 by sensor TS046 which measures NO4 / Nitrate.</v>
      </c>
    </row>
    <row r="692" spans="1:16" ht="12.75">
      <c r="A692" s="4" t="s">
        <v>336</v>
      </c>
      <c r="B692" s="4" t="s">
        <v>865</v>
      </c>
      <c r="C692" s="4" t="s">
        <v>866</v>
      </c>
      <c r="D692" s="150">
        <v>10.443274000000001</v>
      </c>
      <c r="E692" s="150">
        <v>33.241616</v>
      </c>
      <c r="F692" s="150" t="s">
        <v>521</v>
      </c>
      <c r="G692" s="4" t="s">
        <v>867</v>
      </c>
      <c r="H692" s="4" t="s">
        <v>691</v>
      </c>
      <c r="I692" s="4" t="s">
        <v>691</v>
      </c>
      <c r="J692" s="4" t="s">
        <v>870</v>
      </c>
      <c r="K692" s="4" t="s">
        <v>831</v>
      </c>
      <c r="L692" s="4" t="str">
        <f>VLOOKUP($K692,'Property names'!$A$1:$D$99,2,FALSE)</f>
        <v>The depth at which the water table is found beneath the Earth's surface.</v>
      </c>
      <c r="M692" s="4" t="str">
        <f>VLOOKUP($K692,'Property names'!$A$1:$D$99,3,FALSE)</f>
        <v>Meters</v>
      </c>
      <c r="N692" s="4" t="str">
        <f>VLOOKUP($K692,'Property names'!$A$1:$D$99,4,FALSE)</f>
        <v>m</v>
      </c>
      <c r="O692" s="4" t="str">
        <f t="shared" si="14"/>
        <v>WWQ_1_TS046_water_level</v>
      </c>
      <c r="P692" s="4" t="str">
        <f t="shared" si="15"/>
        <v>The datastream containing mesures of field WWQ 1 by sensor TS046 which measures Groundwater Level.</v>
      </c>
    </row>
    <row r="693" spans="1:16" ht="12.75">
      <c r="A693" s="4" t="s">
        <v>336</v>
      </c>
      <c r="B693" s="4" t="s">
        <v>871</v>
      </c>
      <c r="C693" s="4" t="s">
        <v>866</v>
      </c>
      <c r="D693" s="150">
        <v>10.371316</v>
      </c>
      <c r="E693" s="150">
        <v>33.306815999999998</v>
      </c>
      <c r="F693" s="150" t="s">
        <v>531</v>
      </c>
      <c r="G693" s="4" t="s">
        <v>867</v>
      </c>
      <c r="H693" s="4" t="s">
        <v>691</v>
      </c>
      <c r="I693" s="4" t="s">
        <v>691</v>
      </c>
      <c r="J693" s="4" t="s">
        <v>821</v>
      </c>
      <c r="K693" s="4" t="s">
        <v>822</v>
      </c>
      <c r="L693" s="4" t="str">
        <f>VLOOKUP($K693,'Property names'!$A$1:$D$99,2,FALSE)</f>
        <v>Measure of the acidity or alkalinity of a solution.</v>
      </c>
      <c r="M693" s="4" t="str">
        <f>VLOOKUP($K693,'Property names'!$A$1:$D$99,3,FALSE)</f>
        <v>-</v>
      </c>
      <c r="N693" s="4" t="str">
        <f>VLOOKUP($K693,'Property names'!$A$1:$D$99,4,FALSE)</f>
        <v>-</v>
      </c>
      <c r="O693" s="4" t="str">
        <f t="shared" si="14"/>
        <v>WWQ_2_TS047_ph</v>
      </c>
      <c r="P693" s="4" t="str">
        <f t="shared" si="15"/>
        <v>The datastream containing mesures of field WWQ 2 by sensor TS047 which measures pH.</v>
      </c>
    </row>
    <row r="694" spans="1:16" ht="12.75">
      <c r="A694" s="4" t="s">
        <v>336</v>
      </c>
      <c r="B694" s="4" t="s">
        <v>871</v>
      </c>
      <c r="C694" s="4" t="s">
        <v>866</v>
      </c>
      <c r="D694" s="150">
        <v>10.371316</v>
      </c>
      <c r="E694" s="150">
        <v>33.306815999999998</v>
      </c>
      <c r="F694" s="150" t="s">
        <v>531</v>
      </c>
      <c r="G694" s="4" t="s">
        <v>867</v>
      </c>
      <c r="H694" s="4" t="s">
        <v>691</v>
      </c>
      <c r="I694" s="4" t="s">
        <v>691</v>
      </c>
      <c r="J694" s="4" t="s">
        <v>829</v>
      </c>
      <c r="K694" s="4" t="s">
        <v>705</v>
      </c>
      <c r="L694" s="4" t="str">
        <f>VLOOKUP($K694,'Property names'!$A$1:$D$99,2,FALSE)</f>
        <v>The measure of the hotness or coldness of something.</v>
      </c>
      <c r="M694" s="4" t="str">
        <f>VLOOKUP($K694,'Property names'!$A$1:$D$99,3,FALSE)</f>
        <v>Degrees Celsius</v>
      </c>
      <c r="N694" s="4" t="str">
        <f>VLOOKUP($K694,'Property names'!$A$1:$D$99,4,FALSE)</f>
        <v>ºC</v>
      </c>
      <c r="O694" s="4" t="str">
        <f t="shared" si="14"/>
        <v>WWQ_2_TS047_temperature</v>
      </c>
      <c r="P694" s="4" t="str">
        <f t="shared" si="15"/>
        <v>The datastream containing mesures of field WWQ 2 by sensor TS047 which measures Temperature.</v>
      </c>
    </row>
    <row r="695" spans="1:16" ht="12.75">
      <c r="A695" s="4" t="s">
        <v>336</v>
      </c>
      <c r="B695" s="4" t="s">
        <v>871</v>
      </c>
      <c r="C695" s="4" t="s">
        <v>866</v>
      </c>
      <c r="D695" s="150">
        <v>10.371316</v>
      </c>
      <c r="E695" s="150">
        <v>33.306815999999998</v>
      </c>
      <c r="F695" s="150" t="s">
        <v>531</v>
      </c>
      <c r="G695" s="4" t="s">
        <v>867</v>
      </c>
      <c r="H695" s="4" t="s">
        <v>691</v>
      </c>
      <c r="I695" s="4" t="s">
        <v>691</v>
      </c>
      <c r="J695" s="4" t="s">
        <v>868</v>
      </c>
      <c r="K695" s="4" t="s">
        <v>824</v>
      </c>
      <c r="L695" s="4" t="str">
        <f>VLOOKUP($K695,'Property names'!$A$1:$D$99,2,FALSE)</f>
        <v>Measure of the ability of a solution to conduct electricity.</v>
      </c>
      <c r="M695" s="4" t="str">
        <f>VLOOKUP($K695,'Property names'!$A$1:$D$99,3,FALSE)</f>
        <v>Siemens per meter</v>
      </c>
      <c r="N695" s="4" t="str">
        <f>VLOOKUP($K695,'Property names'!$A$1:$D$99,4,FALSE)</f>
        <v>S/m</v>
      </c>
      <c r="O695" s="4" t="str">
        <f t="shared" si="14"/>
        <v>WWQ_2_TS047_electric_conductivity</v>
      </c>
      <c r="P695" s="4" t="str">
        <f t="shared" si="15"/>
        <v>The datastream containing mesures of field WWQ 2 by sensor TS047 which measures Electric Conductivity.</v>
      </c>
    </row>
    <row r="696" spans="1:16" ht="12.75">
      <c r="A696" s="4" t="s">
        <v>336</v>
      </c>
      <c r="B696" s="4" t="s">
        <v>871</v>
      </c>
      <c r="C696" s="4" t="s">
        <v>866</v>
      </c>
      <c r="D696" s="150">
        <v>10.371316</v>
      </c>
      <c r="E696" s="150">
        <v>33.306815999999998</v>
      </c>
      <c r="F696" s="150" t="s">
        <v>531</v>
      </c>
      <c r="G696" s="4" t="s">
        <v>867</v>
      </c>
      <c r="H696" s="4" t="s">
        <v>691</v>
      </c>
      <c r="I696" s="4" t="s">
        <v>691</v>
      </c>
      <c r="J696" s="4" t="s">
        <v>869</v>
      </c>
      <c r="K696" s="4" t="s">
        <v>828</v>
      </c>
      <c r="L696" s="4" t="str">
        <f>VLOOKUP($K696,'Property names'!$A$1:$D$99,2,FALSE)</f>
        <v>Concentration of nitrogen.</v>
      </c>
      <c r="M696" s="4" t="str">
        <f>VLOOKUP($K696,'Property names'!$A$1:$D$99,3,FALSE)</f>
        <v>Parts per million</v>
      </c>
      <c r="N696" s="4" t="str">
        <f>VLOOKUP($K696,'Property names'!$A$1:$D$99,4,FALSE)</f>
        <v>ppm</v>
      </c>
      <c r="O696" s="4" t="str">
        <f t="shared" si="14"/>
        <v>WWQ_2_TS047_nitrate</v>
      </c>
      <c r="P696" s="4" t="str">
        <f t="shared" si="15"/>
        <v>The datastream containing mesures of field WWQ 2 by sensor TS047 which measures NO4 / Nitrate.</v>
      </c>
    </row>
    <row r="697" spans="1:16" ht="12.75">
      <c r="A697" s="4" t="s">
        <v>336</v>
      </c>
      <c r="B697" s="4" t="s">
        <v>871</v>
      </c>
      <c r="C697" s="4" t="s">
        <v>866</v>
      </c>
      <c r="D697" s="150">
        <v>10.371316</v>
      </c>
      <c r="E697" s="150">
        <v>33.306815999999998</v>
      </c>
      <c r="F697" s="150" t="s">
        <v>531</v>
      </c>
      <c r="G697" s="4" t="s">
        <v>867</v>
      </c>
      <c r="H697" s="4" t="s">
        <v>691</v>
      </c>
      <c r="I697" s="4" t="s">
        <v>691</v>
      </c>
      <c r="J697" s="4" t="s">
        <v>870</v>
      </c>
      <c r="K697" s="4" t="s">
        <v>831</v>
      </c>
      <c r="L697" s="4" t="str">
        <f>VLOOKUP($K697,'Property names'!$A$1:$D$99,2,FALSE)</f>
        <v>The depth at which the water table is found beneath the Earth's surface.</v>
      </c>
      <c r="M697" s="4" t="str">
        <f>VLOOKUP($K697,'Property names'!$A$1:$D$99,3,FALSE)</f>
        <v>Meters</v>
      </c>
      <c r="N697" s="4" t="str">
        <f>VLOOKUP($K697,'Property names'!$A$1:$D$99,4,FALSE)</f>
        <v>m</v>
      </c>
      <c r="O697" s="4" t="str">
        <f t="shared" si="14"/>
        <v>WWQ_2_TS047_water_level</v>
      </c>
      <c r="P697" s="4" t="str">
        <f t="shared" si="15"/>
        <v>The datastream containing mesures of field WWQ 2 by sensor TS047 which measures Groundwater Level.</v>
      </c>
    </row>
    <row r="698" spans="1:16" ht="12.75">
      <c r="G698" s="4"/>
      <c r="L698" s="4"/>
      <c r="O698" s="4"/>
    </row>
    <row r="699" spans="1:16" ht="12.75">
      <c r="G699" s="4"/>
      <c r="L699" s="4"/>
      <c r="O699" s="4"/>
    </row>
    <row r="700" spans="1:16" ht="12.75">
      <c r="G700" s="4"/>
      <c r="L700" s="4"/>
      <c r="O700" s="4"/>
    </row>
    <row r="701" spans="1:16" ht="12.75">
      <c r="G701" s="4"/>
      <c r="L701" s="4"/>
      <c r="O701" s="4"/>
    </row>
    <row r="702" spans="1:16" ht="12.75">
      <c r="G702" s="4"/>
      <c r="L702" s="4"/>
      <c r="O702" s="4"/>
    </row>
    <row r="703" spans="1:16" ht="12.75">
      <c r="G703" s="4"/>
      <c r="L703" s="4"/>
      <c r="O703" s="4"/>
    </row>
    <row r="704" spans="1:16" ht="12.75">
      <c r="G704" s="4"/>
      <c r="L704" s="4"/>
      <c r="O704" s="4"/>
    </row>
    <row r="705" spans="7:15" ht="12.75">
      <c r="G705" s="4"/>
      <c r="L705" s="4"/>
      <c r="O705" s="4"/>
    </row>
    <row r="706" spans="7:15" ht="12.75">
      <c r="G706" s="4"/>
      <c r="L706" s="4"/>
      <c r="O706" s="4"/>
    </row>
    <row r="707" spans="7:15" ht="12.75">
      <c r="G707" s="4"/>
      <c r="L707" s="4"/>
      <c r="O707" s="4"/>
    </row>
    <row r="708" spans="7:15" ht="12.75">
      <c r="G708" s="4"/>
      <c r="L708" s="4"/>
      <c r="O708" s="4"/>
    </row>
    <row r="709" spans="7:15" ht="12.75">
      <c r="G709" s="4"/>
      <c r="L709" s="4"/>
      <c r="O709" s="4"/>
    </row>
    <row r="710" spans="7:15" ht="12.75">
      <c r="G710" s="4"/>
      <c r="L710" s="4"/>
      <c r="O710" s="4"/>
    </row>
    <row r="711" spans="7:15" ht="12.75">
      <c r="G711" s="4"/>
      <c r="L711" s="4"/>
      <c r="O711" s="4"/>
    </row>
    <row r="712" spans="7:15" ht="12.75">
      <c r="G712" s="4"/>
      <c r="L712" s="4"/>
      <c r="O712" s="4"/>
    </row>
    <row r="713" spans="7:15" ht="12.75">
      <c r="G713" s="4"/>
      <c r="L713" s="4"/>
      <c r="O713" s="4"/>
    </row>
    <row r="714" spans="7:15" ht="12.75">
      <c r="G714" s="4"/>
      <c r="L714" s="4"/>
      <c r="O714" s="4"/>
    </row>
    <row r="715" spans="7:15" ht="12.75">
      <c r="G715" s="4"/>
      <c r="L715" s="4"/>
      <c r="O715" s="4"/>
    </row>
    <row r="716" spans="7:15" ht="12.75">
      <c r="G716" s="4"/>
      <c r="L716" s="4"/>
      <c r="O716" s="4"/>
    </row>
    <row r="717" spans="7:15" ht="12.75">
      <c r="G717" s="4"/>
      <c r="L717" s="4"/>
      <c r="O717" s="4"/>
    </row>
    <row r="718" spans="7:15" ht="12.75">
      <c r="G718" s="4"/>
      <c r="L718" s="4"/>
      <c r="O718" s="4"/>
    </row>
    <row r="719" spans="7:15" ht="12.75">
      <c r="G719" s="4"/>
      <c r="L719" s="4"/>
      <c r="O719" s="4"/>
    </row>
    <row r="720" spans="7:15" ht="12.75">
      <c r="G720" s="4"/>
      <c r="L720" s="4"/>
      <c r="O720" s="4"/>
    </row>
    <row r="721" spans="7:15" ht="12.75">
      <c r="G721" s="4"/>
      <c r="L721" s="4"/>
      <c r="O721" s="4"/>
    </row>
    <row r="722" spans="7:15" ht="12.75">
      <c r="G722" s="4"/>
      <c r="L722" s="4"/>
      <c r="O722" s="4"/>
    </row>
    <row r="723" spans="7:15" ht="12.75">
      <c r="G723" s="4"/>
      <c r="L723" s="4"/>
      <c r="O723" s="4"/>
    </row>
    <row r="724" spans="7:15" ht="12.75">
      <c r="G724" s="4"/>
      <c r="L724" s="4"/>
      <c r="O724" s="4"/>
    </row>
    <row r="725" spans="7:15" ht="12.75">
      <c r="G725" s="4"/>
      <c r="L725" s="4"/>
      <c r="O725" s="4"/>
    </row>
    <row r="726" spans="7:15" ht="12.75">
      <c r="G726" s="4"/>
      <c r="L726" s="4"/>
      <c r="O726" s="4"/>
    </row>
    <row r="727" spans="7:15" ht="12.75">
      <c r="G727" s="4"/>
      <c r="L727" s="4"/>
      <c r="O727" s="4"/>
    </row>
    <row r="728" spans="7:15" ht="12.75">
      <c r="G728" s="4"/>
      <c r="L728" s="4"/>
      <c r="O728" s="4"/>
    </row>
    <row r="729" spans="7:15" ht="12.75">
      <c r="G729" s="4"/>
      <c r="L729" s="4"/>
      <c r="O729" s="4"/>
    </row>
    <row r="730" spans="7:15" ht="12.75">
      <c r="G730" s="4"/>
      <c r="L730" s="4"/>
      <c r="O730" s="4"/>
    </row>
    <row r="731" spans="7:15" ht="12.75">
      <c r="G731" s="4"/>
      <c r="L731" s="4"/>
      <c r="O731" s="4"/>
    </row>
    <row r="732" spans="7:15" ht="12.75">
      <c r="G732" s="4"/>
      <c r="L732" s="4"/>
      <c r="O732" s="4"/>
    </row>
    <row r="733" spans="7:15" ht="12.75">
      <c r="G733" s="4"/>
      <c r="L733" s="4"/>
      <c r="O733" s="4"/>
    </row>
    <row r="734" spans="7:15" ht="12.75">
      <c r="G734" s="4"/>
      <c r="L734" s="4"/>
      <c r="O734" s="4"/>
    </row>
    <row r="735" spans="7:15" ht="12.75">
      <c r="G735" s="4"/>
      <c r="L735" s="4"/>
      <c r="O735" s="4"/>
    </row>
    <row r="736" spans="7:15" ht="12.75">
      <c r="G736" s="4"/>
      <c r="L736" s="4"/>
      <c r="O736" s="4"/>
    </row>
    <row r="737" spans="7:15" ht="12.75">
      <c r="G737" s="4"/>
      <c r="L737" s="4"/>
      <c r="O737" s="4"/>
    </row>
    <row r="738" spans="7:15" ht="12.75">
      <c r="G738" s="4"/>
      <c r="L738" s="4"/>
      <c r="O738" s="4"/>
    </row>
    <row r="739" spans="7:15" ht="12.75">
      <c r="G739" s="4"/>
      <c r="L739" s="4"/>
      <c r="O739" s="4"/>
    </row>
    <row r="740" spans="7:15" ht="12.75">
      <c r="G740" s="4"/>
      <c r="L740" s="4"/>
      <c r="O740" s="4"/>
    </row>
    <row r="741" spans="7:15" ht="12.75">
      <c r="G741" s="4"/>
      <c r="L741" s="4"/>
      <c r="O741" s="4"/>
    </row>
    <row r="742" spans="7:15" ht="12.75">
      <c r="G742" s="4"/>
      <c r="L742" s="4"/>
      <c r="O742" s="4"/>
    </row>
    <row r="743" spans="7:15" ht="12.75">
      <c r="G743" s="4"/>
      <c r="L743" s="4"/>
      <c r="O743" s="4"/>
    </row>
    <row r="744" spans="7:15" ht="12.75">
      <c r="G744" s="4"/>
      <c r="L744" s="4"/>
      <c r="O744" s="4"/>
    </row>
    <row r="745" spans="7:15" ht="12.75">
      <c r="G745" s="4"/>
      <c r="L745" s="4"/>
      <c r="O745" s="4"/>
    </row>
    <row r="746" spans="7:15" ht="12.75">
      <c r="G746" s="4"/>
      <c r="L746" s="4"/>
      <c r="O746" s="4"/>
    </row>
    <row r="747" spans="7:15" ht="12.75">
      <c r="G747" s="4"/>
      <c r="L747" s="4"/>
      <c r="O747" s="4"/>
    </row>
    <row r="748" spans="7:15" ht="12.75">
      <c r="G748" s="4"/>
      <c r="L748" s="4"/>
      <c r="O748" s="4"/>
    </row>
    <row r="749" spans="7:15" ht="12.75">
      <c r="G749" s="4"/>
      <c r="L749" s="4"/>
      <c r="O749" s="4"/>
    </row>
    <row r="750" spans="7:15" ht="12.75">
      <c r="G750" s="4"/>
      <c r="L750" s="4"/>
      <c r="O750" s="4"/>
    </row>
    <row r="751" spans="7:15" ht="12.75">
      <c r="G751" s="4"/>
      <c r="L751" s="4"/>
      <c r="O751" s="4"/>
    </row>
    <row r="752" spans="7:15" ht="12.75">
      <c r="G752" s="4"/>
      <c r="L752" s="4"/>
      <c r="O752" s="4"/>
    </row>
    <row r="753" spans="7:15" ht="12.75">
      <c r="G753" s="4"/>
      <c r="L753" s="4"/>
      <c r="O753" s="4"/>
    </row>
    <row r="754" spans="7:15" ht="12.75">
      <c r="G754" s="4"/>
      <c r="L754" s="4"/>
      <c r="O754" s="4"/>
    </row>
    <row r="755" spans="7:15" ht="12.75">
      <c r="G755" s="4"/>
      <c r="L755" s="4"/>
      <c r="O755" s="4"/>
    </row>
    <row r="756" spans="7:15" ht="12.75">
      <c r="G756" s="4"/>
      <c r="L756" s="4"/>
      <c r="O756" s="4"/>
    </row>
    <row r="757" spans="7:15" ht="12.75">
      <c r="G757" s="4"/>
      <c r="L757" s="4"/>
      <c r="O757" s="4"/>
    </row>
    <row r="758" spans="7:15" ht="12.75">
      <c r="G758" s="4"/>
      <c r="L758" s="4"/>
      <c r="O758" s="4"/>
    </row>
    <row r="759" spans="7:15" ht="12.75">
      <c r="G759" s="4"/>
      <c r="L759" s="4"/>
      <c r="O759" s="4"/>
    </row>
    <row r="760" spans="7:15" ht="12.75">
      <c r="G760" s="4"/>
      <c r="L760" s="4"/>
      <c r="O760" s="4"/>
    </row>
    <row r="761" spans="7:15" ht="12.75">
      <c r="G761" s="4"/>
      <c r="L761" s="4"/>
      <c r="O761" s="4"/>
    </row>
    <row r="762" spans="7:15" ht="12.75">
      <c r="G762" s="4"/>
      <c r="L762" s="4"/>
      <c r="O762" s="4"/>
    </row>
    <row r="763" spans="7:15" ht="12.75">
      <c r="G763" s="4"/>
      <c r="L763" s="4"/>
      <c r="O763" s="4"/>
    </row>
    <row r="764" spans="7:15" ht="12.75">
      <c r="G764" s="4"/>
      <c r="L764" s="4"/>
      <c r="O764" s="4"/>
    </row>
    <row r="765" spans="7:15" ht="12.75">
      <c r="G765" s="4"/>
      <c r="L765" s="4"/>
      <c r="O765" s="4"/>
    </row>
    <row r="766" spans="7:15" ht="12.75">
      <c r="G766" s="4"/>
      <c r="L766" s="4"/>
      <c r="O766" s="4"/>
    </row>
    <row r="767" spans="7:15" ht="12.75">
      <c r="G767" s="4"/>
      <c r="L767" s="4"/>
      <c r="O767" s="4"/>
    </row>
    <row r="768" spans="7:15" ht="12.75">
      <c r="G768" s="4"/>
      <c r="L768" s="4"/>
      <c r="O768" s="4"/>
    </row>
    <row r="769" spans="7:15" ht="12.75">
      <c r="G769" s="4"/>
      <c r="L769" s="4"/>
      <c r="O769" s="4"/>
    </row>
    <row r="770" spans="7:15" ht="12.75">
      <c r="G770" s="4"/>
      <c r="L770" s="4"/>
      <c r="O770" s="4"/>
    </row>
    <row r="771" spans="7:15" ht="12.75">
      <c r="G771" s="4"/>
      <c r="L771" s="4"/>
      <c r="O771" s="4"/>
    </row>
    <row r="772" spans="7:15" ht="12.75">
      <c r="G772" s="4"/>
      <c r="L772" s="4"/>
      <c r="O772" s="4"/>
    </row>
    <row r="773" spans="7:15" ht="12.75">
      <c r="G773" s="4"/>
      <c r="L773" s="4"/>
      <c r="O773" s="4"/>
    </row>
    <row r="774" spans="7:15" ht="12.75">
      <c r="G774" s="4"/>
      <c r="L774" s="4"/>
      <c r="O774" s="4"/>
    </row>
    <row r="775" spans="7:15" ht="12.75">
      <c r="G775" s="4"/>
      <c r="L775" s="4"/>
      <c r="O775" s="4"/>
    </row>
    <row r="776" spans="7:15" ht="12.75">
      <c r="G776" s="4"/>
      <c r="L776" s="4"/>
      <c r="O776" s="4"/>
    </row>
    <row r="777" spans="7:15" ht="12.75">
      <c r="G777" s="4"/>
      <c r="L777" s="4"/>
      <c r="O777" s="4"/>
    </row>
    <row r="778" spans="7:15" ht="12.75">
      <c r="G778" s="4"/>
      <c r="L778" s="4"/>
      <c r="O778" s="4"/>
    </row>
    <row r="779" spans="7:15" ht="12.75">
      <c r="G779" s="4"/>
      <c r="L779" s="4"/>
      <c r="O779" s="4"/>
    </row>
    <row r="780" spans="7:15" ht="12.75">
      <c r="G780" s="4"/>
      <c r="L780" s="4"/>
      <c r="O780" s="4"/>
    </row>
    <row r="781" spans="7:15" ht="12.75">
      <c r="G781" s="4"/>
      <c r="L781" s="4"/>
      <c r="O781" s="4"/>
    </row>
    <row r="782" spans="7:15" ht="12.75">
      <c r="G782" s="4"/>
      <c r="L782" s="4"/>
      <c r="O782" s="4"/>
    </row>
    <row r="783" spans="7:15" ht="12.75">
      <c r="G783" s="4"/>
      <c r="L783" s="4"/>
      <c r="O783" s="4"/>
    </row>
    <row r="784" spans="7:15" ht="12.75">
      <c r="G784" s="4"/>
      <c r="L784" s="4"/>
      <c r="O784" s="4"/>
    </row>
    <row r="785" spans="7:15" ht="12.75">
      <c r="G785" s="4"/>
      <c r="L785" s="4"/>
      <c r="O785" s="4"/>
    </row>
    <row r="786" spans="7:15" ht="12.75">
      <c r="G786" s="4"/>
      <c r="L786" s="4"/>
      <c r="O786" s="4"/>
    </row>
    <row r="787" spans="7:15" ht="12.75">
      <c r="G787" s="4"/>
      <c r="L787" s="4"/>
      <c r="O787" s="4"/>
    </row>
    <row r="788" spans="7:15" ht="12.75">
      <c r="G788" s="4"/>
      <c r="L788" s="4"/>
      <c r="O788" s="4"/>
    </row>
    <row r="789" spans="7:15" ht="12.75">
      <c r="G789" s="4"/>
      <c r="L789" s="4"/>
      <c r="O789" s="4"/>
    </row>
    <row r="790" spans="7:15" ht="12.75">
      <c r="G790" s="4"/>
      <c r="L790" s="4"/>
      <c r="O790" s="4"/>
    </row>
    <row r="791" spans="7:15" ht="12.75">
      <c r="G791" s="4"/>
      <c r="L791" s="4"/>
      <c r="O791" s="4"/>
    </row>
    <row r="792" spans="7:15" ht="12.75">
      <c r="G792" s="4"/>
      <c r="L792" s="4"/>
      <c r="O792" s="4"/>
    </row>
    <row r="793" spans="7:15" ht="12.75">
      <c r="G793" s="4"/>
      <c r="L793" s="4"/>
      <c r="O793" s="4"/>
    </row>
    <row r="794" spans="7:15" ht="12.75">
      <c r="G794" s="4"/>
      <c r="L794" s="4"/>
      <c r="O794" s="4"/>
    </row>
    <row r="795" spans="7:15" ht="12.75">
      <c r="G795" s="4"/>
      <c r="L795" s="4"/>
      <c r="O795" s="4"/>
    </row>
    <row r="796" spans="7:15" ht="12.75">
      <c r="G796" s="4"/>
      <c r="L796" s="4"/>
      <c r="O796" s="4"/>
    </row>
    <row r="797" spans="7:15" ht="12.75">
      <c r="G797" s="4"/>
      <c r="L797" s="4"/>
      <c r="O797" s="4"/>
    </row>
    <row r="798" spans="7:15" ht="12.75">
      <c r="G798" s="4"/>
      <c r="L798" s="4"/>
      <c r="O798" s="4"/>
    </row>
    <row r="799" spans="7:15" ht="12.75">
      <c r="G799" s="4"/>
      <c r="L799" s="4"/>
      <c r="O799" s="4"/>
    </row>
    <row r="800" spans="7:15" ht="12.75">
      <c r="G800" s="4"/>
      <c r="L800" s="4"/>
      <c r="O800" s="4"/>
    </row>
    <row r="801" spans="7:15" ht="12.75">
      <c r="G801" s="4"/>
      <c r="L801" s="4"/>
      <c r="O801" s="4"/>
    </row>
    <row r="802" spans="7:15" ht="12.75">
      <c r="G802" s="4"/>
      <c r="L802" s="4"/>
      <c r="O802" s="4"/>
    </row>
    <row r="803" spans="7:15" ht="12.75">
      <c r="G803" s="4"/>
      <c r="L803" s="4"/>
      <c r="O803" s="4"/>
    </row>
    <row r="804" spans="7:15" ht="12.75">
      <c r="G804" s="4"/>
      <c r="L804" s="4"/>
      <c r="O804" s="4"/>
    </row>
    <row r="805" spans="7:15" ht="12.75">
      <c r="G805" s="4"/>
      <c r="L805" s="4"/>
      <c r="O805" s="4"/>
    </row>
    <row r="806" spans="7:15" ht="12.75">
      <c r="G806" s="4"/>
      <c r="L806" s="4"/>
      <c r="O806" s="4"/>
    </row>
    <row r="807" spans="7:15" ht="12.75">
      <c r="G807" s="4"/>
      <c r="L807" s="4"/>
      <c r="O807" s="4"/>
    </row>
    <row r="808" spans="7:15" ht="12.75">
      <c r="G808" s="4"/>
      <c r="L808" s="4"/>
      <c r="O808" s="4"/>
    </row>
    <row r="809" spans="7:15" ht="12.75">
      <c r="G809" s="4"/>
      <c r="L809" s="4"/>
      <c r="O809" s="4"/>
    </row>
    <row r="810" spans="7:15" ht="12.75">
      <c r="G810" s="4"/>
      <c r="L810" s="4"/>
      <c r="O810" s="4"/>
    </row>
    <row r="811" spans="7:15" ht="12.75">
      <c r="G811" s="4"/>
      <c r="L811" s="4"/>
      <c r="O811" s="4"/>
    </row>
    <row r="812" spans="7:15" ht="12.75">
      <c r="G812" s="4"/>
      <c r="L812" s="4"/>
      <c r="O812" s="4"/>
    </row>
    <row r="813" spans="7:15" ht="12.75">
      <c r="G813" s="4"/>
      <c r="L813" s="4"/>
      <c r="O813" s="4"/>
    </row>
    <row r="814" spans="7:15" ht="12.75">
      <c r="G814" s="4"/>
      <c r="L814" s="4"/>
      <c r="O814" s="4"/>
    </row>
    <row r="815" spans="7:15" ht="12.75">
      <c r="G815" s="4"/>
      <c r="L815" s="4"/>
      <c r="O815" s="4"/>
    </row>
    <row r="816" spans="7:15" ht="12.75">
      <c r="G816" s="4"/>
      <c r="L816" s="4"/>
      <c r="O816" s="4"/>
    </row>
    <row r="817" spans="7:15" ht="12.75">
      <c r="G817" s="4"/>
      <c r="L817" s="4"/>
      <c r="O817" s="4"/>
    </row>
    <row r="818" spans="7:15" ht="12.75">
      <c r="G818" s="4"/>
      <c r="L818" s="4"/>
      <c r="O818" s="4"/>
    </row>
    <row r="819" spans="7:15" ht="12.75">
      <c r="G819" s="4"/>
      <c r="L819" s="4"/>
      <c r="O819" s="4"/>
    </row>
    <row r="820" spans="7:15" ht="12.75">
      <c r="G820" s="4"/>
      <c r="L820" s="4"/>
      <c r="O820" s="4"/>
    </row>
    <row r="821" spans="7:15" ht="12.75">
      <c r="G821" s="4"/>
      <c r="L821" s="4"/>
      <c r="O821" s="4"/>
    </row>
    <row r="822" spans="7:15" ht="12.75">
      <c r="G822" s="4"/>
      <c r="L822" s="4"/>
      <c r="O822" s="4"/>
    </row>
    <row r="823" spans="7:15" ht="12.75">
      <c r="G823" s="4"/>
      <c r="L823" s="4"/>
      <c r="O823" s="4"/>
    </row>
    <row r="824" spans="7:15" ht="12.75">
      <c r="G824" s="4"/>
      <c r="L824" s="4"/>
      <c r="O824" s="4"/>
    </row>
    <row r="825" spans="7:15" ht="12.75">
      <c r="G825" s="4"/>
      <c r="L825" s="4"/>
      <c r="O825" s="4"/>
    </row>
    <row r="826" spans="7:15" ht="12.75">
      <c r="G826" s="4"/>
      <c r="L826" s="4"/>
      <c r="O826" s="4"/>
    </row>
    <row r="827" spans="7:15" ht="12.75">
      <c r="G827" s="4"/>
      <c r="L827" s="4"/>
      <c r="O827" s="4"/>
    </row>
    <row r="828" spans="7:15" ht="12.75">
      <c r="G828" s="4"/>
      <c r="L828" s="4"/>
      <c r="O828" s="4"/>
    </row>
    <row r="829" spans="7:15" ht="12.75">
      <c r="G829" s="4"/>
      <c r="L829" s="4"/>
      <c r="O829" s="4"/>
    </row>
    <row r="830" spans="7:15" ht="12.75">
      <c r="G830" s="4"/>
      <c r="L830" s="4"/>
      <c r="O830" s="4"/>
    </row>
    <row r="831" spans="7:15" ht="12.75">
      <c r="G831" s="4"/>
      <c r="L831" s="4"/>
      <c r="O831" s="4"/>
    </row>
    <row r="832" spans="7:15" ht="12.75">
      <c r="G832" s="4"/>
      <c r="L832" s="4"/>
      <c r="O832" s="4"/>
    </row>
    <row r="833" spans="7:15" ht="12.75">
      <c r="G833" s="4"/>
      <c r="L833" s="4"/>
      <c r="O833" s="4"/>
    </row>
    <row r="834" spans="7:15" ht="12.75">
      <c r="G834" s="4"/>
      <c r="L834" s="4"/>
      <c r="O834" s="4"/>
    </row>
    <row r="835" spans="7:15" ht="12.75">
      <c r="G835" s="4"/>
      <c r="L835" s="4"/>
      <c r="O835" s="4"/>
    </row>
    <row r="836" spans="7:15" ht="12.75">
      <c r="G836" s="4"/>
      <c r="L836" s="4"/>
      <c r="O836" s="4"/>
    </row>
    <row r="837" spans="7:15" ht="12.75">
      <c r="G837" s="4"/>
      <c r="L837" s="4"/>
      <c r="O837" s="4"/>
    </row>
    <row r="838" spans="7:15" ht="12.75">
      <c r="G838" s="4"/>
      <c r="L838" s="4"/>
      <c r="O838" s="4"/>
    </row>
    <row r="839" spans="7:15" ht="12.75">
      <c r="G839" s="4"/>
      <c r="L839" s="4"/>
      <c r="O839" s="4"/>
    </row>
    <row r="840" spans="7:15" ht="12.75">
      <c r="G840" s="4"/>
      <c r="L840" s="4"/>
      <c r="O840" s="4"/>
    </row>
    <row r="841" spans="7:15" ht="12.75">
      <c r="G841" s="4"/>
      <c r="L841" s="4"/>
      <c r="O841" s="4"/>
    </row>
    <row r="842" spans="7:15" ht="12.75">
      <c r="G842" s="4"/>
      <c r="L842" s="4"/>
      <c r="O842" s="4"/>
    </row>
    <row r="843" spans="7:15" ht="12.75">
      <c r="G843" s="4"/>
      <c r="L843" s="4"/>
      <c r="O843" s="4"/>
    </row>
    <row r="844" spans="7:15" ht="12.75">
      <c r="G844" s="4"/>
      <c r="L844" s="4"/>
      <c r="O844" s="4"/>
    </row>
    <row r="845" spans="7:15" ht="12.75">
      <c r="G845" s="4"/>
      <c r="L845" s="4"/>
      <c r="O845" s="4"/>
    </row>
    <row r="846" spans="7:15" ht="12.75">
      <c r="G846" s="4"/>
      <c r="L846" s="4"/>
      <c r="O846" s="4"/>
    </row>
    <row r="847" spans="7:15" ht="12.75">
      <c r="G847" s="4"/>
      <c r="L847" s="4"/>
      <c r="O847" s="4"/>
    </row>
    <row r="848" spans="7:15" ht="12.75">
      <c r="G848" s="4"/>
      <c r="L848" s="4"/>
      <c r="O848" s="4"/>
    </row>
    <row r="849" spans="7:15" ht="12.75">
      <c r="G849" s="4"/>
      <c r="L849" s="4"/>
      <c r="O849" s="4"/>
    </row>
    <row r="850" spans="7:15" ht="12.75">
      <c r="G850" s="4"/>
      <c r="L850" s="4"/>
      <c r="O850" s="4"/>
    </row>
    <row r="851" spans="7:15" ht="12.75">
      <c r="G851" s="4"/>
      <c r="L851" s="4"/>
      <c r="O851" s="4"/>
    </row>
    <row r="852" spans="7:15" ht="12.75">
      <c r="G852" s="4"/>
      <c r="L852" s="4"/>
      <c r="O852" s="4"/>
    </row>
    <row r="853" spans="7:15" ht="12.75">
      <c r="G853" s="4"/>
      <c r="L853" s="4"/>
      <c r="O853" s="4"/>
    </row>
    <row r="854" spans="7:15" ht="12.75">
      <c r="G854" s="4"/>
      <c r="L854" s="4"/>
      <c r="O854" s="4"/>
    </row>
    <row r="855" spans="7:15" ht="12.75">
      <c r="G855" s="4"/>
      <c r="L855" s="4"/>
      <c r="O855" s="4"/>
    </row>
    <row r="856" spans="7:15" ht="12.75">
      <c r="G856" s="4"/>
      <c r="L856" s="4"/>
      <c r="O856" s="4"/>
    </row>
    <row r="857" spans="7:15" ht="12.75">
      <c r="G857" s="4"/>
      <c r="L857" s="4"/>
      <c r="O857" s="4"/>
    </row>
    <row r="858" spans="7:15" ht="12.75">
      <c r="G858" s="4"/>
      <c r="L858" s="4"/>
      <c r="O858" s="4"/>
    </row>
    <row r="859" spans="7:15" ht="12.75">
      <c r="G859" s="4"/>
      <c r="L859" s="4"/>
      <c r="O859" s="4"/>
    </row>
    <row r="860" spans="7:15" ht="12.75">
      <c r="G860" s="4"/>
      <c r="L860" s="4"/>
      <c r="O860" s="4"/>
    </row>
    <row r="861" spans="7:15" ht="12.75">
      <c r="G861" s="4"/>
      <c r="L861" s="4"/>
      <c r="O861" s="4"/>
    </row>
    <row r="862" spans="7:15" ht="12.75">
      <c r="G862" s="4"/>
      <c r="L862" s="4"/>
      <c r="O862" s="4"/>
    </row>
    <row r="863" spans="7:15" ht="12.75">
      <c r="G863" s="4"/>
      <c r="L863" s="4"/>
      <c r="O863" s="4"/>
    </row>
    <row r="864" spans="7:15" ht="12.75">
      <c r="G864" s="4"/>
      <c r="L864" s="4"/>
      <c r="O864" s="4"/>
    </row>
    <row r="865" spans="7:15" ht="12.75">
      <c r="G865" s="4"/>
      <c r="L865" s="4"/>
      <c r="O865" s="4"/>
    </row>
    <row r="866" spans="7:15" ht="12.75">
      <c r="G866" s="4"/>
      <c r="L866" s="4"/>
      <c r="O866" s="4"/>
    </row>
    <row r="867" spans="7:15" ht="12.75">
      <c r="G867" s="4"/>
      <c r="L867" s="4"/>
      <c r="O867" s="4"/>
    </row>
    <row r="868" spans="7:15" ht="12.75">
      <c r="G868" s="4"/>
      <c r="L868" s="4"/>
      <c r="O868" s="4"/>
    </row>
    <row r="869" spans="7:15" ht="12.75">
      <c r="G869" s="4"/>
      <c r="L869" s="4"/>
      <c r="O869" s="4"/>
    </row>
    <row r="870" spans="7:15" ht="12.75">
      <c r="G870" s="4"/>
      <c r="L870" s="4"/>
      <c r="O870" s="4"/>
    </row>
    <row r="871" spans="7:15" ht="12.75">
      <c r="G871" s="4"/>
      <c r="L871" s="4"/>
      <c r="O871" s="4"/>
    </row>
    <row r="872" spans="7:15" ht="12.75">
      <c r="G872" s="4"/>
      <c r="L872" s="4"/>
      <c r="O872" s="4"/>
    </row>
    <row r="873" spans="7:15" ht="12.75">
      <c r="G873" s="4"/>
      <c r="L873" s="4"/>
      <c r="O873" s="4"/>
    </row>
    <row r="874" spans="7:15" ht="12.75">
      <c r="G874" s="4"/>
      <c r="L874" s="4"/>
      <c r="O874" s="4"/>
    </row>
    <row r="875" spans="7:15" ht="12.75">
      <c r="G875" s="4"/>
      <c r="L875" s="4"/>
      <c r="O875" s="4"/>
    </row>
    <row r="876" spans="7:15" ht="12.75">
      <c r="G876" s="4"/>
      <c r="L876" s="4"/>
      <c r="O876" s="4"/>
    </row>
    <row r="877" spans="7:15" ht="12.75">
      <c r="G877" s="4"/>
      <c r="L877" s="4"/>
      <c r="O877" s="4"/>
    </row>
    <row r="878" spans="7:15" ht="12.75">
      <c r="G878" s="4"/>
      <c r="L878" s="4"/>
      <c r="O878" s="4"/>
    </row>
    <row r="879" spans="7:15" ht="12.75">
      <c r="G879" s="4"/>
      <c r="L879" s="4"/>
      <c r="O879" s="4"/>
    </row>
    <row r="880" spans="7:15" ht="12.75">
      <c r="G880" s="4"/>
      <c r="L880" s="4"/>
      <c r="O880" s="4"/>
    </row>
    <row r="881" spans="7:15" ht="12.75">
      <c r="G881" s="4"/>
      <c r="L881" s="4"/>
      <c r="O881" s="4"/>
    </row>
    <row r="882" spans="7:15" ht="12.75">
      <c r="G882" s="4"/>
      <c r="L882" s="4"/>
      <c r="O882" s="4"/>
    </row>
    <row r="883" spans="7:15" ht="12.75">
      <c r="G883" s="4"/>
      <c r="L883" s="4"/>
      <c r="O883" s="4"/>
    </row>
    <row r="884" spans="7:15" ht="12.75">
      <c r="G884" s="4"/>
      <c r="L884" s="4"/>
      <c r="O884" s="4"/>
    </row>
    <row r="885" spans="7:15" ht="12.75">
      <c r="G885" s="4"/>
      <c r="L885" s="4"/>
      <c r="O885" s="4"/>
    </row>
    <row r="886" spans="7:15" ht="12.75">
      <c r="G886" s="4"/>
      <c r="L886" s="4"/>
      <c r="O886" s="4"/>
    </row>
    <row r="887" spans="7:15" ht="12.75">
      <c r="G887" s="4"/>
      <c r="L887" s="4"/>
      <c r="O887" s="4"/>
    </row>
    <row r="888" spans="7:15" ht="12.75">
      <c r="G888" s="4"/>
      <c r="L888" s="4"/>
      <c r="O888" s="4"/>
    </row>
    <row r="889" spans="7:15" ht="12.75">
      <c r="G889" s="4"/>
      <c r="L889" s="4"/>
      <c r="O889" s="4"/>
    </row>
    <row r="890" spans="7:15" ht="12.75">
      <c r="G890" s="4"/>
      <c r="L890" s="4"/>
      <c r="O890" s="4"/>
    </row>
    <row r="891" spans="7:15" ht="12.75">
      <c r="G891" s="4"/>
      <c r="L891" s="4"/>
      <c r="O891" s="4"/>
    </row>
    <row r="892" spans="7:15" ht="12.75">
      <c r="G892" s="4"/>
      <c r="L892" s="4"/>
      <c r="O892" s="4"/>
    </row>
    <row r="893" spans="7:15" ht="12.75">
      <c r="G893" s="4"/>
      <c r="L893" s="4"/>
      <c r="O893" s="4"/>
    </row>
    <row r="894" spans="7:15" ht="12.75">
      <c r="G894" s="4"/>
      <c r="L894" s="4"/>
      <c r="O894" s="4"/>
    </row>
    <row r="895" spans="7:15" ht="12.75">
      <c r="G895" s="4"/>
      <c r="L895" s="4"/>
      <c r="O895" s="4"/>
    </row>
    <row r="896" spans="7:15" ht="12.75">
      <c r="G896" s="4"/>
      <c r="L896" s="4"/>
      <c r="O896" s="4"/>
    </row>
    <row r="897" spans="7:15" ht="12.75">
      <c r="G897" s="4"/>
      <c r="L897" s="4"/>
      <c r="O897" s="4"/>
    </row>
    <row r="898" spans="7:15" ht="12.75">
      <c r="G898" s="4"/>
      <c r="L898" s="4"/>
      <c r="O898" s="4"/>
    </row>
    <row r="899" spans="7:15" ht="12.75">
      <c r="G899" s="4"/>
      <c r="L899" s="4"/>
      <c r="O899" s="4"/>
    </row>
    <row r="900" spans="7:15" ht="12.75">
      <c r="G900" s="4"/>
      <c r="L900" s="4"/>
      <c r="O900" s="4"/>
    </row>
    <row r="901" spans="7:15" ht="12.75">
      <c r="G901" s="4"/>
      <c r="L901" s="4"/>
      <c r="O901" s="4"/>
    </row>
    <row r="902" spans="7:15" ht="12.75">
      <c r="G902" s="4"/>
      <c r="L902" s="4"/>
      <c r="O902" s="4"/>
    </row>
    <row r="903" spans="7:15" ht="12.75">
      <c r="G903" s="4"/>
      <c r="L903" s="4"/>
      <c r="O903" s="4"/>
    </row>
    <row r="904" spans="7:15" ht="12.75">
      <c r="G904" s="4"/>
      <c r="L904" s="4"/>
      <c r="O904" s="4"/>
    </row>
    <row r="905" spans="7:15" ht="12.75">
      <c r="G905" s="4"/>
      <c r="L905" s="4"/>
      <c r="O905" s="4"/>
    </row>
    <row r="906" spans="7:15" ht="12.75">
      <c r="G906" s="4"/>
      <c r="L906" s="4"/>
      <c r="O906" s="4"/>
    </row>
    <row r="907" spans="7:15" ht="12.75">
      <c r="G907" s="4"/>
      <c r="L907" s="4"/>
      <c r="O907" s="4"/>
    </row>
    <row r="908" spans="7:15" ht="12.75">
      <c r="G908" s="4"/>
      <c r="L908" s="4"/>
      <c r="O908" s="4"/>
    </row>
    <row r="909" spans="7:15" ht="12.75">
      <c r="G909" s="4"/>
      <c r="L909" s="4"/>
      <c r="O909" s="4"/>
    </row>
    <row r="910" spans="7:15" ht="12.75">
      <c r="G910" s="4"/>
      <c r="L910" s="4"/>
      <c r="O910" s="4"/>
    </row>
    <row r="911" spans="7:15" ht="12.75">
      <c r="G911" s="4"/>
      <c r="L911" s="4"/>
      <c r="O911" s="4"/>
    </row>
    <row r="912" spans="7:15" ht="12.75">
      <c r="G912" s="4"/>
      <c r="L912" s="4"/>
      <c r="O912" s="4"/>
    </row>
    <row r="913" spans="7:15" ht="12.75">
      <c r="G913" s="4"/>
      <c r="L913" s="4"/>
      <c r="O913" s="4"/>
    </row>
    <row r="914" spans="7:15" ht="12.75">
      <c r="G914" s="4"/>
      <c r="L914" s="4"/>
      <c r="O914" s="4"/>
    </row>
    <row r="915" spans="7:15" ht="12.75">
      <c r="G915" s="4"/>
      <c r="L915" s="4"/>
      <c r="O915" s="4"/>
    </row>
    <row r="916" spans="7:15" ht="12.75">
      <c r="G916" s="4"/>
      <c r="L916" s="4"/>
      <c r="O916" s="4"/>
    </row>
    <row r="917" spans="7:15" ht="12.75">
      <c r="G917" s="4"/>
      <c r="L917" s="4"/>
      <c r="O917" s="4"/>
    </row>
    <row r="918" spans="7:15" ht="12.75">
      <c r="G918" s="4"/>
      <c r="L918" s="4"/>
      <c r="O918" s="4"/>
    </row>
    <row r="919" spans="7:15" ht="12.75">
      <c r="G919" s="4"/>
      <c r="L919" s="4"/>
      <c r="O919" s="4"/>
    </row>
    <row r="920" spans="7:15" ht="12.75">
      <c r="G920" s="4"/>
      <c r="L920" s="4"/>
      <c r="O920" s="4"/>
    </row>
    <row r="921" spans="7:15" ht="12.75">
      <c r="G921" s="4"/>
      <c r="L921" s="4"/>
      <c r="O921" s="4"/>
    </row>
    <row r="922" spans="7:15" ht="12.75">
      <c r="G922" s="4"/>
      <c r="L922" s="4"/>
      <c r="O922" s="4"/>
    </row>
    <row r="923" spans="7:15" ht="12.75">
      <c r="G923" s="4"/>
      <c r="L923" s="4"/>
      <c r="O923" s="4"/>
    </row>
    <row r="924" spans="7:15" ht="12.75">
      <c r="G924" s="4"/>
      <c r="L924" s="4"/>
      <c r="O924" s="4"/>
    </row>
    <row r="925" spans="7:15" ht="12.75">
      <c r="G925" s="4"/>
      <c r="L925" s="4"/>
      <c r="O925" s="4"/>
    </row>
    <row r="926" spans="7:15" ht="12.75">
      <c r="G926" s="4"/>
      <c r="L926" s="4"/>
      <c r="O926" s="4"/>
    </row>
    <row r="927" spans="7:15" ht="12.75">
      <c r="G927" s="4"/>
      <c r="L927" s="4"/>
      <c r="O927" s="4"/>
    </row>
    <row r="928" spans="7:15" ht="12.75">
      <c r="G928" s="4"/>
      <c r="L928" s="4"/>
      <c r="O928" s="4"/>
    </row>
    <row r="929" spans="7:15" ht="12.75">
      <c r="G929" s="4"/>
      <c r="L929" s="4"/>
      <c r="O929" s="4"/>
    </row>
    <row r="930" spans="7:15" ht="12.75">
      <c r="G930" s="4"/>
      <c r="L930" s="4"/>
      <c r="O930" s="4"/>
    </row>
    <row r="931" spans="7:15" ht="12.75">
      <c r="G931" s="4"/>
      <c r="L931" s="4"/>
      <c r="O931" s="4"/>
    </row>
    <row r="932" spans="7:15" ht="12.75">
      <c r="G932" s="4"/>
      <c r="L932" s="4"/>
      <c r="O932" s="4"/>
    </row>
    <row r="933" spans="7:15" ht="12.75">
      <c r="G933" s="4"/>
      <c r="L933" s="4"/>
      <c r="O933" s="4"/>
    </row>
    <row r="934" spans="7:15" ht="12.75">
      <c r="G934" s="4"/>
      <c r="L934" s="4"/>
      <c r="O934" s="4"/>
    </row>
    <row r="935" spans="7:15" ht="12.75">
      <c r="G935" s="4"/>
      <c r="L935" s="4"/>
      <c r="O935" s="4"/>
    </row>
    <row r="936" spans="7:15" ht="12.75">
      <c r="G936" s="4"/>
      <c r="L936" s="4"/>
      <c r="O936" s="4"/>
    </row>
    <row r="937" spans="7:15" ht="12.75">
      <c r="G937" s="4"/>
      <c r="L937" s="4"/>
      <c r="O937" s="4"/>
    </row>
    <row r="938" spans="7:15" ht="12.75">
      <c r="G938" s="4"/>
      <c r="L938" s="4"/>
      <c r="O938" s="4"/>
    </row>
    <row r="939" spans="7:15" ht="12.75">
      <c r="G939" s="4"/>
      <c r="L939" s="4"/>
      <c r="O939" s="4"/>
    </row>
    <row r="940" spans="7:15" ht="12.75">
      <c r="G940" s="4"/>
      <c r="L940" s="4"/>
      <c r="O940" s="4"/>
    </row>
    <row r="941" spans="7:15" ht="12.75">
      <c r="G941" s="4"/>
      <c r="L941" s="4"/>
      <c r="O941" s="4"/>
    </row>
    <row r="942" spans="7:15" ht="12.75">
      <c r="G942" s="4"/>
      <c r="L942" s="4"/>
      <c r="O942" s="4"/>
    </row>
    <row r="943" spans="7:15" ht="12.75">
      <c r="G943" s="4"/>
      <c r="L943" s="4"/>
      <c r="O943" s="4"/>
    </row>
    <row r="944" spans="7:15" ht="12.75">
      <c r="G944" s="4"/>
      <c r="L944" s="4"/>
      <c r="O944" s="4"/>
    </row>
    <row r="945" spans="7:15" ht="12.75">
      <c r="G945" s="4"/>
      <c r="L945" s="4"/>
      <c r="O945" s="4"/>
    </row>
    <row r="946" spans="7:15" ht="12.75">
      <c r="G946" s="4"/>
      <c r="L946" s="4"/>
      <c r="O946" s="4"/>
    </row>
    <row r="947" spans="7:15" ht="12.75">
      <c r="G947" s="4"/>
      <c r="L947" s="4"/>
      <c r="O947" s="4"/>
    </row>
    <row r="948" spans="7:15" ht="12.75">
      <c r="G948" s="4"/>
      <c r="L948" s="4"/>
      <c r="O948" s="4"/>
    </row>
    <row r="949" spans="7:15" ht="12.75">
      <c r="G949" s="4"/>
      <c r="L949" s="4"/>
      <c r="O949" s="4"/>
    </row>
    <row r="950" spans="7:15" ht="12.75">
      <c r="G950" s="4"/>
      <c r="L950" s="4"/>
      <c r="O950" s="4"/>
    </row>
    <row r="951" spans="7:15" ht="12.75">
      <c r="G951" s="4"/>
      <c r="L951" s="4"/>
      <c r="O951" s="4"/>
    </row>
    <row r="952" spans="7:15" ht="12.75">
      <c r="G952" s="4"/>
      <c r="L952" s="4"/>
      <c r="O952" s="4"/>
    </row>
    <row r="953" spans="7:15" ht="12.75">
      <c r="G953" s="4"/>
      <c r="L953" s="4"/>
      <c r="O953" s="4"/>
    </row>
    <row r="954" spans="7:15" ht="12.75">
      <c r="G954" s="4"/>
      <c r="L954" s="4"/>
      <c r="O954" s="4"/>
    </row>
    <row r="955" spans="7:15" ht="12.75">
      <c r="G955" s="4"/>
      <c r="L955" s="4"/>
      <c r="O955" s="4"/>
    </row>
    <row r="956" spans="7:15" ht="12.75">
      <c r="G956" s="4"/>
      <c r="L956" s="4"/>
      <c r="O956" s="4"/>
    </row>
    <row r="957" spans="7:15" ht="12.75">
      <c r="G957" s="4"/>
      <c r="L957" s="4"/>
      <c r="O957" s="4"/>
    </row>
    <row r="958" spans="7:15" ht="12.75">
      <c r="G958" s="4"/>
      <c r="L958" s="4"/>
      <c r="O958" s="4"/>
    </row>
    <row r="959" spans="7:15" ht="12.75">
      <c r="G959" s="4"/>
      <c r="L959" s="4"/>
      <c r="O959" s="4"/>
    </row>
    <row r="960" spans="7:15" ht="12.75">
      <c r="G960" s="4"/>
      <c r="L960" s="4"/>
      <c r="O960" s="4"/>
    </row>
    <row r="961" spans="7:15" ht="12.75">
      <c r="G961" s="4"/>
      <c r="L961" s="4"/>
      <c r="O961" s="4"/>
    </row>
    <row r="962" spans="7:15" ht="12.75">
      <c r="G962" s="4"/>
      <c r="L962" s="4"/>
      <c r="O962" s="4"/>
    </row>
    <row r="963" spans="7:15" ht="12.75">
      <c r="G963" s="4"/>
      <c r="L963" s="4"/>
      <c r="O963" s="4"/>
    </row>
    <row r="964" spans="7:15" ht="12.75">
      <c r="G964" s="4"/>
      <c r="L964" s="4"/>
      <c r="O964" s="4"/>
    </row>
    <row r="965" spans="7:15" ht="12.75">
      <c r="G965" s="4"/>
      <c r="L965" s="4"/>
      <c r="O965" s="4"/>
    </row>
    <row r="966" spans="7:15" ht="12.75">
      <c r="G966" s="4"/>
      <c r="L966" s="4"/>
      <c r="O966" s="4"/>
    </row>
    <row r="967" spans="7:15" ht="12.75">
      <c r="G967" s="4"/>
      <c r="L967" s="4"/>
      <c r="O967" s="4"/>
    </row>
    <row r="968" spans="7:15" ht="12.75">
      <c r="G968" s="4"/>
      <c r="L968" s="4"/>
      <c r="O968" s="4"/>
    </row>
    <row r="969" spans="7:15" ht="12.75">
      <c r="G969" s="4"/>
      <c r="L969" s="4"/>
      <c r="O969" s="4"/>
    </row>
    <row r="970" spans="7:15" ht="12.75">
      <c r="G970" s="4"/>
      <c r="L970" s="4"/>
      <c r="O970" s="4"/>
    </row>
    <row r="971" spans="7:15" ht="12.75">
      <c r="G971" s="4"/>
      <c r="L971" s="4"/>
      <c r="O971" s="4"/>
    </row>
    <row r="972" spans="7:15" ht="12.75">
      <c r="G972" s="4"/>
      <c r="L972" s="4"/>
      <c r="O972" s="4"/>
    </row>
    <row r="973" spans="7:15" ht="12.75">
      <c r="G973" s="4"/>
      <c r="L973" s="4"/>
      <c r="O973" s="4"/>
    </row>
    <row r="974" spans="7:15" ht="12.75">
      <c r="G974" s="4"/>
      <c r="L974" s="4"/>
      <c r="O974" s="4"/>
    </row>
    <row r="975" spans="7:15" ht="12.75">
      <c r="G975" s="4"/>
      <c r="L975" s="4"/>
      <c r="O975" s="4"/>
    </row>
    <row r="976" spans="7:15" ht="12.75">
      <c r="G976" s="4"/>
      <c r="L976" s="4"/>
      <c r="O976" s="4"/>
    </row>
    <row r="977" spans="7:15" ht="12.75">
      <c r="G977" s="4"/>
      <c r="L977" s="4"/>
      <c r="O977" s="4"/>
    </row>
    <row r="978" spans="7:15" ht="12.75">
      <c r="G978" s="4"/>
      <c r="L978" s="4"/>
      <c r="O978" s="4"/>
    </row>
    <row r="979" spans="7:15" ht="12.75">
      <c r="G979" s="4"/>
      <c r="L979" s="4"/>
      <c r="O979" s="4"/>
    </row>
    <row r="980" spans="7:15" ht="12.75">
      <c r="G980" s="4"/>
      <c r="L980" s="4"/>
      <c r="O980" s="4"/>
    </row>
    <row r="981" spans="7:15" ht="12.75">
      <c r="G981" s="4"/>
      <c r="L981" s="4"/>
      <c r="O981" s="4"/>
    </row>
    <row r="982" spans="7:15" ht="12.75">
      <c r="G982" s="4"/>
      <c r="L982" s="4"/>
      <c r="O982" s="4"/>
    </row>
    <row r="983" spans="7:15" ht="12.75">
      <c r="G983" s="4"/>
      <c r="L983" s="4"/>
      <c r="O983" s="4"/>
    </row>
    <row r="984" spans="7:15" ht="12.75">
      <c r="G984" s="4"/>
      <c r="L984" s="4"/>
      <c r="O984" s="4"/>
    </row>
    <row r="985" spans="7:15" ht="12.75">
      <c r="G985" s="4"/>
      <c r="L985" s="4"/>
      <c r="O985" s="4"/>
    </row>
    <row r="986" spans="7:15" ht="12.75">
      <c r="G986" s="4"/>
      <c r="L986" s="4"/>
      <c r="O986" s="4"/>
    </row>
    <row r="987" spans="7:15" ht="12.75">
      <c r="G987" s="4"/>
      <c r="L987" s="4"/>
      <c r="O987" s="4"/>
    </row>
    <row r="988" spans="7:15" ht="12.75">
      <c r="G988" s="4"/>
      <c r="L988" s="4"/>
      <c r="O988" s="4"/>
    </row>
    <row r="989" spans="7:15" ht="12.75">
      <c r="G989" s="4"/>
      <c r="L989" s="4"/>
      <c r="O989" s="4"/>
    </row>
    <row r="990" spans="7:15" ht="12.75">
      <c r="G990" s="4"/>
      <c r="L990" s="4"/>
      <c r="O990" s="4"/>
    </row>
    <row r="991" spans="7:15" ht="12.75">
      <c r="G991" s="4"/>
      <c r="L991" s="4"/>
      <c r="O991" s="4"/>
    </row>
    <row r="992" spans="7:15" ht="12.75">
      <c r="G992" s="4"/>
      <c r="L992" s="4"/>
      <c r="O992" s="4"/>
    </row>
    <row r="993" spans="7:15" ht="12.75">
      <c r="G993" s="4"/>
      <c r="L993" s="4"/>
      <c r="O993" s="4"/>
    </row>
    <row r="994" spans="7:15" ht="12.75">
      <c r="G994" s="4"/>
      <c r="L994" s="4"/>
      <c r="O994" s="4"/>
    </row>
    <row r="995" spans="7:15" ht="12.75">
      <c r="G995" s="4"/>
      <c r="L995" s="4"/>
      <c r="O995" s="4"/>
    </row>
    <row r="996" spans="7:15" ht="12.75">
      <c r="G996" s="4"/>
      <c r="L996" s="4"/>
      <c r="O996" s="4"/>
    </row>
    <row r="997" spans="7:15" ht="12.75">
      <c r="G997" s="4"/>
      <c r="L997" s="4"/>
      <c r="O997" s="4"/>
    </row>
    <row r="998" spans="7:15" ht="12.75">
      <c r="G998" s="4"/>
      <c r="L998" s="4"/>
      <c r="O998" s="4"/>
    </row>
    <row r="999" spans="7:15" ht="12.75">
      <c r="G999" s="4"/>
      <c r="L999" s="4"/>
      <c r="O999" s="4"/>
    </row>
    <row r="1000" spans="7:15" ht="12.75">
      <c r="G1000" s="4"/>
      <c r="L1000" s="4"/>
      <c r="O1000" s="4"/>
    </row>
    <row r="1001" spans="7:15" ht="12.75">
      <c r="G1001" s="4"/>
      <c r="L1001" s="4"/>
      <c r="O1001" s="4"/>
    </row>
    <row r="1002" spans="7:15" ht="12.75">
      <c r="G1002" s="4"/>
      <c r="L1002" s="4"/>
      <c r="O1002" s="4"/>
    </row>
    <row r="1003" spans="7:15" ht="12.75">
      <c r="G1003" s="4"/>
      <c r="L1003" s="4"/>
      <c r="O1003" s="4"/>
    </row>
    <row r="1004" spans="7:15" ht="12.75">
      <c r="G1004" s="4"/>
      <c r="L1004" s="4"/>
      <c r="O1004" s="4"/>
    </row>
    <row r="1005" spans="7:15" ht="12.75">
      <c r="G1005" s="4"/>
      <c r="L1005" s="4"/>
      <c r="O1005" s="4"/>
    </row>
    <row r="1006" spans="7:15" ht="12.75">
      <c r="G1006" s="4"/>
      <c r="L1006" s="4"/>
      <c r="O1006" s="4"/>
    </row>
    <row r="1007" spans="7:15" ht="12.75">
      <c r="G1007" s="4"/>
      <c r="L1007" s="4"/>
      <c r="O1007" s="4"/>
    </row>
    <row r="1008" spans="7:15" ht="12.75">
      <c r="G1008" s="4"/>
      <c r="L1008" s="4"/>
      <c r="O1008" s="4"/>
    </row>
    <row r="1009" spans="7:15" ht="12.75">
      <c r="G1009" s="4"/>
      <c r="L1009" s="4"/>
      <c r="O1009" s="4"/>
    </row>
    <row r="1010" spans="7:15" ht="12.75">
      <c r="G1010" s="4"/>
      <c r="L1010" s="4"/>
      <c r="O1010" s="4"/>
    </row>
    <row r="1011" spans="7:15" ht="12.75">
      <c r="G1011" s="4"/>
      <c r="L1011" s="4"/>
      <c r="O1011" s="4"/>
    </row>
    <row r="1012" spans="7:15" ht="12.75">
      <c r="G1012" s="4"/>
      <c r="L1012" s="4"/>
      <c r="O1012" s="4"/>
    </row>
    <row r="1013" spans="7:15" ht="12.75">
      <c r="G1013" s="4"/>
      <c r="L1013" s="4"/>
      <c r="O1013" s="4"/>
    </row>
    <row r="1014" spans="7:15" ht="12.75">
      <c r="G1014" s="4"/>
      <c r="L1014" s="4"/>
      <c r="O1014" s="4"/>
    </row>
    <row r="1015" spans="7:15" ht="12.75">
      <c r="G1015" s="4"/>
      <c r="L1015" s="4"/>
      <c r="O1015" s="4"/>
    </row>
    <row r="1016" spans="7:15" ht="12.75">
      <c r="G1016" s="4"/>
      <c r="L1016" s="4"/>
      <c r="O1016" s="4"/>
    </row>
    <row r="1017" spans="7:15" ht="12.75">
      <c r="G1017" s="4"/>
      <c r="L1017" s="4"/>
      <c r="O1017" s="4"/>
    </row>
    <row r="1018" spans="7:15" ht="12.75">
      <c r="G1018" s="4"/>
      <c r="L1018" s="4"/>
      <c r="O1018" s="4"/>
    </row>
  </sheetData>
  <customSheetViews>
    <customSheetView guid="{0C6CB88B-A23A-4753-B680-752DA28FC575}" filter="1" showAutoFilter="1">
      <pageMargins left="0.7" right="0.7" top="0.75" bottom="0.75" header="0.3" footer="0.3"/>
      <autoFilter ref="A1:P1018" xr:uid="{FF8344FE-1A74-4532-9C6D-EFB06D220FC3}">
        <filterColumn colId="0">
          <filters blank="1">
            <filter val="Demo"/>
            <filter val="Lebanon"/>
            <filter val="Tunisia"/>
          </filters>
        </filterColumn>
        <filterColumn colId="7">
          <filters blank="1">
            <filter val="-"/>
            <filter val="ST01"/>
            <filter val="ST11"/>
            <filter val="ST12"/>
            <filter val="ST13"/>
            <filter val="STATION"/>
          </filters>
        </filterColumn>
      </autoFilter>
    </customSheetView>
    <customSheetView guid="{87C71266-9967-4518-AB15-B74D2CDF6612}" filter="1" showAutoFilter="1">
      <pageMargins left="0.7" right="0.7" top="0.75" bottom="0.75" header="0.3" footer="0.3"/>
      <autoFilter ref="A1:P1018" xr:uid="{C189659F-D6D9-4F09-830C-1437F29BA399}">
        <filterColumn colId="1">
          <filters>
            <filter val="000008D6"/>
            <filter val="000008DD"/>
            <filter val="000008E0"/>
            <filter val="000008E4"/>
            <filter val="000008E5"/>
            <filter val="000008F7"/>
            <filter val="000010CC"/>
            <filter val="00001896"/>
            <filter val="000025BD"/>
            <filter val="00204B21"/>
            <filter val="00204EB1"/>
            <filter val="Camedda"/>
            <filter val="Centro Aziendale"/>
            <filter val="Demo Field"/>
            <filter val="DRW 1"/>
            <filter val="DRW 2"/>
            <filter val="ed_11174"/>
            <filter val="ed_11181"/>
            <filter val="ed_11182"/>
            <filter val="ed_11216"/>
            <filter val="Faisal Neimat"/>
            <filter val="Jomaa Dhibi"/>
            <filter val="Khalil Al-Edwan"/>
            <filter val="Lamine Moussa"/>
            <filter val="Mabrouka Company"/>
            <filter val="Mahmoud Al-Rajbi"/>
            <filter val="Mazzacaddeo"/>
            <filter val="NARC"/>
            <filter val="Noureddine Rojbani"/>
            <filter val="Perra 2"/>
            <filter val="Pinos"/>
            <filter val="SONEDE - Well Drilling 1"/>
            <filter val="SONEDE - Well Drilling 2"/>
            <filter val="SONEDE - Well Drilling 3"/>
            <filter val="SONEDE - Well Drilling 4"/>
            <filter val="SONEDE - Well Drilling 5"/>
            <filter val="SONEDE - Well Drilling 6"/>
            <filter val="Telal Al Thahab"/>
            <filter val="Torresan"/>
            <filter val="WWQ 1"/>
            <filter val="WWQ 2"/>
            <filter val="z6-19947"/>
            <filter val="z6-19948"/>
          </filters>
        </filterColumn>
        <filterColumn colId="10">
          <filters>
            <filter val="Air Humidity"/>
            <filter val="Air Temperature"/>
            <filter val="Altitude"/>
            <filter val="Atmospheric Pressure"/>
            <filter val="Battery Level"/>
            <filter val="Battery Voltage"/>
            <filter val="Chain Node"/>
            <filter val="CO2 Concentration"/>
            <filter val="Cumulative Rainfall"/>
            <filter val="DeltaT"/>
            <filter val="Dew Point"/>
            <filter val="Electric Conductivity"/>
            <filter val="Flowmeter pulses"/>
            <filter val="Groundwater Level"/>
            <filter val="Gust Speed"/>
            <filter val="Horizontal dilusion"/>
            <filter val="Latitude"/>
            <filter val="Leaf Wetness"/>
            <filter val="Leak warning"/>
            <filter val="Lightning Activity"/>
            <filter val="Lightning Distance"/>
            <filter val="Logger Temperature"/>
            <filter val="Longitude"/>
            <filter val="Max Precipitation Rate"/>
            <filter val="Midnight"/>
            <filter val="NH3 / Ammonia"/>
            <filter val="NO4 / Nitrate"/>
            <filter val="pH"/>
            <filter val="Precipitation"/>
            <filter val="Reference evapotranspiration"/>
            <filter val="Reference Pressure"/>
            <filter val="RH Sensor Temp"/>
            <filter val="Serial Number"/>
            <filter val="Soil Moisture"/>
            <filter val="Soil Temperature"/>
            <filter val="Solar Panel"/>
            <filter val="Solar Radiation"/>
            <filter val="Temperature"/>
            <filter val="Tensiometer"/>
            <filter val="Unknown"/>
            <filter val="Valve status"/>
            <filter val="Vapor Pressure"/>
            <filter val="VPD"/>
            <filter val="Water Flow"/>
            <filter val="Wind Direction"/>
            <filter val="Wind Speed"/>
            <filter val="X-axis Level"/>
            <filter val="Y-axis Level"/>
          </filters>
        </filterColumn>
      </autoFilter>
    </customSheetView>
  </customSheetViews>
  <conditionalFormatting sqref="A1:A1018">
    <cfRule type="containsText" dxfId="4" priority="1" operator="containsText" text="Demo">
      <formula>NOT(ISERROR(SEARCH(("Demo"),(A1))))</formula>
    </cfRule>
    <cfRule type="containsText" dxfId="3" priority="2" operator="containsText" text="Italy">
      <formula>NOT(ISERROR(SEARCH(("Italy"),(A1))))</formula>
    </cfRule>
    <cfRule type="containsText" dxfId="2" priority="3" operator="containsText" text="Jordan">
      <formula>NOT(ISERROR(SEARCH(("Jordan"),(A1))))</formula>
    </cfRule>
    <cfRule type="containsText" dxfId="1" priority="4" operator="containsText" text="Tunisia">
      <formula>NOT(ISERROR(SEARCH(("Tunisia"),(A1))))</formula>
    </cfRule>
    <cfRule type="containsText" dxfId="0" priority="5" operator="containsText" text="Lebanon">
      <formula>NOT(ISERROR(SEARCH(("Lebanon"),(A1))))</formula>
    </cfRule>
  </conditionalFormatting>
  <dataValidations count="1">
    <dataValidation type="list" allowBlank="1" showErrorMessage="1" sqref="K2:K24 K26:K27 K29:K158 K160:K172 K174:K213 K215:K460 K462:K509 K511:K613 K615:K697" xr:uid="{00000000-0002-0000-0300-000000000000}">
      <formula1>"Air Temperature,Air Humidity,CO2 Concentration,Soil Moisture,Soil Temperature,Battery Level,Valve status,Flowmeter pulses,Leak warning,Type,Atmospheric Pressure,Battery Voltage,Gust Speed,Lightning Activity,Lightning Distance,Logger Temperature,Max Precip"&amp;"itation Rate,Precipitation,RH Sensor Temp,Reference Pressure,Solar Radiation,VPD,Vapor Pressure,Wind Direction,Wind Speed,X-axis Level,Y-axis Level,Temperature,Leaf Wetness,Dew Point,Midnight,Solar Panel,Serial Number,Chain Node,Reference evapotranspirati"&amp;"on,DeltaT,Latitude,Longitude,Altitude,Horizontal dilusion,Tensiometer,Unknown,Water Flow,pH,Electric Conductivity,NH3 / Ammonia,NO4 / Nitrate,Groundwater Level,ORP,Chlorophill,Cumulative Rainfall"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52"/>
  <sheetViews>
    <sheetView workbookViewId="0"/>
  </sheetViews>
  <sheetFormatPr defaultColWidth="12.5703125" defaultRowHeight="15.75" customHeight="1"/>
  <cols>
    <col min="1" max="1" width="22.28515625" customWidth="1"/>
    <col min="2" max="2" width="119.42578125" customWidth="1"/>
    <col min="3" max="3" width="17.7109375" customWidth="1"/>
  </cols>
  <sheetData>
    <row r="1" spans="1:4">
      <c r="A1" s="146" t="s">
        <v>629</v>
      </c>
      <c r="B1" s="146" t="s">
        <v>630</v>
      </c>
      <c r="C1" s="146" t="s">
        <v>631</v>
      </c>
      <c r="D1" s="146" t="s">
        <v>632</v>
      </c>
    </row>
    <row r="2" spans="1:4">
      <c r="A2" s="4" t="s">
        <v>640</v>
      </c>
      <c r="B2" s="4" t="s">
        <v>872</v>
      </c>
      <c r="C2" s="4" t="s">
        <v>873</v>
      </c>
      <c r="D2" s="4" t="s">
        <v>874</v>
      </c>
    </row>
    <row r="3" spans="1:4">
      <c r="A3" s="4" t="s">
        <v>638</v>
      </c>
      <c r="B3" s="4" t="s">
        <v>875</v>
      </c>
      <c r="C3" s="4" t="s">
        <v>876</v>
      </c>
      <c r="D3" s="4" t="s">
        <v>877</v>
      </c>
    </row>
    <row r="4" spans="1:4">
      <c r="A4" s="4" t="s">
        <v>779</v>
      </c>
      <c r="B4" s="4" t="s">
        <v>878</v>
      </c>
      <c r="C4" s="4" t="s">
        <v>879</v>
      </c>
      <c r="D4" s="4" t="s">
        <v>880</v>
      </c>
    </row>
    <row r="5" spans="1:4">
      <c r="A5" s="4" t="s">
        <v>692</v>
      </c>
      <c r="B5" s="4" t="s">
        <v>881</v>
      </c>
      <c r="C5" s="4" t="s">
        <v>882</v>
      </c>
      <c r="D5" s="4" t="s">
        <v>883</v>
      </c>
    </row>
    <row r="6" spans="1:4">
      <c r="A6" s="4" t="s">
        <v>647</v>
      </c>
      <c r="B6" s="4" t="s">
        <v>884</v>
      </c>
      <c r="C6" s="4" t="s">
        <v>873</v>
      </c>
      <c r="D6" s="4" t="s">
        <v>874</v>
      </c>
    </row>
    <row r="7" spans="1:4">
      <c r="A7" s="4" t="s">
        <v>694</v>
      </c>
      <c r="B7" s="4" t="s">
        <v>885</v>
      </c>
      <c r="C7" s="4" t="s">
        <v>886</v>
      </c>
      <c r="D7" s="4" t="s">
        <v>887</v>
      </c>
    </row>
    <row r="8" spans="1:4">
      <c r="A8" s="4" t="s">
        <v>751</v>
      </c>
      <c r="B8" s="4" t="s">
        <v>888</v>
      </c>
      <c r="C8" s="4" t="s">
        <v>691</v>
      </c>
      <c r="D8" s="4" t="s">
        <v>691</v>
      </c>
    </row>
    <row r="9" spans="1:4">
      <c r="A9" s="4" t="s">
        <v>642</v>
      </c>
      <c r="B9" s="4" t="s">
        <v>889</v>
      </c>
      <c r="C9" s="4" t="s">
        <v>890</v>
      </c>
      <c r="D9" s="4" t="s">
        <v>891</v>
      </c>
    </row>
    <row r="10" spans="1:4">
      <c r="A10" s="4" t="s">
        <v>767</v>
      </c>
      <c r="B10" s="4" t="s">
        <v>892</v>
      </c>
      <c r="C10" s="4" t="s">
        <v>893</v>
      </c>
      <c r="D10" s="4" t="s">
        <v>894</v>
      </c>
    </row>
    <row r="11" spans="1:4">
      <c r="A11" s="4" t="s">
        <v>731</v>
      </c>
      <c r="B11" s="4" t="s">
        <v>895</v>
      </c>
      <c r="C11" s="4" t="s">
        <v>876</v>
      </c>
      <c r="D11" s="4" t="s">
        <v>877</v>
      </c>
    </row>
    <row r="12" spans="1:4">
      <c r="A12" s="4" t="s">
        <v>824</v>
      </c>
      <c r="B12" s="4" t="s">
        <v>896</v>
      </c>
      <c r="C12" s="4" t="s">
        <v>897</v>
      </c>
      <c r="D12" s="4" t="s">
        <v>898</v>
      </c>
    </row>
    <row r="13" spans="1:4">
      <c r="A13" s="4" t="s">
        <v>648</v>
      </c>
      <c r="B13" s="4" t="s">
        <v>899</v>
      </c>
      <c r="C13" s="4" t="s">
        <v>900</v>
      </c>
      <c r="D13" s="4" t="s">
        <v>901</v>
      </c>
    </row>
    <row r="14" spans="1:4">
      <c r="A14" s="4" t="s">
        <v>831</v>
      </c>
      <c r="B14" s="4" t="s">
        <v>902</v>
      </c>
      <c r="C14" s="4" t="s">
        <v>879</v>
      </c>
      <c r="D14" s="4" t="s">
        <v>880</v>
      </c>
    </row>
    <row r="15" spans="1:4">
      <c r="A15" s="4" t="s">
        <v>695</v>
      </c>
      <c r="B15" s="4" t="s">
        <v>903</v>
      </c>
      <c r="C15" s="4" t="s">
        <v>904</v>
      </c>
      <c r="D15" s="4" t="s">
        <v>905</v>
      </c>
    </row>
    <row r="16" spans="1:4">
      <c r="A16" s="4" t="s">
        <v>781</v>
      </c>
      <c r="B16" s="4" t="s">
        <v>906</v>
      </c>
      <c r="C16" s="4" t="s">
        <v>691</v>
      </c>
      <c r="D16" s="4" t="s">
        <v>691</v>
      </c>
    </row>
    <row r="17" spans="1:4">
      <c r="A17" s="4" t="s">
        <v>775</v>
      </c>
      <c r="B17" s="4" t="s">
        <v>907</v>
      </c>
      <c r="C17" s="4" t="s">
        <v>908</v>
      </c>
      <c r="D17" s="4" t="s">
        <v>909</v>
      </c>
    </row>
    <row r="18" spans="1:4">
      <c r="A18" s="4" t="s">
        <v>723</v>
      </c>
      <c r="B18" s="4" t="s">
        <v>910</v>
      </c>
      <c r="C18" s="4" t="s">
        <v>691</v>
      </c>
      <c r="D18" s="4" t="s">
        <v>691</v>
      </c>
    </row>
    <row r="19" spans="1:4">
      <c r="A19" s="4" t="s">
        <v>665</v>
      </c>
      <c r="B19" s="4" t="s">
        <v>911</v>
      </c>
      <c r="C19" s="4" t="s">
        <v>912</v>
      </c>
      <c r="D19" s="4" t="s">
        <v>901</v>
      </c>
    </row>
    <row r="20" spans="1:4">
      <c r="A20" s="4" t="s">
        <v>696</v>
      </c>
      <c r="B20" s="4" t="s">
        <v>913</v>
      </c>
      <c r="C20" s="4" t="s">
        <v>901</v>
      </c>
      <c r="D20" s="4" t="s">
        <v>901</v>
      </c>
    </row>
    <row r="21" spans="1:4">
      <c r="A21" s="4" t="s">
        <v>697</v>
      </c>
      <c r="B21" s="4" t="s">
        <v>914</v>
      </c>
      <c r="C21" s="4" t="s">
        <v>915</v>
      </c>
      <c r="D21" s="4" t="s">
        <v>916</v>
      </c>
    </row>
    <row r="22" spans="1:4">
      <c r="A22" s="4" t="s">
        <v>698</v>
      </c>
      <c r="B22" s="4" t="s">
        <v>917</v>
      </c>
      <c r="C22" s="4" t="s">
        <v>876</v>
      </c>
      <c r="D22" s="4" t="s">
        <v>877</v>
      </c>
    </row>
    <row r="23" spans="1:4">
      <c r="A23" s="4" t="s">
        <v>777</v>
      </c>
      <c r="B23" s="4" t="s">
        <v>918</v>
      </c>
      <c r="C23" s="4" t="s">
        <v>908</v>
      </c>
      <c r="D23" s="4" t="s">
        <v>909</v>
      </c>
    </row>
    <row r="24" spans="1:4">
      <c r="A24" s="4" t="s">
        <v>700</v>
      </c>
      <c r="B24" s="4" t="s">
        <v>919</v>
      </c>
      <c r="C24" s="4" t="s">
        <v>920</v>
      </c>
      <c r="D24" s="4" t="s">
        <v>921</v>
      </c>
    </row>
    <row r="25" spans="1:4">
      <c r="A25" s="4" t="s">
        <v>737</v>
      </c>
      <c r="B25" s="4" t="s">
        <v>922</v>
      </c>
      <c r="C25" s="4" t="s">
        <v>691</v>
      </c>
      <c r="D25" s="4" t="s">
        <v>691</v>
      </c>
    </row>
    <row r="26" spans="1:4">
      <c r="A26" s="4" t="s">
        <v>826</v>
      </c>
      <c r="B26" s="4" t="s">
        <v>923</v>
      </c>
      <c r="C26" s="4" t="s">
        <v>890</v>
      </c>
      <c r="D26" s="4" t="s">
        <v>891</v>
      </c>
    </row>
    <row r="27" spans="1:4">
      <c r="A27" s="4" t="s">
        <v>828</v>
      </c>
      <c r="B27" s="4" t="s">
        <v>924</v>
      </c>
      <c r="C27" s="4" t="s">
        <v>890</v>
      </c>
      <c r="D27" s="4" t="s">
        <v>891</v>
      </c>
    </row>
    <row r="28" spans="1:4">
      <c r="A28" s="4" t="s">
        <v>925</v>
      </c>
      <c r="B28" s="4" t="s">
        <v>926</v>
      </c>
      <c r="C28" s="4" t="s">
        <v>886</v>
      </c>
      <c r="D28" s="4" t="s">
        <v>887</v>
      </c>
    </row>
    <row r="29" spans="1:4">
      <c r="A29" s="4" t="s">
        <v>822</v>
      </c>
      <c r="B29" s="4" t="s">
        <v>927</v>
      </c>
      <c r="C29" s="4" t="s">
        <v>691</v>
      </c>
      <c r="D29" s="4" t="s">
        <v>691</v>
      </c>
    </row>
    <row r="30" spans="1:4">
      <c r="A30" s="4" t="s">
        <v>701</v>
      </c>
      <c r="B30" s="4" t="s">
        <v>928</v>
      </c>
      <c r="C30" s="4" t="s">
        <v>929</v>
      </c>
      <c r="D30" s="4" t="s">
        <v>930</v>
      </c>
    </row>
    <row r="31" spans="1:4">
      <c r="A31" s="4" t="s">
        <v>759</v>
      </c>
      <c r="B31" s="4" t="s">
        <v>931</v>
      </c>
      <c r="C31" s="4" t="s">
        <v>932</v>
      </c>
      <c r="D31" s="4" t="s">
        <v>933</v>
      </c>
    </row>
    <row r="32" spans="1:4">
      <c r="A32" s="4" t="s">
        <v>703</v>
      </c>
      <c r="B32" s="4" t="s">
        <v>934</v>
      </c>
      <c r="C32" s="4" t="s">
        <v>882</v>
      </c>
      <c r="D32" s="4" t="s">
        <v>883</v>
      </c>
    </row>
    <row r="33" spans="1:4">
      <c r="A33" s="4" t="s">
        <v>702</v>
      </c>
      <c r="B33" s="4" t="s">
        <v>935</v>
      </c>
      <c r="C33" s="4" t="s">
        <v>876</v>
      </c>
      <c r="D33" s="4" t="s">
        <v>877</v>
      </c>
    </row>
    <row r="34" spans="1:4">
      <c r="A34" s="4" t="s">
        <v>742</v>
      </c>
      <c r="B34" s="4" t="s">
        <v>936</v>
      </c>
      <c r="C34" s="4" t="s">
        <v>691</v>
      </c>
      <c r="D34" s="4" t="s">
        <v>691</v>
      </c>
    </row>
    <row r="35" spans="1:4">
      <c r="A35" s="4" t="s">
        <v>644</v>
      </c>
      <c r="B35" s="4" t="s">
        <v>937</v>
      </c>
      <c r="C35" s="4" t="s">
        <v>873</v>
      </c>
      <c r="D35" s="4" t="s">
        <v>874</v>
      </c>
    </row>
    <row r="36" spans="1:4">
      <c r="A36" s="4" t="s">
        <v>646</v>
      </c>
      <c r="B36" s="4" t="s">
        <v>938</v>
      </c>
      <c r="C36" s="4" t="s">
        <v>876</v>
      </c>
      <c r="D36" s="4" t="s">
        <v>877</v>
      </c>
    </row>
    <row r="37" spans="1:4">
      <c r="A37" s="4" t="s">
        <v>740</v>
      </c>
      <c r="B37" s="4" t="s">
        <v>939</v>
      </c>
      <c r="C37" s="4" t="s">
        <v>691</v>
      </c>
      <c r="D37" s="4" t="s">
        <v>691</v>
      </c>
    </row>
    <row r="38" spans="1:4">
      <c r="A38" s="4" t="s">
        <v>704</v>
      </c>
      <c r="B38" s="4" t="s">
        <v>940</v>
      </c>
      <c r="C38" s="4" t="s">
        <v>941</v>
      </c>
      <c r="D38" s="4" t="s">
        <v>942</v>
      </c>
    </row>
    <row r="39" spans="1:4">
      <c r="A39" s="4" t="s">
        <v>705</v>
      </c>
      <c r="B39" s="4" t="s">
        <v>943</v>
      </c>
      <c r="C39" s="4" t="s">
        <v>876</v>
      </c>
      <c r="D39" s="4" t="s">
        <v>877</v>
      </c>
    </row>
    <row r="40" spans="1:4">
      <c r="A40" s="4" t="s">
        <v>791</v>
      </c>
      <c r="B40" s="4" t="s">
        <v>944</v>
      </c>
      <c r="C40" s="4" t="s">
        <v>945</v>
      </c>
      <c r="D40" s="4" t="s">
        <v>946</v>
      </c>
    </row>
    <row r="41" spans="1:4">
      <c r="A41" s="4" t="s">
        <v>589</v>
      </c>
      <c r="B41" s="4" t="s">
        <v>947</v>
      </c>
      <c r="C41" s="4" t="s">
        <v>948</v>
      </c>
      <c r="D41" s="4" t="s">
        <v>901</v>
      </c>
    </row>
    <row r="42" spans="1:4">
      <c r="A42" s="4" t="s">
        <v>800</v>
      </c>
      <c r="B42" s="4" t="s">
        <v>800</v>
      </c>
      <c r="C42" s="4" t="s">
        <v>691</v>
      </c>
      <c r="D42" s="4" t="s">
        <v>691</v>
      </c>
    </row>
    <row r="43" spans="1:4">
      <c r="A43" s="4" t="s">
        <v>649</v>
      </c>
      <c r="B43" s="4" t="s">
        <v>949</v>
      </c>
      <c r="C43" s="4" t="s">
        <v>950</v>
      </c>
      <c r="D43" s="4" t="s">
        <v>901</v>
      </c>
    </row>
    <row r="44" spans="1:4">
      <c r="A44" s="4" t="s">
        <v>707</v>
      </c>
      <c r="B44" s="4" t="s">
        <v>951</v>
      </c>
      <c r="C44" s="4" t="s">
        <v>882</v>
      </c>
      <c r="D44" s="4" t="s">
        <v>883</v>
      </c>
    </row>
    <row r="45" spans="1:4">
      <c r="A45" s="4" t="s">
        <v>706</v>
      </c>
      <c r="B45" s="4" t="s">
        <v>952</v>
      </c>
      <c r="C45" s="4" t="s">
        <v>882</v>
      </c>
      <c r="D45" s="4" t="s">
        <v>883</v>
      </c>
    </row>
    <row r="46" spans="1:4">
      <c r="A46" s="4" t="s">
        <v>386</v>
      </c>
      <c r="B46" s="4" t="s">
        <v>953</v>
      </c>
      <c r="C46" s="4" t="s">
        <v>954</v>
      </c>
      <c r="D46" s="4" t="s">
        <v>955</v>
      </c>
    </row>
    <row r="47" spans="1:4">
      <c r="A47" s="4" t="s">
        <v>708</v>
      </c>
      <c r="B47" s="4" t="s">
        <v>956</v>
      </c>
      <c r="C47" s="4" t="s">
        <v>908</v>
      </c>
      <c r="D47" s="4" t="s">
        <v>909</v>
      </c>
    </row>
    <row r="48" spans="1:4">
      <c r="A48" s="4" t="s">
        <v>709</v>
      </c>
      <c r="B48" s="4" t="s">
        <v>957</v>
      </c>
      <c r="C48" s="4" t="s">
        <v>904</v>
      </c>
      <c r="D48" s="4" t="s">
        <v>905</v>
      </c>
    </row>
    <row r="49" spans="1:4">
      <c r="A49" s="4" t="s">
        <v>710</v>
      </c>
      <c r="B49" s="4" t="s">
        <v>958</v>
      </c>
      <c r="C49" s="4" t="s">
        <v>908</v>
      </c>
      <c r="D49" s="4" t="s">
        <v>909</v>
      </c>
    </row>
    <row r="50" spans="1:4">
      <c r="A50" s="4" t="s">
        <v>711</v>
      </c>
      <c r="B50" s="4" t="s">
        <v>959</v>
      </c>
      <c r="C50" s="4" t="s">
        <v>908</v>
      </c>
      <c r="D50" s="4" t="s">
        <v>909</v>
      </c>
    </row>
    <row r="51" spans="1:4">
      <c r="A51" s="4" t="s">
        <v>960</v>
      </c>
      <c r="B51" s="4" t="s">
        <v>961</v>
      </c>
      <c r="C51" s="4" t="s">
        <v>691</v>
      </c>
      <c r="D51" s="4" t="s">
        <v>691</v>
      </c>
    </row>
    <row r="52" spans="1:4">
      <c r="A52" s="4" t="s">
        <v>846</v>
      </c>
      <c r="B52" s="4" t="s">
        <v>962</v>
      </c>
      <c r="C52" s="4" t="s">
        <v>963</v>
      </c>
      <c r="D52" s="4" t="s">
        <v>964</v>
      </c>
    </row>
  </sheetData>
  <dataValidations count="1">
    <dataValidation type="list" allowBlank="1" showErrorMessage="1" sqref="A2:A52" xr:uid="{00000000-0002-0000-0400-000000000000}">
      <formula1>"Air Temperature,Air Humidity,CO2 Concentration,Soil Moisture,Soil Temperature,Battery Level,Valve status,Flowmeter pulses,Leak warning,Type,Atmospheric Pressure,Battery Voltage,Gust Speed,Lightning Activity,Lightning Distance,Logger Temperature,Max Precip"&amp;"itation Rate,Precipitation,RH Sensor Temp,Reference Pressure,Solar Radiation,VPD,Vapor Pressure,Wind Direction,Wind Speed,X-axis Level,Y-axis Level,Temperature,Leaf Wetness,Dew Point,Midnight,Solar Panel,Serial Number,Chain Node,Reference evapotranspirati"&amp;"on,DeltaT,Latitude,Longitude,Altitude,Horizontal dilusion,Tensiometer,Unknown,Water Flow,pH,Electric Conductivity,NH3 / Ammonia,NO4 / Nitrate,Groundwater Level,ORP,Chlorophill,Cumulative Rainfall"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5</vt:i4>
      </vt:variant>
    </vt:vector>
  </HeadingPairs>
  <TitlesOfParts>
    <vt:vector size="5" baseType="lpstr">
      <vt:lpstr>All sensors Installed</vt:lpstr>
      <vt:lpstr>Sensor Type Details</vt:lpstr>
      <vt:lpstr>WOT Sensor Details</vt:lpstr>
      <vt:lpstr>Datastream Definition</vt:lpstr>
      <vt:lpstr>Property 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Aumedes Serrano</dc:creator>
  <cp:lastModifiedBy>Joel Aumedes Serrano</cp:lastModifiedBy>
  <dcterms:created xsi:type="dcterms:W3CDTF">2024-01-30T14:50:57Z</dcterms:created>
  <dcterms:modified xsi:type="dcterms:W3CDTF">2024-01-30T14:50:57Z</dcterms:modified>
</cp:coreProperties>
</file>