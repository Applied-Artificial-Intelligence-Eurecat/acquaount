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joel.aumedes\OneDrive - EURECAT\Documentos\Projectes\ACQUAOUNT\acquaount-platform\src\resources\databaseInitialisation\"/>
    </mc:Choice>
  </mc:AlternateContent>
  <xr:revisionPtr revIDLastSave="0" documentId="13_ncr:1_{C8F57B6B-6518-4084-8D68-FCAF21B57282}" xr6:coauthVersionLast="47" xr6:coauthVersionMax="47" xr10:uidLastSave="{00000000-0000-0000-0000-000000000000}"/>
  <bookViews>
    <workbookView xWindow="-120" yWindow="-120" windowWidth="29040" windowHeight="16440" activeTab="1" xr2:uid="{00000000-000D-0000-FFFF-FFFF00000000}"/>
  </bookViews>
  <sheets>
    <sheet name="All sensors Installed" sheetId="1" r:id="rId1"/>
    <sheet name="Datastream Definition" sheetId="2" r:id="rId2"/>
    <sheet name="Sensor Type Details" sheetId="3" r:id="rId3"/>
    <sheet name="Property names" sheetId="4" r:id="rId4"/>
    <sheet name="WOT Sensor Details" sheetId="5" r:id="rId5"/>
  </sheets>
  <definedNames>
    <definedName name="Z_3D2F900D_2898_4F88_B724_10B4ECE753B5_.wvu.FilterData" localSheetId="1" hidden="1">'Datastream Definition'!$A$1:$Q$905</definedName>
    <definedName name="Z_662E6344_8127_4602_9175_96E5F8F14543_.wvu.FilterData" localSheetId="1" hidden="1">'Datastream Definition'!$A$1:$P$905</definedName>
    <definedName name="Z_6C8A9BB0_7449_4672_BB92_3E6F7F40513A_.wvu.FilterData" localSheetId="1" hidden="1">'Datastream Definition'!$A$1:$P$905</definedName>
  </definedNames>
  <calcPr calcId="191029"/>
  <customWorkbookViews>
    <customWorkbookView name="Starting Test View" guid="{6C8A9BB0-7449-4672-BB92-3E6F7F40513A}" maximized="1" windowWidth="0" windowHeight="0" activeSheetId="0"/>
    <customWorkbookView name="No Blank Cells" guid="{662E6344-8127-4602-9175-96E5F8F14543}" maximized="1" windowWidth="0" windowHeight="0" activeSheetId="0"/>
    <customWorkbookView name="All No Missing Data" guid="{3D2F900D-2898-4F88-B724-10B4ECE753B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8" i="5" l="1"/>
  <c r="O38" i="5"/>
  <c r="N38" i="5"/>
  <c r="M38" i="5"/>
  <c r="L38" i="5"/>
  <c r="K38" i="5"/>
  <c r="J38" i="5"/>
  <c r="I38" i="5"/>
  <c r="H38" i="5"/>
  <c r="G38" i="5"/>
  <c r="F38" i="5"/>
  <c r="E38" i="5"/>
  <c r="D38" i="5"/>
  <c r="C38" i="5"/>
  <c r="B38" i="5"/>
  <c r="P37" i="5"/>
  <c r="O37" i="5"/>
  <c r="N37" i="5"/>
  <c r="M37" i="5"/>
  <c r="L37" i="5"/>
  <c r="K37" i="5"/>
  <c r="J37" i="5"/>
  <c r="I37" i="5"/>
  <c r="H37" i="5"/>
  <c r="G37" i="5"/>
  <c r="F37" i="5"/>
  <c r="E37" i="5"/>
  <c r="D37" i="5"/>
  <c r="C37" i="5"/>
  <c r="B37" i="5"/>
  <c r="P36" i="5"/>
  <c r="O36" i="5"/>
  <c r="N36" i="5"/>
  <c r="M36" i="5"/>
  <c r="L36" i="5"/>
  <c r="K36" i="5"/>
  <c r="J36" i="5"/>
  <c r="I36" i="5"/>
  <c r="H36" i="5"/>
  <c r="G36" i="5"/>
  <c r="F36" i="5"/>
  <c r="E36" i="5"/>
  <c r="D36" i="5"/>
  <c r="C36" i="5"/>
  <c r="B36" i="5"/>
  <c r="P35" i="5"/>
  <c r="O35" i="5"/>
  <c r="N35" i="5"/>
  <c r="M35" i="5"/>
  <c r="L35" i="5"/>
  <c r="K35" i="5"/>
  <c r="J35" i="5"/>
  <c r="I35" i="5"/>
  <c r="H35" i="5"/>
  <c r="G35" i="5"/>
  <c r="F35" i="5"/>
  <c r="E35" i="5"/>
  <c r="D35" i="5"/>
  <c r="C35" i="5"/>
  <c r="B35" i="5"/>
  <c r="P34" i="5"/>
  <c r="O34" i="5"/>
  <c r="N34" i="5"/>
  <c r="M34" i="5"/>
  <c r="L34" i="5"/>
  <c r="K34" i="5"/>
  <c r="J34" i="5"/>
  <c r="I34" i="5"/>
  <c r="H34" i="5"/>
  <c r="G34" i="5"/>
  <c r="F34" i="5"/>
  <c r="E34" i="5"/>
  <c r="D34" i="5"/>
  <c r="C34" i="5"/>
  <c r="B34" i="5"/>
  <c r="I32" i="5"/>
  <c r="H32" i="5"/>
  <c r="G32" i="5"/>
  <c r="F32" i="5"/>
  <c r="E32" i="5"/>
  <c r="D32" i="5"/>
  <c r="C32" i="5"/>
  <c r="B32" i="5"/>
  <c r="P37" i="3"/>
  <c r="O37" i="3"/>
  <c r="N37" i="3"/>
  <c r="M37" i="3"/>
  <c r="L37" i="3"/>
  <c r="K37" i="3"/>
  <c r="J37" i="3"/>
  <c r="I37" i="3"/>
  <c r="H37" i="3"/>
  <c r="G37" i="3"/>
  <c r="F37" i="3"/>
  <c r="E37" i="3"/>
  <c r="D37" i="3"/>
  <c r="C37" i="3"/>
  <c r="B37" i="3"/>
  <c r="P36" i="3"/>
  <c r="O36" i="3"/>
  <c r="N36" i="3"/>
  <c r="M36" i="3"/>
  <c r="L36" i="3"/>
  <c r="K36" i="3"/>
  <c r="J36" i="3"/>
  <c r="I36" i="3"/>
  <c r="H36" i="3"/>
  <c r="G36" i="3"/>
  <c r="F36" i="3"/>
  <c r="E36" i="3"/>
  <c r="D36" i="3"/>
  <c r="C36" i="3"/>
  <c r="B36" i="3"/>
  <c r="P35" i="3"/>
  <c r="O35" i="3"/>
  <c r="N35" i="3"/>
  <c r="M35" i="3"/>
  <c r="L35" i="3"/>
  <c r="K35" i="3"/>
  <c r="J35" i="3"/>
  <c r="I35" i="3"/>
  <c r="H35" i="3"/>
  <c r="G35" i="3"/>
  <c r="F35" i="3"/>
  <c r="E35" i="3"/>
  <c r="D35" i="3"/>
  <c r="C35" i="3"/>
  <c r="B35" i="3"/>
  <c r="P34" i="3"/>
  <c r="O34" i="3"/>
  <c r="N34" i="3"/>
  <c r="M34" i="3"/>
  <c r="L34" i="3"/>
  <c r="K34" i="3"/>
  <c r="J34" i="3"/>
  <c r="I34" i="3"/>
  <c r="H34" i="3"/>
  <c r="G34" i="3"/>
  <c r="F34" i="3"/>
  <c r="E34" i="3"/>
  <c r="D34" i="3"/>
  <c r="C34" i="3"/>
  <c r="B34" i="3"/>
  <c r="P33" i="3"/>
  <c r="O33" i="3"/>
  <c r="N33" i="3"/>
  <c r="M33" i="3"/>
  <c r="L33" i="3"/>
  <c r="K33" i="3"/>
  <c r="J33" i="3"/>
  <c r="I33" i="3"/>
  <c r="H33" i="3"/>
  <c r="G33" i="3"/>
  <c r="F33" i="3"/>
  <c r="E33" i="3"/>
  <c r="D33" i="3"/>
  <c r="C33" i="3"/>
  <c r="B33" i="3"/>
  <c r="I31" i="3"/>
  <c r="G31" i="3"/>
  <c r="F31" i="3"/>
  <c r="E31" i="3"/>
  <c r="D31" i="3"/>
  <c r="C31" i="3"/>
  <c r="B31" i="3"/>
  <c r="P905" i="2"/>
  <c r="O905" i="2"/>
  <c r="N905" i="2"/>
  <c r="M905" i="2"/>
  <c r="L905" i="2"/>
  <c r="P904" i="2"/>
  <c r="O904" i="2"/>
  <c r="N904" i="2"/>
  <c r="M904" i="2"/>
  <c r="L904" i="2"/>
  <c r="P903" i="2"/>
  <c r="O903" i="2"/>
  <c r="N903" i="2"/>
  <c r="M903" i="2"/>
  <c r="L903" i="2"/>
  <c r="P902" i="2"/>
  <c r="O902" i="2"/>
  <c r="N902" i="2"/>
  <c r="M902" i="2"/>
  <c r="L902" i="2"/>
  <c r="P901" i="2"/>
  <c r="O901" i="2"/>
  <c r="N901" i="2"/>
  <c r="M901" i="2"/>
  <c r="L901" i="2"/>
  <c r="P900" i="2"/>
  <c r="O900" i="2"/>
  <c r="N900" i="2"/>
  <c r="M900" i="2"/>
  <c r="L900" i="2"/>
  <c r="P899" i="2"/>
  <c r="O899" i="2"/>
  <c r="N899" i="2"/>
  <c r="M899" i="2"/>
  <c r="L899" i="2"/>
  <c r="P898" i="2"/>
  <c r="O898" i="2"/>
  <c r="N898" i="2"/>
  <c r="M898" i="2"/>
  <c r="L898" i="2"/>
  <c r="P897" i="2"/>
  <c r="O897" i="2"/>
  <c r="N897" i="2"/>
  <c r="M897" i="2"/>
  <c r="L897" i="2"/>
  <c r="P896" i="2"/>
  <c r="O896" i="2"/>
  <c r="N896" i="2"/>
  <c r="M896" i="2"/>
  <c r="L896" i="2"/>
  <c r="P895" i="2"/>
  <c r="O895" i="2"/>
  <c r="N895" i="2"/>
  <c r="M895" i="2"/>
  <c r="L895" i="2"/>
  <c r="P894" i="2"/>
  <c r="O894" i="2"/>
  <c r="N894" i="2"/>
  <c r="M894" i="2"/>
  <c r="L894" i="2"/>
  <c r="P893" i="2"/>
  <c r="O893" i="2"/>
  <c r="N893" i="2"/>
  <c r="M893" i="2"/>
  <c r="L893" i="2"/>
  <c r="P892" i="2"/>
  <c r="O892" i="2"/>
  <c r="N892" i="2"/>
  <c r="M892" i="2"/>
  <c r="L892" i="2"/>
  <c r="P891" i="2"/>
  <c r="O891" i="2"/>
  <c r="N891" i="2"/>
  <c r="M891" i="2"/>
  <c r="L891" i="2"/>
  <c r="P890" i="2"/>
  <c r="O890" i="2"/>
  <c r="N890" i="2"/>
  <c r="M890" i="2"/>
  <c r="L890" i="2"/>
  <c r="P889" i="2"/>
  <c r="O889" i="2"/>
  <c r="N889" i="2"/>
  <c r="M889" i="2"/>
  <c r="L889" i="2"/>
  <c r="P888" i="2"/>
  <c r="O888" i="2"/>
  <c r="N888" i="2"/>
  <c r="M888" i="2"/>
  <c r="L888" i="2"/>
  <c r="P887" i="2"/>
  <c r="O887" i="2"/>
  <c r="N887" i="2"/>
  <c r="M887" i="2"/>
  <c r="L887" i="2"/>
  <c r="P886" i="2"/>
  <c r="O886" i="2"/>
  <c r="N886" i="2"/>
  <c r="M886" i="2"/>
  <c r="L886" i="2"/>
  <c r="P885" i="2"/>
  <c r="O885" i="2"/>
  <c r="N885" i="2"/>
  <c r="M885" i="2"/>
  <c r="L885" i="2"/>
  <c r="P884" i="2"/>
  <c r="O884" i="2"/>
  <c r="N884" i="2"/>
  <c r="M884" i="2"/>
  <c r="L884" i="2"/>
  <c r="P883" i="2"/>
  <c r="O883" i="2"/>
  <c r="N883" i="2"/>
  <c r="M883" i="2"/>
  <c r="L883" i="2"/>
  <c r="P882" i="2"/>
  <c r="O882" i="2"/>
  <c r="N882" i="2"/>
  <c r="M882" i="2"/>
  <c r="L882" i="2"/>
  <c r="P881" i="2"/>
  <c r="O881" i="2"/>
  <c r="N881" i="2"/>
  <c r="M881" i="2"/>
  <c r="L881" i="2"/>
  <c r="P880" i="2"/>
  <c r="O880" i="2"/>
  <c r="N880" i="2"/>
  <c r="M880" i="2"/>
  <c r="L880" i="2"/>
  <c r="P879" i="2"/>
  <c r="O879" i="2"/>
  <c r="N879" i="2"/>
  <c r="M879" i="2"/>
  <c r="L879" i="2"/>
  <c r="P878" i="2"/>
  <c r="O878" i="2"/>
  <c r="N878" i="2"/>
  <c r="M878" i="2"/>
  <c r="L878" i="2"/>
  <c r="P877" i="2"/>
  <c r="O877" i="2"/>
  <c r="N877" i="2"/>
  <c r="M877" i="2"/>
  <c r="L877" i="2"/>
  <c r="P876" i="2"/>
  <c r="O876" i="2"/>
  <c r="N876" i="2"/>
  <c r="M876" i="2"/>
  <c r="L876" i="2"/>
  <c r="P875" i="2"/>
  <c r="O875" i="2"/>
  <c r="N875" i="2"/>
  <c r="M875" i="2"/>
  <c r="L875" i="2"/>
  <c r="P874" i="2"/>
  <c r="O874" i="2"/>
  <c r="N874" i="2"/>
  <c r="M874" i="2"/>
  <c r="L874" i="2"/>
  <c r="P873" i="2"/>
  <c r="O873" i="2"/>
  <c r="N873" i="2"/>
  <c r="M873" i="2"/>
  <c r="L873" i="2"/>
  <c r="P872" i="2"/>
  <c r="O872" i="2"/>
  <c r="N872" i="2"/>
  <c r="M872" i="2"/>
  <c r="L872" i="2"/>
  <c r="P871" i="2"/>
  <c r="O871" i="2"/>
  <c r="N871" i="2"/>
  <c r="M871" i="2"/>
  <c r="L871" i="2"/>
  <c r="P870" i="2"/>
  <c r="O870" i="2"/>
  <c r="N870" i="2"/>
  <c r="M870" i="2"/>
  <c r="L870" i="2"/>
  <c r="P869" i="2"/>
  <c r="O869" i="2"/>
  <c r="N869" i="2"/>
  <c r="M869" i="2"/>
  <c r="L869" i="2"/>
  <c r="P868" i="2"/>
  <c r="O868" i="2"/>
  <c r="N868" i="2"/>
  <c r="M868" i="2"/>
  <c r="L868" i="2"/>
  <c r="P867" i="2"/>
  <c r="O867" i="2"/>
  <c r="N867" i="2"/>
  <c r="M867" i="2"/>
  <c r="L867" i="2"/>
  <c r="P866" i="2"/>
  <c r="O866" i="2"/>
  <c r="N866" i="2"/>
  <c r="M866" i="2"/>
  <c r="L866" i="2"/>
  <c r="P865" i="2"/>
  <c r="O865" i="2"/>
  <c r="N865" i="2"/>
  <c r="M865" i="2"/>
  <c r="L865" i="2"/>
  <c r="P864" i="2"/>
  <c r="O864" i="2"/>
  <c r="N864" i="2"/>
  <c r="M864" i="2"/>
  <c r="L864" i="2"/>
  <c r="P863" i="2"/>
  <c r="O863" i="2"/>
  <c r="N863" i="2"/>
  <c r="M863" i="2"/>
  <c r="L863" i="2"/>
  <c r="P862" i="2"/>
  <c r="O862" i="2"/>
  <c r="N862" i="2"/>
  <c r="M862" i="2"/>
  <c r="L862" i="2"/>
  <c r="P861" i="2"/>
  <c r="O861" i="2"/>
  <c r="N861" i="2"/>
  <c r="M861" i="2"/>
  <c r="L861" i="2"/>
  <c r="P860" i="2"/>
  <c r="O860" i="2"/>
  <c r="N860" i="2"/>
  <c r="M860" i="2"/>
  <c r="L860" i="2"/>
  <c r="P859" i="2"/>
  <c r="O859" i="2"/>
  <c r="N859" i="2"/>
  <c r="M859" i="2"/>
  <c r="L859" i="2"/>
  <c r="P858" i="2"/>
  <c r="O858" i="2"/>
  <c r="N858" i="2"/>
  <c r="M858" i="2"/>
  <c r="L858" i="2"/>
  <c r="P857" i="2"/>
  <c r="O857" i="2"/>
  <c r="N857" i="2"/>
  <c r="M857" i="2"/>
  <c r="L857" i="2"/>
  <c r="P856" i="2"/>
  <c r="O856" i="2"/>
  <c r="N856" i="2"/>
  <c r="M856" i="2"/>
  <c r="L856" i="2"/>
  <c r="P855" i="2"/>
  <c r="O855" i="2"/>
  <c r="N855" i="2"/>
  <c r="M855" i="2"/>
  <c r="L855" i="2"/>
  <c r="P854" i="2"/>
  <c r="O854" i="2"/>
  <c r="N854" i="2"/>
  <c r="M854" i="2"/>
  <c r="L854" i="2"/>
  <c r="P853" i="2"/>
  <c r="O853" i="2"/>
  <c r="N853" i="2"/>
  <c r="M853" i="2"/>
  <c r="L853" i="2"/>
  <c r="P852" i="2"/>
  <c r="O852" i="2"/>
  <c r="N852" i="2"/>
  <c r="M852" i="2"/>
  <c r="L852" i="2"/>
  <c r="P851" i="2"/>
  <c r="O851" i="2"/>
  <c r="N851" i="2"/>
  <c r="M851" i="2"/>
  <c r="L851" i="2"/>
  <c r="P850" i="2"/>
  <c r="O850" i="2"/>
  <c r="N850" i="2"/>
  <c r="M850" i="2"/>
  <c r="L850" i="2"/>
  <c r="P849" i="2"/>
  <c r="O849" i="2"/>
  <c r="N849" i="2"/>
  <c r="M849" i="2"/>
  <c r="L849" i="2"/>
  <c r="P848" i="2"/>
  <c r="O848" i="2"/>
  <c r="N848" i="2"/>
  <c r="M848" i="2"/>
  <c r="L848" i="2"/>
  <c r="P847" i="2"/>
  <c r="O847" i="2"/>
  <c r="N847" i="2"/>
  <c r="M847" i="2"/>
  <c r="L847" i="2"/>
  <c r="P846" i="2"/>
  <c r="O846" i="2"/>
  <c r="N846" i="2"/>
  <c r="M846" i="2"/>
  <c r="L846" i="2"/>
  <c r="P845" i="2"/>
  <c r="O845" i="2"/>
  <c r="N845" i="2"/>
  <c r="M845" i="2"/>
  <c r="L845" i="2"/>
  <c r="P844" i="2"/>
  <c r="O844" i="2"/>
  <c r="N844" i="2"/>
  <c r="M844" i="2"/>
  <c r="L844" i="2"/>
  <c r="P843" i="2"/>
  <c r="O843" i="2"/>
  <c r="N843" i="2"/>
  <c r="M843" i="2"/>
  <c r="L843" i="2"/>
  <c r="P842" i="2"/>
  <c r="O842" i="2"/>
  <c r="N842" i="2"/>
  <c r="M842" i="2"/>
  <c r="L842" i="2"/>
  <c r="P841" i="2"/>
  <c r="O841" i="2"/>
  <c r="N841" i="2"/>
  <c r="M841" i="2"/>
  <c r="L841" i="2"/>
  <c r="P840" i="2"/>
  <c r="O840" i="2"/>
  <c r="N840" i="2"/>
  <c r="M840" i="2"/>
  <c r="L840" i="2"/>
  <c r="P839" i="2"/>
  <c r="O839" i="2"/>
  <c r="N839" i="2"/>
  <c r="M839" i="2"/>
  <c r="L839" i="2"/>
  <c r="P838" i="2"/>
  <c r="O838" i="2"/>
  <c r="N838" i="2"/>
  <c r="M838" i="2"/>
  <c r="L838" i="2"/>
  <c r="P837" i="2"/>
  <c r="O837" i="2"/>
  <c r="N837" i="2"/>
  <c r="M837" i="2"/>
  <c r="L837" i="2"/>
  <c r="P836" i="2"/>
  <c r="O836" i="2"/>
  <c r="N836" i="2"/>
  <c r="M836" i="2"/>
  <c r="L836" i="2"/>
  <c r="P835" i="2"/>
  <c r="O835" i="2"/>
  <c r="N835" i="2"/>
  <c r="M835" i="2"/>
  <c r="L835" i="2"/>
  <c r="P834" i="2"/>
  <c r="O834" i="2"/>
  <c r="N834" i="2"/>
  <c r="M834" i="2"/>
  <c r="L834" i="2"/>
  <c r="P833" i="2"/>
  <c r="O833" i="2"/>
  <c r="N833" i="2"/>
  <c r="M833" i="2"/>
  <c r="L833" i="2"/>
  <c r="P832" i="2"/>
  <c r="O832" i="2"/>
  <c r="N832" i="2"/>
  <c r="M832" i="2"/>
  <c r="L832" i="2"/>
  <c r="P831" i="2"/>
  <c r="O831" i="2"/>
  <c r="N831" i="2"/>
  <c r="M831" i="2"/>
  <c r="L831" i="2"/>
  <c r="P830" i="2"/>
  <c r="O830" i="2"/>
  <c r="N830" i="2"/>
  <c r="M830" i="2"/>
  <c r="L830" i="2"/>
  <c r="P829" i="2"/>
  <c r="O829" i="2"/>
  <c r="N829" i="2"/>
  <c r="M829" i="2"/>
  <c r="L829" i="2"/>
  <c r="P828" i="2"/>
  <c r="O828" i="2"/>
  <c r="N828" i="2"/>
  <c r="M828" i="2"/>
  <c r="L828" i="2"/>
  <c r="P827" i="2"/>
  <c r="O827" i="2"/>
  <c r="N827" i="2"/>
  <c r="M827" i="2"/>
  <c r="L827" i="2"/>
  <c r="P826" i="2"/>
  <c r="O826" i="2"/>
  <c r="N826" i="2"/>
  <c r="M826" i="2"/>
  <c r="L826" i="2"/>
  <c r="P825" i="2"/>
  <c r="O825" i="2"/>
  <c r="N825" i="2"/>
  <c r="M825" i="2"/>
  <c r="L825" i="2"/>
  <c r="P824" i="2"/>
  <c r="O824" i="2"/>
  <c r="N824" i="2"/>
  <c r="M824" i="2"/>
  <c r="L824" i="2"/>
  <c r="P823" i="2"/>
  <c r="O823" i="2"/>
  <c r="N823" i="2"/>
  <c r="M823" i="2"/>
  <c r="L823" i="2"/>
  <c r="P822" i="2"/>
  <c r="O822" i="2"/>
  <c r="N822" i="2"/>
  <c r="M822" i="2"/>
  <c r="L822" i="2"/>
  <c r="P821" i="2"/>
  <c r="O821" i="2"/>
  <c r="N821" i="2"/>
  <c r="M821" i="2"/>
  <c r="L821" i="2"/>
  <c r="P820" i="2"/>
  <c r="O820" i="2"/>
  <c r="N820" i="2"/>
  <c r="M820" i="2"/>
  <c r="L820" i="2"/>
  <c r="P819" i="2"/>
  <c r="O819" i="2"/>
  <c r="N819" i="2"/>
  <c r="M819" i="2"/>
  <c r="L819" i="2"/>
  <c r="P818" i="2"/>
  <c r="O818" i="2"/>
  <c r="N818" i="2"/>
  <c r="M818" i="2"/>
  <c r="L818" i="2"/>
  <c r="P817" i="2"/>
  <c r="O817" i="2"/>
  <c r="N817" i="2"/>
  <c r="M817" i="2"/>
  <c r="L817" i="2"/>
  <c r="P816" i="2"/>
  <c r="O816" i="2"/>
  <c r="N816" i="2"/>
  <c r="M816" i="2"/>
  <c r="L816" i="2"/>
  <c r="P815" i="2"/>
  <c r="O815" i="2"/>
  <c r="N815" i="2"/>
  <c r="M815" i="2"/>
  <c r="L815" i="2"/>
  <c r="P814" i="2"/>
  <c r="O814" i="2"/>
  <c r="N814" i="2"/>
  <c r="M814" i="2"/>
  <c r="L814" i="2"/>
  <c r="P813" i="2"/>
  <c r="O813" i="2"/>
  <c r="N813" i="2"/>
  <c r="M813" i="2"/>
  <c r="L813" i="2"/>
  <c r="P812" i="2"/>
  <c r="O812" i="2"/>
  <c r="N812" i="2"/>
  <c r="M812" i="2"/>
  <c r="L812" i="2"/>
  <c r="P811" i="2"/>
  <c r="O811" i="2"/>
  <c r="N811" i="2"/>
  <c r="M811" i="2"/>
  <c r="L811" i="2"/>
  <c r="P810" i="2"/>
  <c r="O810" i="2"/>
  <c r="N810" i="2"/>
  <c r="M810" i="2"/>
  <c r="L810" i="2"/>
  <c r="P809" i="2"/>
  <c r="O809" i="2"/>
  <c r="N809" i="2"/>
  <c r="M809" i="2"/>
  <c r="L809" i="2"/>
  <c r="P808" i="2"/>
  <c r="O808" i="2"/>
  <c r="N808" i="2"/>
  <c r="M808" i="2"/>
  <c r="L808" i="2"/>
  <c r="P807" i="2"/>
  <c r="O807" i="2"/>
  <c r="N807" i="2"/>
  <c r="M807" i="2"/>
  <c r="L807" i="2"/>
  <c r="P806" i="2"/>
  <c r="O806" i="2"/>
  <c r="N806" i="2"/>
  <c r="M806" i="2"/>
  <c r="L806" i="2"/>
  <c r="P805" i="2"/>
  <c r="O805" i="2"/>
  <c r="N805" i="2"/>
  <c r="M805" i="2"/>
  <c r="L805" i="2"/>
  <c r="P804" i="2"/>
  <c r="O804" i="2"/>
  <c r="N804" i="2"/>
  <c r="M804" i="2"/>
  <c r="L804" i="2"/>
  <c r="P803" i="2"/>
  <c r="O803" i="2"/>
  <c r="N803" i="2"/>
  <c r="M803" i="2"/>
  <c r="L803" i="2"/>
  <c r="P802" i="2"/>
  <c r="O802" i="2"/>
  <c r="N802" i="2"/>
  <c r="M802" i="2"/>
  <c r="L802" i="2"/>
  <c r="P801" i="2"/>
  <c r="O801" i="2"/>
  <c r="N801" i="2"/>
  <c r="M801" i="2"/>
  <c r="L801" i="2"/>
  <c r="P800" i="2"/>
  <c r="O800" i="2"/>
  <c r="N800" i="2"/>
  <c r="M800" i="2"/>
  <c r="L800" i="2"/>
  <c r="P799" i="2"/>
  <c r="O799" i="2"/>
  <c r="N799" i="2"/>
  <c r="M799" i="2"/>
  <c r="L799" i="2"/>
  <c r="P798" i="2"/>
  <c r="O798" i="2"/>
  <c r="N798" i="2"/>
  <c r="M798" i="2"/>
  <c r="L798" i="2"/>
  <c r="P797" i="2"/>
  <c r="O797" i="2"/>
  <c r="N797" i="2"/>
  <c r="M797" i="2"/>
  <c r="L797" i="2"/>
  <c r="P796" i="2"/>
  <c r="O796" i="2"/>
  <c r="N796" i="2"/>
  <c r="M796" i="2"/>
  <c r="L796" i="2"/>
  <c r="P795" i="2"/>
  <c r="O795" i="2"/>
  <c r="N795" i="2"/>
  <c r="M795" i="2"/>
  <c r="L795" i="2"/>
  <c r="P794" i="2"/>
  <c r="O794" i="2"/>
  <c r="N794" i="2"/>
  <c r="M794" i="2"/>
  <c r="L794" i="2"/>
  <c r="P793" i="2"/>
  <c r="O793" i="2"/>
  <c r="N793" i="2"/>
  <c r="M793" i="2"/>
  <c r="L793" i="2"/>
  <c r="P792" i="2"/>
  <c r="O792" i="2"/>
  <c r="N792" i="2"/>
  <c r="M792" i="2"/>
  <c r="L792" i="2"/>
  <c r="P791" i="2"/>
  <c r="O791" i="2"/>
  <c r="N791" i="2"/>
  <c r="M791" i="2"/>
  <c r="L791" i="2"/>
  <c r="P790" i="2"/>
  <c r="O790" i="2"/>
  <c r="N790" i="2"/>
  <c r="M790" i="2"/>
  <c r="L790" i="2"/>
  <c r="P789" i="2"/>
  <c r="O789" i="2"/>
  <c r="N789" i="2"/>
  <c r="M789" i="2"/>
  <c r="L789" i="2"/>
  <c r="P788" i="2"/>
  <c r="O788" i="2"/>
  <c r="N788" i="2"/>
  <c r="M788" i="2"/>
  <c r="L788" i="2"/>
  <c r="P787" i="2"/>
  <c r="O787" i="2"/>
  <c r="N787" i="2"/>
  <c r="M787" i="2"/>
  <c r="L787" i="2"/>
  <c r="P786" i="2"/>
  <c r="O786" i="2"/>
  <c r="N786" i="2"/>
  <c r="M786" i="2"/>
  <c r="L786" i="2"/>
  <c r="P785" i="2"/>
  <c r="O785" i="2"/>
  <c r="N785" i="2"/>
  <c r="M785" i="2"/>
  <c r="L785" i="2"/>
  <c r="P784" i="2"/>
  <c r="O784" i="2"/>
  <c r="N784" i="2"/>
  <c r="M784" i="2"/>
  <c r="L784" i="2"/>
  <c r="P783" i="2"/>
  <c r="O783" i="2"/>
  <c r="N783" i="2"/>
  <c r="M783" i="2"/>
  <c r="L783" i="2"/>
  <c r="P782" i="2"/>
  <c r="O782" i="2"/>
  <c r="N782" i="2"/>
  <c r="M782" i="2"/>
  <c r="L782" i="2"/>
  <c r="P781" i="2"/>
  <c r="O781" i="2"/>
  <c r="N781" i="2"/>
  <c r="M781" i="2"/>
  <c r="L781" i="2"/>
  <c r="P780" i="2"/>
  <c r="O780" i="2"/>
  <c r="N780" i="2"/>
  <c r="M780" i="2"/>
  <c r="L780" i="2"/>
  <c r="P779" i="2"/>
  <c r="O779" i="2"/>
  <c r="N779" i="2"/>
  <c r="M779" i="2"/>
  <c r="L779" i="2"/>
  <c r="P778" i="2"/>
  <c r="O778" i="2"/>
  <c r="N778" i="2"/>
  <c r="M778" i="2"/>
  <c r="L778" i="2"/>
  <c r="P777" i="2"/>
  <c r="O777" i="2"/>
  <c r="N777" i="2"/>
  <c r="M777" i="2"/>
  <c r="L777" i="2"/>
  <c r="P776" i="2"/>
  <c r="O776" i="2"/>
  <c r="N776" i="2"/>
  <c r="M776" i="2"/>
  <c r="L776" i="2"/>
  <c r="P775" i="2"/>
  <c r="O775" i="2"/>
  <c r="N775" i="2"/>
  <c r="M775" i="2"/>
  <c r="L775" i="2"/>
  <c r="P774" i="2"/>
  <c r="O774" i="2"/>
  <c r="N774" i="2"/>
  <c r="M774" i="2"/>
  <c r="L774" i="2"/>
  <c r="P773" i="2"/>
  <c r="O773" i="2"/>
  <c r="N773" i="2"/>
  <c r="M773" i="2"/>
  <c r="L773" i="2"/>
  <c r="P772" i="2"/>
  <c r="O772" i="2"/>
  <c r="N772" i="2"/>
  <c r="M772" i="2"/>
  <c r="L772" i="2"/>
  <c r="P771" i="2"/>
  <c r="O771" i="2"/>
  <c r="N771" i="2"/>
  <c r="M771" i="2"/>
  <c r="L771" i="2"/>
  <c r="P770" i="2"/>
  <c r="O770" i="2"/>
  <c r="N770" i="2"/>
  <c r="M770" i="2"/>
  <c r="L770" i="2"/>
  <c r="P769" i="2"/>
  <c r="O769" i="2"/>
  <c r="N769" i="2"/>
  <c r="M769" i="2"/>
  <c r="L769" i="2"/>
  <c r="P768" i="2"/>
  <c r="O768" i="2"/>
  <c r="N768" i="2"/>
  <c r="M768" i="2"/>
  <c r="L768" i="2"/>
  <c r="P767" i="2"/>
  <c r="O767" i="2"/>
  <c r="N767" i="2"/>
  <c r="M767" i="2"/>
  <c r="L767" i="2"/>
  <c r="P766" i="2"/>
  <c r="O766" i="2"/>
  <c r="N766" i="2"/>
  <c r="M766" i="2"/>
  <c r="L766" i="2"/>
  <c r="P765" i="2"/>
  <c r="O765" i="2"/>
  <c r="N765" i="2"/>
  <c r="M765" i="2"/>
  <c r="L765" i="2"/>
  <c r="P764" i="2"/>
  <c r="O764" i="2"/>
  <c r="N764" i="2"/>
  <c r="M764" i="2"/>
  <c r="L764" i="2"/>
  <c r="P763" i="2"/>
  <c r="O763" i="2"/>
  <c r="N763" i="2"/>
  <c r="M763" i="2"/>
  <c r="L763" i="2"/>
  <c r="P762" i="2"/>
  <c r="O762" i="2"/>
  <c r="N762" i="2"/>
  <c r="M762" i="2"/>
  <c r="L762" i="2"/>
  <c r="P761" i="2"/>
  <c r="O761" i="2"/>
  <c r="N761" i="2"/>
  <c r="M761" i="2"/>
  <c r="L761" i="2"/>
  <c r="P760" i="2"/>
  <c r="O760" i="2"/>
  <c r="N760" i="2"/>
  <c r="M760" i="2"/>
  <c r="L760" i="2"/>
  <c r="P759" i="2"/>
  <c r="O759" i="2"/>
  <c r="N759" i="2"/>
  <c r="M759" i="2"/>
  <c r="L759" i="2"/>
  <c r="P758" i="2"/>
  <c r="O758" i="2"/>
  <c r="N758" i="2"/>
  <c r="M758" i="2"/>
  <c r="L758" i="2"/>
  <c r="P757" i="2"/>
  <c r="O757" i="2"/>
  <c r="N757" i="2"/>
  <c r="M757" i="2"/>
  <c r="L757" i="2"/>
  <c r="P756" i="2"/>
  <c r="O756" i="2"/>
  <c r="N756" i="2"/>
  <c r="M756" i="2"/>
  <c r="L756" i="2"/>
  <c r="P755" i="2"/>
  <c r="O755" i="2"/>
  <c r="N755" i="2"/>
  <c r="M755" i="2"/>
  <c r="L755" i="2"/>
  <c r="P754" i="2"/>
  <c r="O754" i="2"/>
  <c r="N754" i="2"/>
  <c r="M754" i="2"/>
  <c r="L754" i="2"/>
  <c r="P753" i="2"/>
  <c r="O753" i="2"/>
  <c r="N753" i="2"/>
  <c r="M753" i="2"/>
  <c r="L753" i="2"/>
  <c r="P752" i="2"/>
  <c r="O752" i="2"/>
  <c r="N752" i="2"/>
  <c r="M752" i="2"/>
  <c r="L752" i="2"/>
  <c r="P751" i="2"/>
  <c r="O751" i="2"/>
  <c r="N751" i="2"/>
  <c r="M751" i="2"/>
  <c r="L751" i="2"/>
  <c r="P750" i="2"/>
  <c r="O750" i="2"/>
  <c r="N750" i="2"/>
  <c r="M750" i="2"/>
  <c r="L750" i="2"/>
  <c r="P749" i="2"/>
  <c r="O749" i="2"/>
  <c r="N749" i="2"/>
  <c r="M749" i="2"/>
  <c r="L749" i="2"/>
  <c r="P748" i="2"/>
  <c r="O748" i="2"/>
  <c r="N748" i="2"/>
  <c r="M748" i="2"/>
  <c r="L748" i="2"/>
  <c r="P747" i="2"/>
  <c r="O747" i="2"/>
  <c r="N747" i="2"/>
  <c r="M747" i="2"/>
  <c r="L747" i="2"/>
  <c r="P746" i="2"/>
  <c r="O746" i="2"/>
  <c r="N746" i="2"/>
  <c r="M746" i="2"/>
  <c r="L746" i="2"/>
  <c r="P745" i="2"/>
  <c r="O745" i="2"/>
  <c r="N745" i="2"/>
  <c r="M745" i="2"/>
  <c r="L745" i="2"/>
  <c r="P744" i="2"/>
  <c r="O744" i="2"/>
  <c r="N744" i="2"/>
  <c r="M744" i="2"/>
  <c r="L744" i="2"/>
  <c r="P743" i="2"/>
  <c r="O743" i="2"/>
  <c r="N743" i="2"/>
  <c r="M743" i="2"/>
  <c r="L743" i="2"/>
  <c r="P742" i="2"/>
  <c r="O742" i="2"/>
  <c r="N742" i="2"/>
  <c r="M742" i="2"/>
  <c r="L742" i="2"/>
  <c r="P741" i="2"/>
  <c r="O741" i="2"/>
  <c r="N741" i="2"/>
  <c r="M741" i="2"/>
  <c r="L741" i="2"/>
  <c r="P740" i="2"/>
  <c r="O740" i="2"/>
  <c r="N740" i="2"/>
  <c r="M740" i="2"/>
  <c r="L740" i="2"/>
  <c r="P739" i="2"/>
  <c r="O739" i="2"/>
  <c r="N739" i="2"/>
  <c r="M739" i="2"/>
  <c r="L739" i="2"/>
  <c r="P738" i="2"/>
  <c r="O738" i="2"/>
  <c r="N738" i="2"/>
  <c r="M738" i="2"/>
  <c r="L738" i="2"/>
  <c r="P737" i="2"/>
  <c r="O737" i="2"/>
  <c r="N737" i="2"/>
  <c r="M737" i="2"/>
  <c r="L737" i="2"/>
  <c r="P736" i="2"/>
  <c r="O736" i="2"/>
  <c r="N736" i="2"/>
  <c r="M736" i="2"/>
  <c r="L736" i="2"/>
  <c r="P735" i="2"/>
  <c r="O735" i="2"/>
  <c r="N735" i="2"/>
  <c r="M735" i="2"/>
  <c r="L735" i="2"/>
  <c r="P734" i="2"/>
  <c r="O734" i="2"/>
  <c r="N734" i="2"/>
  <c r="M734" i="2"/>
  <c r="L734" i="2"/>
  <c r="P733" i="2"/>
  <c r="O733" i="2"/>
  <c r="N733" i="2"/>
  <c r="M733" i="2"/>
  <c r="L733" i="2"/>
  <c r="P732" i="2"/>
  <c r="O732" i="2"/>
  <c r="N732" i="2"/>
  <c r="M732" i="2"/>
  <c r="L732" i="2"/>
  <c r="P731" i="2"/>
  <c r="O731" i="2"/>
  <c r="N731" i="2"/>
  <c r="M731" i="2"/>
  <c r="L731" i="2"/>
  <c r="P730" i="2"/>
  <c r="O730" i="2"/>
  <c r="N730" i="2"/>
  <c r="M730" i="2"/>
  <c r="L730" i="2"/>
  <c r="P729" i="2"/>
  <c r="O729" i="2"/>
  <c r="N729" i="2"/>
  <c r="M729" i="2"/>
  <c r="L729" i="2"/>
  <c r="P728" i="2"/>
  <c r="O728" i="2"/>
  <c r="N728" i="2"/>
  <c r="M728" i="2"/>
  <c r="L728" i="2"/>
  <c r="P727" i="2"/>
  <c r="O727" i="2"/>
  <c r="N727" i="2"/>
  <c r="M727" i="2"/>
  <c r="L727" i="2"/>
  <c r="P726" i="2"/>
  <c r="O726" i="2"/>
  <c r="N726" i="2"/>
  <c r="M726" i="2"/>
  <c r="L726" i="2"/>
  <c r="P725" i="2"/>
  <c r="O725" i="2"/>
  <c r="N725" i="2"/>
  <c r="M725" i="2"/>
  <c r="L725" i="2"/>
  <c r="P724" i="2"/>
  <c r="O724" i="2"/>
  <c r="N724" i="2"/>
  <c r="M724" i="2"/>
  <c r="L724" i="2"/>
  <c r="P723" i="2"/>
  <c r="O723" i="2"/>
  <c r="N723" i="2"/>
  <c r="M723" i="2"/>
  <c r="L723" i="2"/>
  <c r="P722" i="2"/>
  <c r="O722" i="2"/>
  <c r="N722" i="2"/>
  <c r="M722" i="2"/>
  <c r="L722" i="2"/>
  <c r="P721" i="2"/>
  <c r="O721" i="2"/>
  <c r="N721" i="2"/>
  <c r="M721" i="2"/>
  <c r="L721" i="2"/>
  <c r="P720" i="2"/>
  <c r="O720" i="2"/>
  <c r="N720" i="2"/>
  <c r="M720" i="2"/>
  <c r="L720" i="2"/>
  <c r="P719" i="2"/>
  <c r="O719" i="2"/>
  <c r="N719" i="2"/>
  <c r="M719" i="2"/>
  <c r="L719" i="2"/>
  <c r="P718" i="2"/>
  <c r="O718" i="2"/>
  <c r="N718" i="2"/>
  <c r="M718" i="2"/>
  <c r="L718" i="2"/>
  <c r="P717" i="2"/>
  <c r="O717" i="2"/>
  <c r="N717" i="2"/>
  <c r="M717" i="2"/>
  <c r="L717" i="2"/>
  <c r="P716" i="2"/>
  <c r="O716" i="2"/>
  <c r="N716" i="2"/>
  <c r="M716" i="2"/>
  <c r="L716" i="2"/>
  <c r="P715" i="2"/>
  <c r="O715" i="2"/>
  <c r="N715" i="2"/>
  <c r="M715" i="2"/>
  <c r="L715" i="2"/>
  <c r="P714" i="2"/>
  <c r="O714" i="2"/>
  <c r="N714" i="2"/>
  <c r="M714" i="2"/>
  <c r="L714" i="2"/>
  <c r="P713" i="2"/>
  <c r="O713" i="2"/>
  <c r="N713" i="2"/>
  <c r="M713" i="2"/>
  <c r="L713" i="2"/>
  <c r="P712" i="2"/>
  <c r="O712" i="2"/>
  <c r="N712" i="2"/>
  <c r="M712" i="2"/>
  <c r="L712" i="2"/>
  <c r="P711" i="2"/>
  <c r="O711" i="2"/>
  <c r="N711" i="2"/>
  <c r="M711" i="2"/>
  <c r="L711" i="2"/>
  <c r="P710" i="2"/>
  <c r="O710" i="2"/>
  <c r="N710" i="2"/>
  <c r="M710" i="2"/>
  <c r="L710" i="2"/>
  <c r="P709" i="2"/>
  <c r="O709" i="2"/>
  <c r="N709" i="2"/>
  <c r="M709" i="2"/>
  <c r="L709" i="2"/>
  <c r="P708" i="2"/>
  <c r="O708" i="2"/>
  <c r="N708" i="2"/>
  <c r="M708" i="2"/>
  <c r="L708" i="2"/>
  <c r="P707" i="2"/>
  <c r="O707" i="2"/>
  <c r="N707" i="2"/>
  <c r="M707" i="2"/>
  <c r="L707" i="2"/>
  <c r="P706" i="2"/>
  <c r="O706" i="2"/>
  <c r="N706" i="2"/>
  <c r="M706" i="2"/>
  <c r="L706" i="2"/>
  <c r="P705" i="2"/>
  <c r="O705" i="2"/>
  <c r="N705" i="2"/>
  <c r="M705" i="2"/>
  <c r="L705" i="2"/>
  <c r="P704" i="2"/>
  <c r="O704" i="2"/>
  <c r="N704" i="2"/>
  <c r="M704" i="2"/>
  <c r="L704" i="2"/>
  <c r="P703" i="2"/>
  <c r="O703" i="2"/>
  <c r="N703" i="2"/>
  <c r="M703" i="2"/>
  <c r="L703" i="2"/>
  <c r="P702" i="2"/>
  <c r="O702" i="2"/>
  <c r="N702" i="2"/>
  <c r="M702" i="2"/>
  <c r="L702" i="2"/>
  <c r="P701" i="2"/>
  <c r="O701" i="2"/>
  <c r="N701" i="2"/>
  <c r="M701" i="2"/>
  <c r="L701" i="2"/>
  <c r="P700" i="2"/>
  <c r="O700" i="2"/>
  <c r="N700" i="2"/>
  <c r="M700" i="2"/>
  <c r="L700" i="2"/>
  <c r="P699" i="2"/>
  <c r="O699" i="2"/>
  <c r="N699" i="2"/>
  <c r="M699" i="2"/>
  <c r="L699" i="2"/>
  <c r="P698" i="2"/>
  <c r="O698" i="2"/>
  <c r="N698" i="2"/>
  <c r="M698" i="2"/>
  <c r="L698" i="2"/>
  <c r="P697" i="2"/>
  <c r="O697" i="2"/>
  <c r="N697" i="2"/>
  <c r="M697" i="2"/>
  <c r="L697" i="2"/>
  <c r="P696" i="2"/>
  <c r="O696" i="2"/>
  <c r="N696" i="2"/>
  <c r="M696" i="2"/>
  <c r="L696" i="2"/>
  <c r="P695" i="2"/>
  <c r="O695" i="2"/>
  <c r="N695" i="2"/>
  <c r="M695" i="2"/>
  <c r="L695" i="2"/>
  <c r="P694" i="2"/>
  <c r="O694" i="2"/>
  <c r="N694" i="2"/>
  <c r="M694" i="2"/>
  <c r="L694" i="2"/>
  <c r="P693" i="2"/>
  <c r="O693" i="2"/>
  <c r="N693" i="2"/>
  <c r="M693" i="2"/>
  <c r="L693" i="2"/>
  <c r="P692" i="2"/>
  <c r="O692" i="2"/>
  <c r="N692" i="2"/>
  <c r="M692" i="2"/>
  <c r="L692" i="2"/>
  <c r="P691" i="2"/>
  <c r="O691" i="2"/>
  <c r="N691" i="2"/>
  <c r="M691" i="2"/>
  <c r="L691" i="2"/>
  <c r="P690" i="2"/>
  <c r="O690" i="2"/>
  <c r="N690" i="2"/>
  <c r="M690" i="2"/>
  <c r="L690" i="2"/>
  <c r="P689" i="2"/>
  <c r="O689" i="2"/>
  <c r="N689" i="2"/>
  <c r="M689" i="2"/>
  <c r="L689" i="2"/>
  <c r="P688" i="2"/>
  <c r="O688" i="2"/>
  <c r="N688" i="2"/>
  <c r="M688" i="2"/>
  <c r="L688" i="2"/>
  <c r="P687" i="2"/>
  <c r="O687" i="2"/>
  <c r="N687" i="2"/>
  <c r="M687" i="2"/>
  <c r="L687" i="2"/>
  <c r="P686" i="2"/>
  <c r="O686" i="2"/>
  <c r="N686" i="2"/>
  <c r="M686" i="2"/>
  <c r="L686" i="2"/>
  <c r="P685" i="2"/>
  <c r="O685" i="2"/>
  <c r="N685" i="2"/>
  <c r="M685" i="2"/>
  <c r="L685" i="2"/>
  <c r="P684" i="2"/>
  <c r="O684" i="2"/>
  <c r="N684" i="2"/>
  <c r="M684" i="2"/>
  <c r="L684" i="2"/>
  <c r="P683" i="2"/>
  <c r="O683" i="2"/>
  <c r="N683" i="2"/>
  <c r="M683" i="2"/>
  <c r="L683" i="2"/>
  <c r="P682" i="2"/>
  <c r="O682" i="2"/>
  <c r="N682" i="2"/>
  <c r="M682" i="2"/>
  <c r="L682" i="2"/>
  <c r="P681" i="2"/>
  <c r="O681" i="2"/>
  <c r="N681" i="2"/>
  <c r="M681" i="2"/>
  <c r="L681" i="2"/>
  <c r="P680" i="2"/>
  <c r="O680" i="2"/>
  <c r="N680" i="2"/>
  <c r="M680" i="2"/>
  <c r="L680" i="2"/>
  <c r="P679" i="2"/>
  <c r="O679" i="2"/>
  <c r="N679" i="2"/>
  <c r="M679" i="2"/>
  <c r="L679" i="2"/>
  <c r="P678" i="2"/>
  <c r="O678" i="2"/>
  <c r="N678" i="2"/>
  <c r="M678" i="2"/>
  <c r="L678" i="2"/>
  <c r="P677" i="2"/>
  <c r="O677" i="2"/>
  <c r="N677" i="2"/>
  <c r="M677" i="2"/>
  <c r="L677" i="2"/>
  <c r="P676" i="2"/>
  <c r="O676" i="2"/>
  <c r="N676" i="2"/>
  <c r="M676" i="2"/>
  <c r="L676" i="2"/>
  <c r="P675" i="2"/>
  <c r="O675" i="2"/>
  <c r="N675" i="2"/>
  <c r="M675" i="2"/>
  <c r="L675" i="2"/>
  <c r="P674" i="2"/>
  <c r="O674" i="2"/>
  <c r="N674" i="2"/>
  <c r="M674" i="2"/>
  <c r="L674" i="2"/>
  <c r="P673" i="2"/>
  <c r="O673" i="2"/>
  <c r="N673" i="2"/>
  <c r="M673" i="2"/>
  <c r="L673" i="2"/>
  <c r="P672" i="2"/>
  <c r="O672" i="2"/>
  <c r="N672" i="2"/>
  <c r="M672" i="2"/>
  <c r="L672" i="2"/>
  <c r="P671" i="2"/>
  <c r="O671" i="2"/>
  <c r="N671" i="2"/>
  <c r="M671" i="2"/>
  <c r="L671" i="2"/>
  <c r="P670" i="2"/>
  <c r="O670" i="2"/>
  <c r="N670" i="2"/>
  <c r="M670" i="2"/>
  <c r="L670" i="2"/>
  <c r="P669" i="2"/>
  <c r="O669" i="2"/>
  <c r="N669" i="2"/>
  <c r="M669" i="2"/>
  <c r="L669" i="2"/>
  <c r="P668" i="2"/>
  <c r="O668" i="2"/>
  <c r="N668" i="2"/>
  <c r="M668" i="2"/>
  <c r="L668" i="2"/>
  <c r="P667" i="2"/>
  <c r="O667" i="2"/>
  <c r="N667" i="2"/>
  <c r="M667" i="2"/>
  <c r="L667" i="2"/>
  <c r="P666" i="2"/>
  <c r="O666" i="2"/>
  <c r="N666" i="2"/>
  <c r="M666" i="2"/>
  <c r="L666" i="2"/>
  <c r="P665" i="2"/>
  <c r="O665" i="2"/>
  <c r="N665" i="2"/>
  <c r="M665" i="2"/>
  <c r="L665" i="2"/>
  <c r="P664" i="2"/>
  <c r="O664" i="2"/>
  <c r="N664" i="2"/>
  <c r="M664" i="2"/>
  <c r="L664" i="2"/>
  <c r="P663" i="2"/>
  <c r="O663" i="2"/>
  <c r="N663" i="2"/>
  <c r="M663" i="2"/>
  <c r="L663" i="2"/>
  <c r="P662" i="2"/>
  <c r="O662" i="2"/>
  <c r="N662" i="2"/>
  <c r="M662" i="2"/>
  <c r="L662" i="2"/>
  <c r="P661" i="2"/>
  <c r="O661" i="2"/>
  <c r="N661" i="2"/>
  <c r="M661" i="2"/>
  <c r="L661" i="2"/>
  <c r="P660" i="2"/>
  <c r="O660" i="2"/>
  <c r="N660" i="2"/>
  <c r="M660" i="2"/>
  <c r="L660" i="2"/>
  <c r="P659" i="2"/>
  <c r="O659" i="2"/>
  <c r="N659" i="2"/>
  <c r="M659" i="2"/>
  <c r="L659" i="2"/>
  <c r="P658" i="2"/>
  <c r="O658" i="2"/>
  <c r="N658" i="2"/>
  <c r="M658" i="2"/>
  <c r="L658" i="2"/>
  <c r="P657" i="2"/>
  <c r="O657" i="2"/>
  <c r="N657" i="2"/>
  <c r="M657" i="2"/>
  <c r="L657" i="2"/>
  <c r="P656" i="2"/>
  <c r="O656" i="2"/>
  <c r="N656" i="2"/>
  <c r="M656" i="2"/>
  <c r="L656" i="2"/>
  <c r="P655" i="2"/>
  <c r="O655" i="2"/>
  <c r="N655" i="2"/>
  <c r="M655" i="2"/>
  <c r="L655" i="2"/>
  <c r="P654" i="2"/>
  <c r="O654" i="2"/>
  <c r="N654" i="2"/>
  <c r="M654" i="2"/>
  <c r="L654" i="2"/>
  <c r="P653" i="2"/>
  <c r="O653" i="2"/>
  <c r="N653" i="2"/>
  <c r="M653" i="2"/>
  <c r="L653" i="2"/>
  <c r="P652" i="2"/>
  <c r="O652" i="2"/>
  <c r="N652" i="2"/>
  <c r="M652" i="2"/>
  <c r="L652" i="2"/>
  <c r="P651" i="2"/>
  <c r="O651" i="2"/>
  <c r="N651" i="2"/>
  <c r="M651" i="2"/>
  <c r="L651" i="2"/>
  <c r="P650" i="2"/>
  <c r="O650" i="2"/>
  <c r="N650" i="2"/>
  <c r="M650" i="2"/>
  <c r="L650" i="2"/>
  <c r="P649" i="2"/>
  <c r="O649" i="2"/>
  <c r="N649" i="2"/>
  <c r="M649" i="2"/>
  <c r="L649" i="2"/>
  <c r="P648" i="2"/>
  <c r="O648" i="2"/>
  <c r="N648" i="2"/>
  <c r="M648" i="2"/>
  <c r="L648" i="2"/>
  <c r="P647" i="2"/>
  <c r="O647" i="2"/>
  <c r="N647" i="2"/>
  <c r="M647" i="2"/>
  <c r="L647" i="2"/>
  <c r="P646" i="2"/>
  <c r="O646" i="2"/>
  <c r="N646" i="2"/>
  <c r="M646" i="2"/>
  <c r="L646" i="2"/>
  <c r="P645" i="2"/>
  <c r="O645" i="2"/>
  <c r="N645" i="2"/>
  <c r="M645" i="2"/>
  <c r="L645" i="2"/>
  <c r="P644" i="2"/>
  <c r="O644" i="2"/>
  <c r="N644" i="2"/>
  <c r="M644" i="2"/>
  <c r="L644" i="2"/>
  <c r="P643" i="2"/>
  <c r="O643" i="2"/>
  <c r="N643" i="2"/>
  <c r="M643" i="2"/>
  <c r="L643" i="2"/>
  <c r="P642" i="2"/>
  <c r="O642" i="2"/>
  <c r="N642" i="2"/>
  <c r="M642" i="2"/>
  <c r="L642" i="2"/>
  <c r="P641" i="2"/>
  <c r="O641" i="2"/>
  <c r="N641" i="2"/>
  <c r="M641" i="2"/>
  <c r="L641" i="2"/>
  <c r="P640" i="2"/>
  <c r="O640" i="2"/>
  <c r="N640" i="2"/>
  <c r="M640" i="2"/>
  <c r="L640" i="2"/>
  <c r="P639" i="2"/>
  <c r="O639" i="2"/>
  <c r="N639" i="2"/>
  <c r="M639" i="2"/>
  <c r="L639" i="2"/>
  <c r="P638" i="2"/>
  <c r="O638" i="2"/>
  <c r="N638" i="2"/>
  <c r="M638" i="2"/>
  <c r="L638" i="2"/>
  <c r="P637" i="2"/>
  <c r="O637" i="2"/>
  <c r="N637" i="2"/>
  <c r="M637" i="2"/>
  <c r="L637" i="2"/>
  <c r="P636" i="2"/>
  <c r="O636" i="2"/>
  <c r="N636" i="2"/>
  <c r="M636" i="2"/>
  <c r="L636" i="2"/>
  <c r="P635" i="2"/>
  <c r="O635" i="2"/>
  <c r="N635" i="2"/>
  <c r="M635" i="2"/>
  <c r="L635" i="2"/>
  <c r="P634" i="2"/>
  <c r="O634" i="2"/>
  <c r="N634" i="2"/>
  <c r="M634" i="2"/>
  <c r="L634" i="2"/>
  <c r="P633" i="2"/>
  <c r="O633" i="2"/>
  <c r="N633" i="2"/>
  <c r="M633" i="2"/>
  <c r="L633" i="2"/>
  <c r="P632" i="2"/>
  <c r="O632" i="2"/>
  <c r="N632" i="2"/>
  <c r="M632" i="2"/>
  <c r="L632" i="2"/>
  <c r="P631" i="2"/>
  <c r="O631" i="2"/>
  <c r="N631" i="2"/>
  <c r="M631" i="2"/>
  <c r="L631" i="2"/>
  <c r="P630" i="2"/>
  <c r="O630" i="2"/>
  <c r="N630" i="2"/>
  <c r="M630" i="2"/>
  <c r="L630" i="2"/>
  <c r="P629" i="2"/>
  <c r="O629" i="2"/>
  <c r="N629" i="2"/>
  <c r="M629" i="2"/>
  <c r="L629" i="2"/>
  <c r="P628" i="2"/>
  <c r="O628" i="2"/>
  <c r="N628" i="2"/>
  <c r="M628" i="2"/>
  <c r="L628" i="2"/>
  <c r="P627" i="2"/>
  <c r="O627" i="2"/>
  <c r="N627" i="2"/>
  <c r="M627" i="2"/>
  <c r="L627" i="2"/>
  <c r="P626" i="2"/>
  <c r="O626" i="2"/>
  <c r="N626" i="2"/>
  <c r="M626" i="2"/>
  <c r="L626" i="2"/>
  <c r="P625" i="2"/>
  <c r="O625" i="2"/>
  <c r="N625" i="2"/>
  <c r="M625" i="2"/>
  <c r="L625" i="2"/>
  <c r="P624" i="2"/>
  <c r="O624" i="2"/>
  <c r="N624" i="2"/>
  <c r="M624" i="2"/>
  <c r="L624" i="2"/>
  <c r="P623" i="2"/>
  <c r="O623" i="2"/>
  <c r="N623" i="2"/>
  <c r="M623" i="2"/>
  <c r="L623" i="2"/>
  <c r="P622" i="2"/>
  <c r="O622" i="2"/>
  <c r="N622" i="2"/>
  <c r="M622" i="2"/>
  <c r="L622" i="2"/>
  <c r="P621" i="2"/>
  <c r="O621" i="2"/>
  <c r="N621" i="2"/>
  <c r="M621" i="2"/>
  <c r="L621" i="2"/>
  <c r="P620" i="2"/>
  <c r="O620" i="2"/>
  <c r="N620" i="2"/>
  <c r="M620" i="2"/>
  <c r="L620" i="2"/>
  <c r="P619" i="2"/>
  <c r="O619" i="2"/>
  <c r="N619" i="2"/>
  <c r="M619" i="2"/>
  <c r="L619" i="2"/>
  <c r="P618" i="2"/>
  <c r="O618" i="2"/>
  <c r="N618" i="2"/>
  <c r="M618" i="2"/>
  <c r="L618" i="2"/>
  <c r="P617" i="2"/>
  <c r="O617" i="2"/>
  <c r="N617" i="2"/>
  <c r="M617" i="2"/>
  <c r="L617" i="2"/>
  <c r="P616" i="2"/>
  <c r="O616" i="2"/>
  <c r="N616" i="2"/>
  <c r="M616" i="2"/>
  <c r="L616" i="2"/>
  <c r="P615" i="2"/>
  <c r="O615" i="2"/>
  <c r="N615" i="2"/>
  <c r="M615" i="2"/>
  <c r="L615" i="2"/>
  <c r="P614" i="2"/>
  <c r="O614" i="2"/>
  <c r="N614" i="2"/>
  <c r="M614" i="2"/>
  <c r="L614" i="2"/>
  <c r="P613" i="2"/>
  <c r="O613" i="2"/>
  <c r="N613" i="2"/>
  <c r="M613" i="2"/>
  <c r="L613" i="2"/>
  <c r="P612" i="2"/>
  <c r="O612" i="2"/>
  <c r="N612" i="2"/>
  <c r="M612" i="2"/>
  <c r="L612" i="2"/>
  <c r="P611" i="2"/>
  <c r="O611" i="2"/>
  <c r="N611" i="2"/>
  <c r="M611" i="2"/>
  <c r="L611" i="2"/>
  <c r="P610" i="2"/>
  <c r="O610" i="2"/>
  <c r="N610" i="2"/>
  <c r="M610" i="2"/>
  <c r="L610" i="2"/>
  <c r="P609" i="2"/>
  <c r="O609" i="2"/>
  <c r="N609" i="2"/>
  <c r="M609" i="2"/>
  <c r="L609" i="2"/>
  <c r="P608" i="2"/>
  <c r="O608" i="2"/>
  <c r="N608" i="2"/>
  <c r="M608" i="2"/>
  <c r="L608" i="2"/>
  <c r="P607" i="2"/>
  <c r="O607" i="2"/>
  <c r="N607" i="2"/>
  <c r="M607" i="2"/>
  <c r="L607" i="2"/>
  <c r="P606" i="2"/>
  <c r="O606" i="2"/>
  <c r="N606" i="2"/>
  <c r="M606" i="2"/>
  <c r="L606" i="2"/>
  <c r="P605" i="2"/>
  <c r="O605" i="2"/>
  <c r="N605" i="2"/>
  <c r="M605" i="2"/>
  <c r="L605" i="2"/>
  <c r="P604" i="2"/>
  <c r="O604" i="2"/>
  <c r="N604" i="2"/>
  <c r="M604" i="2"/>
  <c r="L604" i="2"/>
  <c r="P603" i="2"/>
  <c r="O603" i="2"/>
  <c r="N603" i="2"/>
  <c r="M603" i="2"/>
  <c r="L603" i="2"/>
  <c r="P602" i="2"/>
  <c r="O602" i="2"/>
  <c r="N602" i="2"/>
  <c r="M602" i="2"/>
  <c r="L602" i="2"/>
  <c r="P601" i="2"/>
  <c r="O601" i="2"/>
  <c r="N601" i="2"/>
  <c r="M601" i="2"/>
  <c r="L601" i="2"/>
  <c r="P600" i="2"/>
  <c r="O600" i="2"/>
  <c r="N600" i="2"/>
  <c r="M600" i="2"/>
  <c r="L600" i="2"/>
  <c r="P599" i="2"/>
  <c r="O599" i="2"/>
  <c r="N599" i="2"/>
  <c r="M599" i="2"/>
  <c r="L599" i="2"/>
  <c r="P598" i="2"/>
  <c r="O598" i="2"/>
  <c r="N598" i="2"/>
  <c r="M598" i="2"/>
  <c r="L598" i="2"/>
  <c r="P597" i="2"/>
  <c r="O597" i="2"/>
  <c r="N597" i="2"/>
  <c r="M597" i="2"/>
  <c r="L597" i="2"/>
  <c r="P596" i="2"/>
  <c r="O596" i="2"/>
  <c r="N596" i="2"/>
  <c r="M596" i="2"/>
  <c r="L596" i="2"/>
  <c r="P595" i="2"/>
  <c r="O595" i="2"/>
  <c r="N595" i="2"/>
  <c r="M595" i="2"/>
  <c r="L595" i="2"/>
  <c r="P594" i="2"/>
  <c r="O594" i="2"/>
  <c r="N594" i="2"/>
  <c r="M594" i="2"/>
  <c r="L594" i="2"/>
  <c r="P593" i="2"/>
  <c r="O593" i="2"/>
  <c r="N593" i="2"/>
  <c r="M593" i="2"/>
  <c r="L593" i="2"/>
  <c r="P592" i="2"/>
  <c r="O592" i="2"/>
  <c r="N592" i="2"/>
  <c r="M592" i="2"/>
  <c r="L592" i="2"/>
  <c r="P591" i="2"/>
  <c r="O591" i="2"/>
  <c r="N591" i="2"/>
  <c r="M591" i="2"/>
  <c r="L591" i="2"/>
  <c r="P590" i="2"/>
  <c r="O590" i="2"/>
  <c r="N590" i="2"/>
  <c r="M590" i="2"/>
  <c r="L590" i="2"/>
  <c r="P589" i="2"/>
  <c r="O589" i="2"/>
  <c r="N589" i="2"/>
  <c r="M589" i="2"/>
  <c r="L589" i="2"/>
  <c r="P588" i="2"/>
  <c r="O588" i="2"/>
  <c r="N588" i="2"/>
  <c r="M588" i="2"/>
  <c r="L588" i="2"/>
  <c r="P587" i="2"/>
  <c r="O587" i="2"/>
  <c r="N587" i="2"/>
  <c r="M587" i="2"/>
  <c r="L587" i="2"/>
  <c r="P586" i="2"/>
  <c r="O586" i="2"/>
  <c r="N586" i="2"/>
  <c r="M586" i="2"/>
  <c r="L586" i="2"/>
  <c r="P585" i="2"/>
  <c r="O585" i="2"/>
  <c r="N585" i="2"/>
  <c r="M585" i="2"/>
  <c r="L585" i="2"/>
  <c r="P584" i="2"/>
  <c r="O584" i="2"/>
  <c r="N584" i="2"/>
  <c r="M584" i="2"/>
  <c r="L584" i="2"/>
  <c r="P583" i="2"/>
  <c r="O583" i="2"/>
  <c r="N583" i="2"/>
  <c r="M583" i="2"/>
  <c r="L583" i="2"/>
  <c r="P582" i="2"/>
  <c r="O582" i="2"/>
  <c r="N582" i="2"/>
  <c r="M582" i="2"/>
  <c r="L582" i="2"/>
  <c r="P581" i="2"/>
  <c r="O581" i="2"/>
  <c r="N581" i="2"/>
  <c r="M581" i="2"/>
  <c r="L581" i="2"/>
  <c r="P580" i="2"/>
  <c r="O580" i="2"/>
  <c r="N580" i="2"/>
  <c r="M580" i="2"/>
  <c r="L580" i="2"/>
  <c r="P579" i="2"/>
  <c r="O579" i="2"/>
  <c r="N579" i="2"/>
  <c r="M579" i="2"/>
  <c r="L579" i="2"/>
  <c r="P578" i="2"/>
  <c r="O578" i="2"/>
  <c r="N578" i="2"/>
  <c r="M578" i="2"/>
  <c r="L578" i="2"/>
  <c r="P577" i="2"/>
  <c r="O577" i="2"/>
  <c r="N577" i="2"/>
  <c r="M577" i="2"/>
  <c r="L577" i="2"/>
  <c r="P576" i="2"/>
  <c r="O576" i="2"/>
  <c r="N576" i="2"/>
  <c r="M576" i="2"/>
  <c r="L576" i="2"/>
  <c r="P575" i="2"/>
  <c r="O575" i="2"/>
  <c r="N575" i="2"/>
  <c r="M575" i="2"/>
  <c r="L575" i="2"/>
  <c r="P574" i="2"/>
  <c r="O574" i="2"/>
  <c r="N574" i="2"/>
  <c r="M574" i="2"/>
  <c r="L574" i="2"/>
  <c r="P573" i="2"/>
  <c r="O573" i="2"/>
  <c r="N573" i="2"/>
  <c r="M573" i="2"/>
  <c r="L573" i="2"/>
  <c r="P572" i="2"/>
  <c r="O572" i="2"/>
  <c r="N572" i="2"/>
  <c r="M572" i="2"/>
  <c r="L572" i="2"/>
  <c r="P571" i="2"/>
  <c r="O571" i="2"/>
  <c r="N571" i="2"/>
  <c r="M571" i="2"/>
  <c r="L571" i="2"/>
  <c r="P570" i="2"/>
  <c r="O570" i="2"/>
  <c r="N570" i="2"/>
  <c r="M570" i="2"/>
  <c r="L570" i="2"/>
  <c r="P569" i="2"/>
  <c r="O569" i="2"/>
  <c r="N569" i="2"/>
  <c r="M569" i="2"/>
  <c r="L569" i="2"/>
  <c r="P568" i="2"/>
  <c r="O568" i="2"/>
  <c r="N568" i="2"/>
  <c r="M568" i="2"/>
  <c r="L568" i="2"/>
  <c r="P567" i="2"/>
  <c r="O567" i="2"/>
  <c r="N567" i="2"/>
  <c r="M567" i="2"/>
  <c r="L567" i="2"/>
  <c r="P566" i="2"/>
  <c r="O566" i="2"/>
  <c r="N566" i="2"/>
  <c r="M566" i="2"/>
  <c r="L566" i="2"/>
  <c r="P565" i="2"/>
  <c r="O565" i="2"/>
  <c r="N565" i="2"/>
  <c r="M565" i="2"/>
  <c r="L565" i="2"/>
  <c r="P564" i="2"/>
  <c r="O564" i="2"/>
  <c r="N564" i="2"/>
  <c r="M564" i="2"/>
  <c r="L564" i="2"/>
  <c r="P563" i="2"/>
  <c r="O563" i="2"/>
  <c r="N563" i="2"/>
  <c r="M563" i="2"/>
  <c r="L563" i="2"/>
  <c r="P562" i="2"/>
  <c r="O562" i="2"/>
  <c r="N562" i="2"/>
  <c r="M562" i="2"/>
  <c r="L562" i="2"/>
  <c r="P561" i="2"/>
  <c r="O561" i="2"/>
  <c r="N561" i="2"/>
  <c r="M561" i="2"/>
  <c r="L561" i="2"/>
  <c r="P560" i="2"/>
  <c r="O560" i="2"/>
  <c r="N560" i="2"/>
  <c r="M560" i="2"/>
  <c r="L560" i="2"/>
  <c r="P559" i="2"/>
  <c r="O559" i="2"/>
  <c r="N559" i="2"/>
  <c r="M559" i="2"/>
  <c r="L559" i="2"/>
  <c r="P558" i="2"/>
  <c r="O558" i="2"/>
  <c r="N558" i="2"/>
  <c r="M558" i="2"/>
  <c r="L558" i="2"/>
  <c r="P557" i="2"/>
  <c r="O557" i="2"/>
  <c r="N557" i="2"/>
  <c r="M557" i="2"/>
  <c r="L557" i="2"/>
  <c r="P556" i="2"/>
  <c r="O556" i="2"/>
  <c r="N556" i="2"/>
  <c r="M556" i="2"/>
  <c r="L556" i="2"/>
  <c r="P555" i="2"/>
  <c r="O555" i="2"/>
  <c r="N555" i="2"/>
  <c r="M555" i="2"/>
  <c r="L555" i="2"/>
  <c r="P554" i="2"/>
  <c r="O554" i="2"/>
  <c r="N554" i="2"/>
  <c r="M554" i="2"/>
  <c r="L554" i="2"/>
  <c r="P553" i="2"/>
  <c r="O553" i="2"/>
  <c r="N553" i="2"/>
  <c r="M553" i="2"/>
  <c r="L553" i="2"/>
  <c r="P552" i="2"/>
  <c r="O552" i="2"/>
  <c r="N552" i="2"/>
  <c r="M552" i="2"/>
  <c r="L552" i="2"/>
  <c r="P551" i="2"/>
  <c r="O551" i="2"/>
  <c r="N551" i="2"/>
  <c r="M551" i="2"/>
  <c r="L551" i="2"/>
  <c r="P550" i="2"/>
  <c r="O550" i="2"/>
  <c r="N550" i="2"/>
  <c r="M550" i="2"/>
  <c r="L550" i="2"/>
  <c r="P549" i="2"/>
  <c r="O549" i="2"/>
  <c r="N549" i="2"/>
  <c r="M549" i="2"/>
  <c r="L549" i="2"/>
  <c r="P548" i="2"/>
  <c r="O548" i="2"/>
  <c r="N548" i="2"/>
  <c r="M548" i="2"/>
  <c r="L548" i="2"/>
  <c r="P547" i="2"/>
  <c r="O547" i="2"/>
  <c r="N547" i="2"/>
  <c r="M547" i="2"/>
  <c r="L547" i="2"/>
  <c r="P546" i="2"/>
  <c r="O546" i="2"/>
  <c r="N546" i="2"/>
  <c r="M546" i="2"/>
  <c r="L546" i="2"/>
  <c r="P545" i="2"/>
  <c r="O545" i="2"/>
  <c r="N545" i="2"/>
  <c r="M545" i="2"/>
  <c r="L545" i="2"/>
  <c r="P544" i="2"/>
  <c r="O544" i="2"/>
  <c r="N544" i="2"/>
  <c r="M544" i="2"/>
  <c r="L544" i="2"/>
  <c r="P543" i="2"/>
  <c r="O543" i="2"/>
  <c r="N543" i="2"/>
  <c r="M543" i="2"/>
  <c r="L543" i="2"/>
  <c r="P542" i="2"/>
  <c r="O542" i="2"/>
  <c r="N542" i="2"/>
  <c r="M542" i="2"/>
  <c r="L542" i="2"/>
  <c r="P541" i="2"/>
  <c r="O541" i="2"/>
  <c r="N541" i="2"/>
  <c r="M541" i="2"/>
  <c r="L541" i="2"/>
  <c r="P540" i="2"/>
  <c r="O540" i="2"/>
  <c r="N540" i="2"/>
  <c r="M540" i="2"/>
  <c r="L540" i="2"/>
  <c r="P539" i="2"/>
  <c r="O539" i="2"/>
  <c r="N539" i="2"/>
  <c r="M539" i="2"/>
  <c r="L539" i="2"/>
  <c r="P538" i="2"/>
  <c r="O538" i="2"/>
  <c r="N538" i="2"/>
  <c r="M538" i="2"/>
  <c r="L538" i="2"/>
  <c r="P537" i="2"/>
  <c r="O537" i="2"/>
  <c r="N537" i="2"/>
  <c r="M537" i="2"/>
  <c r="L537" i="2"/>
  <c r="P536" i="2"/>
  <c r="O536" i="2"/>
  <c r="N536" i="2"/>
  <c r="M536" i="2"/>
  <c r="L536" i="2"/>
  <c r="P535" i="2"/>
  <c r="O535" i="2"/>
  <c r="N535" i="2"/>
  <c r="M535" i="2"/>
  <c r="L535" i="2"/>
  <c r="P534" i="2"/>
  <c r="O534" i="2"/>
  <c r="N534" i="2"/>
  <c r="M534" i="2"/>
  <c r="L534" i="2"/>
  <c r="P533" i="2"/>
  <c r="O533" i="2"/>
  <c r="N533" i="2"/>
  <c r="M533" i="2"/>
  <c r="L533" i="2"/>
  <c r="P532" i="2"/>
  <c r="O532" i="2"/>
  <c r="N532" i="2"/>
  <c r="M532" i="2"/>
  <c r="L532" i="2"/>
  <c r="P531" i="2"/>
  <c r="O531" i="2"/>
  <c r="N531" i="2"/>
  <c r="M531" i="2"/>
  <c r="L531" i="2"/>
  <c r="P530" i="2"/>
  <c r="O530" i="2"/>
  <c r="N530" i="2"/>
  <c r="M530" i="2"/>
  <c r="L530" i="2"/>
  <c r="P529" i="2"/>
  <c r="O529" i="2"/>
  <c r="N529" i="2"/>
  <c r="M529" i="2"/>
  <c r="L529" i="2"/>
  <c r="P528" i="2"/>
  <c r="O528" i="2"/>
  <c r="N528" i="2"/>
  <c r="M528" i="2"/>
  <c r="L528" i="2"/>
  <c r="P527" i="2"/>
  <c r="O527" i="2"/>
  <c r="N527" i="2"/>
  <c r="M527" i="2"/>
  <c r="L527" i="2"/>
  <c r="P526" i="2"/>
  <c r="O526" i="2"/>
  <c r="N526" i="2"/>
  <c r="M526" i="2"/>
  <c r="L526" i="2"/>
  <c r="P525" i="2"/>
  <c r="O525" i="2"/>
  <c r="N525" i="2"/>
  <c r="M525" i="2"/>
  <c r="L525" i="2"/>
  <c r="P524" i="2"/>
  <c r="O524" i="2"/>
  <c r="N524" i="2"/>
  <c r="M524" i="2"/>
  <c r="L524" i="2"/>
  <c r="P523" i="2"/>
  <c r="O523" i="2"/>
  <c r="N523" i="2"/>
  <c r="M523" i="2"/>
  <c r="L523" i="2"/>
  <c r="P522" i="2"/>
  <c r="O522" i="2"/>
  <c r="N522" i="2"/>
  <c r="M522" i="2"/>
  <c r="L522" i="2"/>
  <c r="P521" i="2"/>
  <c r="O521" i="2"/>
  <c r="N521" i="2"/>
  <c r="M521" i="2"/>
  <c r="L521" i="2"/>
  <c r="P520" i="2"/>
  <c r="O520" i="2"/>
  <c r="N520" i="2"/>
  <c r="M520" i="2"/>
  <c r="L520" i="2"/>
  <c r="P519" i="2"/>
  <c r="O519" i="2"/>
  <c r="N519" i="2"/>
  <c r="M519" i="2"/>
  <c r="L519" i="2"/>
  <c r="P518" i="2"/>
  <c r="O518" i="2"/>
  <c r="N518" i="2"/>
  <c r="M518" i="2"/>
  <c r="L518" i="2"/>
  <c r="P517" i="2"/>
  <c r="O517" i="2"/>
  <c r="N517" i="2"/>
  <c r="M517" i="2"/>
  <c r="L517" i="2"/>
  <c r="P516" i="2"/>
  <c r="O516" i="2"/>
  <c r="N516" i="2"/>
  <c r="M516" i="2"/>
  <c r="L516" i="2"/>
  <c r="P515" i="2"/>
  <c r="O515" i="2"/>
  <c r="N515" i="2"/>
  <c r="M515" i="2"/>
  <c r="L515" i="2"/>
  <c r="P514" i="2"/>
  <c r="O514" i="2"/>
  <c r="N514" i="2"/>
  <c r="M514" i="2"/>
  <c r="L514" i="2"/>
  <c r="P513" i="2"/>
  <c r="O513" i="2"/>
  <c r="N513" i="2"/>
  <c r="M513" i="2"/>
  <c r="L513" i="2"/>
  <c r="P512" i="2"/>
  <c r="O512" i="2"/>
  <c r="N512" i="2"/>
  <c r="M512" i="2"/>
  <c r="L512" i="2"/>
  <c r="P511" i="2"/>
  <c r="O511" i="2"/>
  <c r="N511" i="2"/>
  <c r="M511" i="2"/>
  <c r="L511" i="2"/>
  <c r="P510" i="2"/>
  <c r="O510" i="2"/>
  <c r="N510" i="2"/>
  <c r="M510" i="2"/>
  <c r="L510" i="2"/>
  <c r="P509" i="2"/>
  <c r="O509" i="2"/>
  <c r="N509" i="2"/>
  <c r="M509" i="2"/>
  <c r="L509" i="2"/>
  <c r="P508" i="2"/>
  <c r="O508" i="2"/>
  <c r="N508" i="2"/>
  <c r="M508" i="2"/>
  <c r="L508" i="2"/>
  <c r="P507" i="2"/>
  <c r="O507" i="2"/>
  <c r="N507" i="2"/>
  <c r="M507" i="2"/>
  <c r="L507" i="2"/>
  <c r="P506" i="2"/>
  <c r="O506" i="2"/>
  <c r="N506" i="2"/>
  <c r="M506" i="2"/>
  <c r="L506" i="2"/>
  <c r="P505" i="2"/>
  <c r="O505" i="2"/>
  <c r="N505" i="2"/>
  <c r="M505" i="2"/>
  <c r="L505" i="2"/>
  <c r="P504" i="2"/>
  <c r="O504" i="2"/>
  <c r="N504" i="2"/>
  <c r="M504" i="2"/>
  <c r="L504" i="2"/>
  <c r="P503" i="2"/>
  <c r="O503" i="2"/>
  <c r="N503" i="2"/>
  <c r="M503" i="2"/>
  <c r="L503" i="2"/>
  <c r="P502" i="2"/>
  <c r="O502" i="2"/>
  <c r="N502" i="2"/>
  <c r="M502" i="2"/>
  <c r="L502" i="2"/>
  <c r="P501" i="2"/>
  <c r="O501" i="2"/>
  <c r="N501" i="2"/>
  <c r="M501" i="2"/>
  <c r="L501" i="2"/>
  <c r="P500" i="2"/>
  <c r="O500" i="2"/>
  <c r="N500" i="2"/>
  <c r="M500" i="2"/>
  <c r="L500" i="2"/>
  <c r="P499" i="2"/>
  <c r="O499" i="2"/>
  <c r="N499" i="2"/>
  <c r="M499" i="2"/>
  <c r="L499" i="2"/>
  <c r="P498" i="2"/>
  <c r="O498" i="2"/>
  <c r="N498" i="2"/>
  <c r="M498" i="2"/>
  <c r="L498" i="2"/>
  <c r="P497" i="2"/>
  <c r="O497" i="2"/>
  <c r="N497" i="2"/>
  <c r="M497" i="2"/>
  <c r="L497" i="2"/>
  <c r="P496" i="2"/>
  <c r="O496" i="2"/>
  <c r="N496" i="2"/>
  <c r="M496" i="2"/>
  <c r="L496" i="2"/>
  <c r="P495" i="2"/>
  <c r="O495" i="2"/>
  <c r="N495" i="2"/>
  <c r="M495" i="2"/>
  <c r="L495" i="2"/>
  <c r="P494" i="2"/>
  <c r="O494" i="2"/>
  <c r="N494" i="2"/>
  <c r="M494" i="2"/>
  <c r="L494" i="2"/>
  <c r="P493" i="2"/>
  <c r="O493" i="2"/>
  <c r="N493" i="2"/>
  <c r="M493" i="2"/>
  <c r="L493" i="2"/>
  <c r="P492" i="2"/>
  <c r="O492" i="2"/>
  <c r="N492" i="2"/>
  <c r="M492" i="2"/>
  <c r="L492" i="2"/>
  <c r="P491" i="2"/>
  <c r="O491" i="2"/>
  <c r="N491" i="2"/>
  <c r="M491" i="2"/>
  <c r="L491" i="2"/>
  <c r="P490" i="2"/>
  <c r="O490" i="2"/>
  <c r="N490" i="2"/>
  <c r="M490" i="2"/>
  <c r="L490" i="2"/>
  <c r="P489" i="2"/>
  <c r="O489" i="2"/>
  <c r="N489" i="2"/>
  <c r="M489" i="2"/>
  <c r="L489" i="2"/>
  <c r="P488" i="2"/>
  <c r="O488" i="2"/>
  <c r="N488" i="2"/>
  <c r="M488" i="2"/>
  <c r="L488" i="2"/>
  <c r="P487" i="2"/>
  <c r="O487" i="2"/>
  <c r="N487" i="2"/>
  <c r="M487" i="2"/>
  <c r="L487" i="2"/>
  <c r="P486" i="2"/>
  <c r="O486" i="2"/>
  <c r="N486" i="2"/>
  <c r="M486" i="2"/>
  <c r="L486" i="2"/>
  <c r="P485" i="2"/>
  <c r="O485" i="2"/>
  <c r="N485" i="2"/>
  <c r="M485" i="2"/>
  <c r="L485" i="2"/>
  <c r="P484" i="2"/>
  <c r="O484" i="2"/>
  <c r="P483" i="2"/>
  <c r="O483" i="2"/>
  <c r="N483" i="2"/>
  <c r="M483" i="2"/>
  <c r="L483" i="2"/>
  <c r="P482" i="2"/>
  <c r="O482" i="2"/>
  <c r="N482" i="2"/>
  <c r="M482" i="2"/>
  <c r="L482" i="2"/>
  <c r="P481" i="2"/>
  <c r="O481" i="2"/>
  <c r="N481" i="2"/>
  <c r="M481" i="2"/>
  <c r="L481" i="2"/>
  <c r="P480" i="2"/>
  <c r="O480" i="2"/>
  <c r="N480" i="2"/>
  <c r="M480" i="2"/>
  <c r="L480" i="2"/>
  <c r="P479" i="2"/>
  <c r="O479" i="2"/>
  <c r="N479" i="2"/>
  <c r="M479" i="2"/>
  <c r="L479" i="2"/>
  <c r="P478" i="2"/>
  <c r="O478" i="2"/>
  <c r="N478" i="2"/>
  <c r="M478" i="2"/>
  <c r="L478" i="2"/>
  <c r="P477" i="2"/>
  <c r="O477" i="2"/>
  <c r="N477" i="2"/>
  <c r="M477" i="2"/>
  <c r="L477" i="2"/>
  <c r="P476" i="2"/>
  <c r="O476" i="2"/>
  <c r="N476" i="2"/>
  <c r="M476" i="2"/>
  <c r="L476" i="2"/>
  <c r="P475" i="2"/>
  <c r="O475" i="2"/>
  <c r="N475" i="2"/>
  <c r="M475" i="2"/>
  <c r="L475" i="2"/>
  <c r="P474" i="2"/>
  <c r="O474" i="2"/>
  <c r="N474" i="2"/>
  <c r="M474" i="2"/>
  <c r="L474" i="2"/>
  <c r="P473" i="2"/>
  <c r="O473" i="2"/>
  <c r="N473" i="2"/>
  <c r="M473" i="2"/>
  <c r="L473" i="2"/>
  <c r="P472" i="2"/>
  <c r="O472" i="2"/>
  <c r="N472" i="2"/>
  <c r="M472" i="2"/>
  <c r="L472" i="2"/>
  <c r="P471" i="2"/>
  <c r="O471" i="2"/>
  <c r="N471" i="2"/>
  <c r="M471" i="2"/>
  <c r="L471" i="2"/>
  <c r="P470" i="2"/>
  <c r="O470" i="2"/>
  <c r="N470" i="2"/>
  <c r="M470" i="2"/>
  <c r="L470" i="2"/>
  <c r="P469" i="2"/>
  <c r="O469" i="2"/>
  <c r="N469" i="2"/>
  <c r="M469" i="2"/>
  <c r="L469" i="2"/>
  <c r="P468" i="2"/>
  <c r="O468" i="2"/>
  <c r="N468" i="2"/>
  <c r="M468" i="2"/>
  <c r="L468" i="2"/>
  <c r="P467" i="2"/>
  <c r="O467" i="2"/>
  <c r="N467" i="2"/>
  <c r="M467" i="2"/>
  <c r="L467" i="2"/>
  <c r="P466" i="2"/>
  <c r="O466" i="2"/>
  <c r="N466" i="2"/>
  <c r="M466" i="2"/>
  <c r="L466" i="2"/>
  <c r="P465" i="2"/>
  <c r="O465" i="2"/>
  <c r="N465" i="2"/>
  <c r="M465" i="2"/>
  <c r="L465" i="2"/>
  <c r="P464" i="2"/>
  <c r="O464" i="2"/>
  <c r="N464" i="2"/>
  <c r="M464" i="2"/>
  <c r="L464" i="2"/>
  <c r="P463" i="2"/>
  <c r="O463" i="2"/>
  <c r="N463" i="2"/>
  <c r="M463" i="2"/>
  <c r="L463" i="2"/>
  <c r="P462" i="2"/>
  <c r="O462" i="2"/>
  <c r="N462" i="2"/>
  <c r="M462" i="2"/>
  <c r="L462" i="2"/>
  <c r="P461" i="2"/>
  <c r="O461" i="2"/>
  <c r="N461" i="2"/>
  <c r="M461" i="2"/>
  <c r="L461" i="2"/>
  <c r="P460" i="2"/>
  <c r="O460" i="2"/>
  <c r="N460" i="2"/>
  <c r="M460" i="2"/>
  <c r="L460" i="2"/>
  <c r="P459" i="2"/>
  <c r="O459" i="2"/>
  <c r="N459" i="2"/>
  <c r="M459" i="2"/>
  <c r="L459" i="2"/>
  <c r="P458" i="2"/>
  <c r="O458" i="2"/>
  <c r="N458" i="2"/>
  <c r="M458" i="2"/>
  <c r="L458" i="2"/>
  <c r="P457" i="2"/>
  <c r="O457" i="2"/>
  <c r="N457" i="2"/>
  <c r="M457" i="2"/>
  <c r="L457" i="2"/>
  <c r="P456" i="2"/>
  <c r="O456" i="2"/>
  <c r="N456" i="2"/>
  <c r="M456" i="2"/>
  <c r="L456" i="2"/>
  <c r="P455" i="2"/>
  <c r="O455" i="2"/>
  <c r="N455" i="2"/>
  <c r="M455" i="2"/>
  <c r="L455" i="2"/>
  <c r="P454" i="2"/>
  <c r="O454" i="2"/>
  <c r="N454" i="2"/>
  <c r="M454" i="2"/>
  <c r="L454" i="2"/>
  <c r="P453" i="2"/>
  <c r="O453" i="2"/>
  <c r="N453" i="2"/>
  <c r="M453" i="2"/>
  <c r="L453" i="2"/>
  <c r="P452" i="2"/>
  <c r="O452" i="2"/>
  <c r="N452" i="2"/>
  <c r="M452" i="2"/>
  <c r="L452" i="2"/>
  <c r="P451" i="2"/>
  <c r="O451" i="2"/>
  <c r="N451" i="2"/>
  <c r="M451" i="2"/>
  <c r="L451" i="2"/>
  <c r="P450" i="2"/>
  <c r="O450" i="2"/>
  <c r="N450" i="2"/>
  <c r="M450" i="2"/>
  <c r="L450" i="2"/>
  <c r="P449" i="2"/>
  <c r="O449" i="2"/>
  <c r="N449" i="2"/>
  <c r="M449" i="2"/>
  <c r="L449" i="2"/>
  <c r="P448" i="2"/>
  <c r="O448" i="2"/>
  <c r="N448" i="2"/>
  <c r="M448" i="2"/>
  <c r="L448" i="2"/>
  <c r="P447" i="2"/>
  <c r="O447" i="2"/>
  <c r="N447" i="2"/>
  <c r="M447" i="2"/>
  <c r="L447" i="2"/>
  <c r="P446" i="2"/>
  <c r="O446" i="2"/>
  <c r="N446" i="2"/>
  <c r="M446" i="2"/>
  <c r="L446" i="2"/>
  <c r="P445" i="2"/>
  <c r="O445" i="2"/>
  <c r="N445" i="2"/>
  <c r="M445" i="2"/>
  <c r="L445" i="2"/>
  <c r="P444" i="2"/>
  <c r="O444" i="2"/>
  <c r="N444" i="2"/>
  <c r="M444" i="2"/>
  <c r="L444" i="2"/>
  <c r="P443" i="2"/>
  <c r="O443" i="2"/>
  <c r="N443" i="2"/>
  <c r="M443" i="2"/>
  <c r="L443" i="2"/>
  <c r="P442" i="2"/>
  <c r="O442" i="2"/>
  <c r="N442" i="2"/>
  <c r="M442" i="2"/>
  <c r="L442" i="2"/>
  <c r="P441" i="2"/>
  <c r="O441" i="2"/>
  <c r="N441" i="2"/>
  <c r="M441" i="2"/>
  <c r="L441" i="2"/>
  <c r="P440" i="2"/>
  <c r="O440" i="2"/>
  <c r="N440" i="2"/>
  <c r="M440" i="2"/>
  <c r="L440" i="2"/>
  <c r="P439" i="2"/>
  <c r="O439" i="2"/>
  <c r="N439" i="2"/>
  <c r="M439" i="2"/>
  <c r="L439" i="2"/>
  <c r="P438" i="2"/>
  <c r="O438" i="2"/>
  <c r="N438" i="2"/>
  <c r="M438" i="2"/>
  <c r="L438" i="2"/>
  <c r="P437" i="2"/>
  <c r="O437" i="2"/>
  <c r="N437" i="2"/>
  <c r="M437" i="2"/>
  <c r="L437" i="2"/>
  <c r="P436" i="2"/>
  <c r="O436" i="2"/>
  <c r="N436" i="2"/>
  <c r="M436" i="2"/>
  <c r="L436" i="2"/>
  <c r="P435" i="2"/>
  <c r="O435" i="2"/>
  <c r="N435" i="2"/>
  <c r="M435" i="2"/>
  <c r="L435" i="2"/>
  <c r="P434" i="2"/>
  <c r="O434" i="2"/>
  <c r="N434" i="2"/>
  <c r="M434" i="2"/>
  <c r="L434" i="2"/>
  <c r="P433" i="2"/>
  <c r="O433" i="2"/>
  <c r="N433" i="2"/>
  <c r="M433" i="2"/>
  <c r="L433" i="2"/>
  <c r="P432" i="2"/>
  <c r="O432" i="2"/>
  <c r="N432" i="2"/>
  <c r="M432" i="2"/>
  <c r="L432" i="2"/>
  <c r="P431" i="2"/>
  <c r="O431" i="2"/>
  <c r="N431" i="2"/>
  <c r="M431" i="2"/>
  <c r="L431" i="2"/>
  <c r="P430" i="2"/>
  <c r="O430" i="2"/>
  <c r="N430" i="2"/>
  <c r="M430" i="2"/>
  <c r="L430" i="2"/>
  <c r="P429" i="2"/>
  <c r="O429" i="2"/>
  <c r="N429" i="2"/>
  <c r="M429" i="2"/>
  <c r="L429" i="2"/>
  <c r="P428" i="2"/>
  <c r="O428" i="2"/>
  <c r="N428" i="2"/>
  <c r="M428" i="2"/>
  <c r="L428" i="2"/>
  <c r="P427" i="2"/>
  <c r="O427" i="2"/>
  <c r="N427" i="2"/>
  <c r="M427" i="2"/>
  <c r="L427" i="2"/>
  <c r="P426" i="2"/>
  <c r="O426" i="2"/>
  <c r="N426" i="2"/>
  <c r="M426" i="2"/>
  <c r="L426" i="2"/>
  <c r="P425" i="2"/>
  <c r="O425" i="2"/>
  <c r="N425" i="2"/>
  <c r="M425" i="2"/>
  <c r="L425" i="2"/>
  <c r="P424" i="2"/>
  <c r="O424" i="2"/>
  <c r="N424" i="2"/>
  <c r="M424" i="2"/>
  <c r="L424" i="2"/>
  <c r="P423" i="2"/>
  <c r="O423" i="2"/>
  <c r="N423" i="2"/>
  <c r="M423" i="2"/>
  <c r="L423" i="2"/>
  <c r="P422" i="2"/>
  <c r="O422" i="2"/>
  <c r="N422" i="2"/>
  <c r="M422" i="2"/>
  <c r="L422" i="2"/>
  <c r="P421" i="2"/>
  <c r="O421" i="2"/>
  <c r="N421" i="2"/>
  <c r="M421" i="2"/>
  <c r="L421" i="2"/>
  <c r="N420" i="2"/>
  <c r="M420" i="2"/>
  <c r="L420" i="2"/>
  <c r="I420" i="2"/>
  <c r="N419" i="2"/>
  <c r="M419" i="2"/>
  <c r="L419" i="2"/>
  <c r="I419" i="2"/>
  <c r="N418" i="2"/>
  <c r="M418" i="2"/>
  <c r="L418" i="2"/>
  <c r="I418" i="2"/>
  <c r="N417" i="2"/>
  <c r="M417" i="2"/>
  <c r="L417" i="2"/>
  <c r="I417" i="2"/>
  <c r="N416" i="2"/>
  <c r="M416" i="2"/>
  <c r="L416" i="2"/>
  <c r="I416" i="2"/>
  <c r="N415" i="2"/>
  <c r="M415" i="2"/>
  <c r="L415" i="2"/>
  <c r="I415" i="2"/>
  <c r="N414" i="2"/>
  <c r="M414" i="2"/>
  <c r="L414" i="2"/>
  <c r="I414" i="2"/>
  <c r="N413" i="2"/>
  <c r="M413" i="2"/>
  <c r="L413" i="2"/>
  <c r="I413" i="2"/>
  <c r="N412" i="2"/>
  <c r="M412" i="2"/>
  <c r="L412" i="2"/>
  <c r="I412" i="2"/>
  <c r="N411" i="2"/>
  <c r="M411" i="2"/>
  <c r="L411" i="2"/>
  <c r="I411" i="2"/>
  <c r="N410" i="2"/>
  <c r="M410" i="2"/>
  <c r="L410" i="2"/>
  <c r="I410" i="2"/>
  <c r="N409" i="2"/>
  <c r="M409" i="2"/>
  <c r="L409" i="2"/>
  <c r="I409" i="2"/>
  <c r="N408" i="2"/>
  <c r="M408" i="2"/>
  <c r="L408" i="2"/>
  <c r="I408" i="2"/>
  <c r="N407" i="2"/>
  <c r="M407" i="2"/>
  <c r="L407" i="2"/>
  <c r="I407" i="2"/>
  <c r="N406" i="2"/>
  <c r="M406" i="2"/>
  <c r="L406" i="2"/>
  <c r="I406" i="2"/>
  <c r="N405" i="2"/>
  <c r="M405" i="2"/>
  <c r="L405" i="2"/>
  <c r="I405" i="2"/>
  <c r="N404" i="2"/>
  <c r="M404" i="2"/>
  <c r="L404" i="2"/>
  <c r="I404" i="2"/>
  <c r="N403" i="2"/>
  <c r="M403" i="2"/>
  <c r="L403" i="2"/>
  <c r="I403" i="2"/>
  <c r="N402" i="2"/>
  <c r="M402" i="2"/>
  <c r="L402" i="2"/>
  <c r="I402" i="2"/>
  <c r="N401" i="2"/>
  <c r="M401" i="2"/>
  <c r="L401" i="2"/>
  <c r="I401" i="2"/>
  <c r="N400" i="2"/>
  <c r="M400" i="2"/>
  <c r="L400" i="2"/>
  <c r="I400" i="2"/>
  <c r="N399" i="2"/>
  <c r="M399" i="2"/>
  <c r="L399" i="2"/>
  <c r="I399" i="2"/>
  <c r="N398" i="2"/>
  <c r="M398" i="2"/>
  <c r="L398" i="2"/>
  <c r="I398" i="2"/>
  <c r="N397" i="2"/>
  <c r="M397" i="2"/>
  <c r="L397" i="2"/>
  <c r="I397" i="2"/>
  <c r="N396" i="2"/>
  <c r="M396" i="2"/>
  <c r="L396" i="2"/>
  <c r="I396" i="2"/>
  <c r="N395" i="2"/>
  <c r="M395" i="2"/>
  <c r="L395" i="2"/>
  <c r="I395" i="2"/>
  <c r="N394" i="2"/>
  <c r="M394" i="2"/>
  <c r="L394" i="2"/>
  <c r="I394" i="2"/>
  <c r="N393" i="2"/>
  <c r="M393" i="2"/>
  <c r="L393" i="2"/>
  <c r="I393" i="2"/>
  <c r="N392" i="2"/>
  <c r="M392" i="2"/>
  <c r="L392" i="2"/>
  <c r="I392" i="2"/>
  <c r="N391" i="2"/>
  <c r="M391" i="2"/>
  <c r="L391" i="2"/>
  <c r="I391" i="2"/>
  <c r="N390" i="2"/>
  <c r="M390" i="2"/>
  <c r="L390" i="2"/>
  <c r="I390" i="2"/>
  <c r="N389" i="2"/>
  <c r="M389" i="2"/>
  <c r="L389" i="2"/>
  <c r="I389" i="2"/>
  <c r="N388" i="2"/>
  <c r="M388" i="2"/>
  <c r="L388" i="2"/>
  <c r="I388" i="2"/>
  <c r="N387" i="2"/>
  <c r="M387" i="2"/>
  <c r="L387" i="2"/>
  <c r="I387" i="2"/>
  <c r="N386" i="2"/>
  <c r="M386" i="2"/>
  <c r="L386" i="2"/>
  <c r="I386" i="2"/>
  <c r="N385" i="2"/>
  <c r="M385" i="2"/>
  <c r="L385" i="2"/>
  <c r="I385" i="2"/>
  <c r="N384" i="2"/>
  <c r="M384" i="2"/>
  <c r="L384" i="2"/>
  <c r="I384" i="2"/>
  <c r="N383" i="2"/>
  <c r="M383" i="2"/>
  <c r="L383" i="2"/>
  <c r="I383" i="2"/>
  <c r="N382" i="2"/>
  <c r="M382" i="2"/>
  <c r="L382" i="2"/>
  <c r="I382" i="2"/>
  <c r="N381" i="2"/>
  <c r="M381" i="2"/>
  <c r="L381" i="2"/>
  <c r="I381" i="2"/>
  <c r="N380" i="2"/>
  <c r="M380" i="2"/>
  <c r="L380" i="2"/>
  <c r="I380" i="2"/>
  <c r="N379" i="2"/>
  <c r="M379" i="2"/>
  <c r="L379" i="2"/>
  <c r="I379" i="2"/>
  <c r="N378" i="2"/>
  <c r="M378" i="2"/>
  <c r="L378" i="2"/>
  <c r="I378" i="2"/>
  <c r="N377" i="2"/>
  <c r="M377" i="2"/>
  <c r="L377" i="2"/>
  <c r="I377" i="2"/>
  <c r="N376" i="2"/>
  <c r="M376" i="2"/>
  <c r="L376" i="2"/>
  <c r="I376" i="2"/>
  <c r="N375" i="2"/>
  <c r="M375" i="2"/>
  <c r="L375" i="2"/>
  <c r="I375" i="2"/>
  <c r="N374" i="2"/>
  <c r="M374" i="2"/>
  <c r="L374" i="2"/>
  <c r="I374" i="2"/>
  <c r="N373" i="2"/>
  <c r="M373" i="2"/>
  <c r="L373" i="2"/>
  <c r="I373" i="2"/>
  <c r="N372" i="2"/>
  <c r="M372" i="2"/>
  <c r="L372" i="2"/>
  <c r="I372" i="2"/>
  <c r="N371" i="2"/>
  <c r="M371" i="2"/>
  <c r="L371" i="2"/>
  <c r="I371" i="2"/>
  <c r="N370" i="2"/>
  <c r="M370" i="2"/>
  <c r="L370" i="2"/>
  <c r="I370" i="2"/>
  <c r="N369" i="2"/>
  <c r="M369" i="2"/>
  <c r="L369" i="2"/>
  <c r="I369" i="2"/>
  <c r="N368" i="2"/>
  <c r="M368" i="2"/>
  <c r="L368" i="2"/>
  <c r="I368" i="2"/>
  <c r="N367" i="2"/>
  <c r="M367" i="2"/>
  <c r="L367" i="2"/>
  <c r="I367" i="2"/>
  <c r="N366" i="2"/>
  <c r="M366" i="2"/>
  <c r="L366" i="2"/>
  <c r="I366" i="2"/>
  <c r="N365" i="2"/>
  <c r="M365" i="2"/>
  <c r="L365" i="2"/>
  <c r="I365" i="2"/>
  <c r="N364" i="2"/>
  <c r="M364" i="2"/>
  <c r="L364" i="2"/>
  <c r="I364" i="2"/>
  <c r="N363" i="2"/>
  <c r="M363" i="2"/>
  <c r="L363" i="2"/>
  <c r="I363" i="2"/>
  <c r="N362" i="2"/>
  <c r="M362" i="2"/>
  <c r="L362" i="2"/>
  <c r="I362" i="2"/>
  <c r="N361" i="2"/>
  <c r="M361" i="2"/>
  <c r="L361" i="2"/>
  <c r="I361" i="2"/>
  <c r="N360" i="2"/>
  <c r="M360" i="2"/>
  <c r="L360" i="2"/>
  <c r="I360" i="2"/>
  <c r="N359" i="2"/>
  <c r="M359" i="2"/>
  <c r="L359" i="2"/>
  <c r="I359" i="2"/>
  <c r="N358" i="2"/>
  <c r="M358" i="2"/>
  <c r="L358" i="2"/>
  <c r="I358" i="2"/>
  <c r="N357" i="2"/>
  <c r="M357" i="2"/>
  <c r="L357" i="2"/>
  <c r="I357" i="2"/>
  <c r="N356" i="2"/>
  <c r="M356" i="2"/>
  <c r="L356" i="2"/>
  <c r="I356" i="2"/>
  <c r="N355" i="2"/>
  <c r="M355" i="2"/>
  <c r="L355" i="2"/>
  <c r="I355" i="2"/>
  <c r="N354" i="2"/>
  <c r="M354" i="2"/>
  <c r="L354" i="2"/>
  <c r="I354" i="2"/>
  <c r="N353" i="2"/>
  <c r="M353" i="2"/>
  <c r="L353" i="2"/>
  <c r="I353" i="2"/>
  <c r="N352" i="2"/>
  <c r="M352" i="2"/>
  <c r="L352" i="2"/>
  <c r="I352" i="2"/>
  <c r="N351" i="2"/>
  <c r="M351" i="2"/>
  <c r="L351" i="2"/>
  <c r="I351" i="2"/>
  <c r="N350" i="2"/>
  <c r="M350" i="2"/>
  <c r="L350" i="2"/>
  <c r="I350" i="2"/>
  <c r="N349" i="2"/>
  <c r="M349" i="2"/>
  <c r="L349" i="2"/>
  <c r="I349" i="2"/>
  <c r="N348" i="2"/>
  <c r="M348" i="2"/>
  <c r="L348" i="2"/>
  <c r="I348" i="2"/>
  <c r="N347" i="2"/>
  <c r="M347" i="2"/>
  <c r="L347" i="2"/>
  <c r="I347" i="2"/>
  <c r="N346" i="2"/>
  <c r="M346" i="2"/>
  <c r="L346" i="2"/>
  <c r="I346" i="2"/>
  <c r="N345" i="2"/>
  <c r="M345" i="2"/>
  <c r="L345" i="2"/>
  <c r="I345" i="2"/>
  <c r="N344" i="2"/>
  <c r="M344" i="2"/>
  <c r="L344" i="2"/>
  <c r="I344" i="2"/>
  <c r="N343" i="2"/>
  <c r="M343" i="2"/>
  <c r="L343" i="2"/>
  <c r="I343" i="2"/>
  <c r="N342" i="2"/>
  <c r="M342" i="2"/>
  <c r="L342" i="2"/>
  <c r="I342" i="2"/>
  <c r="N341" i="2"/>
  <c r="M341" i="2"/>
  <c r="L341" i="2"/>
  <c r="I341" i="2"/>
  <c r="N340" i="2"/>
  <c r="M340" i="2"/>
  <c r="L340" i="2"/>
  <c r="I340" i="2"/>
  <c r="N339" i="2"/>
  <c r="M339" i="2"/>
  <c r="L339" i="2"/>
  <c r="I339" i="2"/>
  <c r="N338" i="2"/>
  <c r="M338" i="2"/>
  <c r="L338" i="2"/>
  <c r="I338" i="2"/>
  <c r="N337" i="2"/>
  <c r="M337" i="2"/>
  <c r="L337" i="2"/>
  <c r="I337" i="2"/>
  <c r="N336" i="2"/>
  <c r="M336" i="2"/>
  <c r="L336" i="2"/>
  <c r="I336" i="2"/>
  <c r="N335" i="2"/>
  <c r="M335" i="2"/>
  <c r="L335" i="2"/>
  <c r="I335" i="2"/>
  <c r="N334" i="2"/>
  <c r="M334" i="2"/>
  <c r="L334" i="2"/>
  <c r="I334" i="2"/>
  <c r="N333" i="2"/>
  <c r="M333" i="2"/>
  <c r="L333" i="2"/>
  <c r="I333" i="2"/>
  <c r="N332" i="2"/>
  <c r="M332" i="2"/>
  <c r="L332" i="2"/>
  <c r="I332" i="2"/>
  <c r="N331" i="2"/>
  <c r="M331" i="2"/>
  <c r="L331" i="2"/>
  <c r="I331" i="2"/>
  <c r="N330" i="2"/>
  <c r="M330" i="2"/>
  <c r="L330" i="2"/>
  <c r="I330" i="2"/>
  <c r="N329" i="2"/>
  <c r="M329" i="2"/>
  <c r="L329" i="2"/>
  <c r="I329" i="2"/>
  <c r="N328" i="2"/>
  <c r="M328" i="2"/>
  <c r="L328" i="2"/>
  <c r="I328" i="2"/>
  <c r="N327" i="2"/>
  <c r="M327" i="2"/>
  <c r="L327" i="2"/>
  <c r="I327" i="2"/>
  <c r="N326" i="2"/>
  <c r="M326" i="2"/>
  <c r="L326" i="2"/>
  <c r="I326" i="2"/>
  <c r="N325" i="2"/>
  <c r="M325" i="2"/>
  <c r="L325" i="2"/>
  <c r="I325" i="2"/>
  <c r="N324" i="2"/>
  <c r="M324" i="2"/>
  <c r="L324" i="2"/>
  <c r="I324" i="2"/>
  <c r="N323" i="2"/>
  <c r="M323" i="2"/>
  <c r="L323" i="2"/>
  <c r="I323" i="2"/>
  <c r="N322" i="2"/>
  <c r="M322" i="2"/>
  <c r="L322" i="2"/>
  <c r="I322" i="2"/>
  <c r="N321" i="2"/>
  <c r="M321" i="2"/>
  <c r="L321" i="2"/>
  <c r="I321" i="2"/>
  <c r="N320" i="2"/>
  <c r="M320" i="2"/>
  <c r="L320" i="2"/>
  <c r="I320" i="2"/>
  <c r="N319" i="2"/>
  <c r="M319" i="2"/>
  <c r="L319" i="2"/>
  <c r="I319" i="2"/>
  <c r="N318" i="2"/>
  <c r="M318" i="2"/>
  <c r="L318" i="2"/>
  <c r="I318" i="2"/>
  <c r="N317" i="2"/>
  <c r="M317" i="2"/>
  <c r="L317" i="2"/>
  <c r="I317" i="2"/>
  <c r="N316" i="2"/>
  <c r="M316" i="2"/>
  <c r="L316" i="2"/>
  <c r="I316" i="2"/>
  <c r="N315" i="2"/>
  <c r="M315" i="2"/>
  <c r="L315" i="2"/>
  <c r="I315" i="2"/>
  <c r="N314" i="2"/>
  <c r="M314" i="2"/>
  <c r="L314" i="2"/>
  <c r="I314" i="2"/>
  <c r="N313" i="2"/>
  <c r="M313" i="2"/>
  <c r="L313" i="2"/>
  <c r="I313" i="2"/>
  <c r="N312" i="2"/>
  <c r="M312" i="2"/>
  <c r="L312" i="2"/>
  <c r="I312" i="2"/>
  <c r="N311" i="2"/>
  <c r="M311" i="2"/>
  <c r="L311" i="2"/>
  <c r="I311" i="2"/>
  <c r="N310" i="2"/>
  <c r="M310" i="2"/>
  <c r="L310" i="2"/>
  <c r="I310" i="2"/>
  <c r="N309" i="2"/>
  <c r="M309" i="2"/>
  <c r="L309" i="2"/>
  <c r="I309" i="2"/>
  <c r="N308" i="2"/>
  <c r="M308" i="2"/>
  <c r="L308" i="2"/>
  <c r="I308" i="2"/>
  <c r="N307" i="2"/>
  <c r="M307" i="2"/>
  <c r="L307" i="2"/>
  <c r="I307" i="2"/>
  <c r="N306" i="2"/>
  <c r="M306" i="2"/>
  <c r="L306" i="2"/>
  <c r="I306" i="2"/>
  <c r="N305" i="2"/>
  <c r="M305" i="2"/>
  <c r="L305" i="2"/>
  <c r="I305" i="2"/>
  <c r="N304" i="2"/>
  <c r="M304" i="2"/>
  <c r="L304" i="2"/>
  <c r="I304" i="2"/>
  <c r="N303" i="2"/>
  <c r="M303" i="2"/>
  <c r="L303" i="2"/>
  <c r="I303" i="2"/>
  <c r="N302" i="2"/>
  <c r="M302" i="2"/>
  <c r="L302" i="2"/>
  <c r="I302" i="2"/>
  <c r="N301" i="2"/>
  <c r="M301" i="2"/>
  <c r="L301" i="2"/>
  <c r="I301" i="2"/>
  <c r="N300" i="2"/>
  <c r="M300" i="2"/>
  <c r="L300" i="2"/>
  <c r="I300" i="2"/>
  <c r="N299" i="2"/>
  <c r="M299" i="2"/>
  <c r="L299" i="2"/>
  <c r="I299" i="2"/>
  <c r="N298" i="2"/>
  <c r="M298" i="2"/>
  <c r="L298" i="2"/>
  <c r="I298" i="2"/>
  <c r="N297" i="2"/>
  <c r="M297" i="2"/>
  <c r="L297" i="2"/>
  <c r="I297" i="2"/>
  <c r="N296" i="2"/>
  <c r="M296" i="2"/>
  <c r="L296" i="2"/>
  <c r="I296" i="2"/>
  <c r="N295" i="2"/>
  <c r="M295" i="2"/>
  <c r="L295" i="2"/>
  <c r="I295" i="2"/>
  <c r="N294" i="2"/>
  <c r="M294" i="2"/>
  <c r="L294" i="2"/>
  <c r="I294" i="2"/>
  <c r="N293" i="2"/>
  <c r="M293" i="2"/>
  <c r="L293" i="2"/>
  <c r="I293" i="2"/>
  <c r="N292" i="2"/>
  <c r="M292" i="2"/>
  <c r="L292" i="2"/>
  <c r="I292" i="2"/>
  <c r="N291" i="2"/>
  <c r="M291" i="2"/>
  <c r="L291" i="2"/>
  <c r="I291" i="2"/>
  <c r="N290" i="2"/>
  <c r="M290" i="2"/>
  <c r="L290" i="2"/>
  <c r="I290" i="2"/>
  <c r="N289" i="2"/>
  <c r="M289" i="2"/>
  <c r="L289" i="2"/>
  <c r="I289" i="2"/>
  <c r="N288" i="2"/>
  <c r="M288" i="2"/>
  <c r="L288" i="2"/>
  <c r="I288" i="2"/>
  <c r="N287" i="2"/>
  <c r="M287" i="2"/>
  <c r="L287" i="2"/>
  <c r="I287" i="2"/>
  <c r="N286" i="2"/>
  <c r="M286" i="2"/>
  <c r="L286" i="2"/>
  <c r="I286" i="2"/>
  <c r="N285" i="2"/>
  <c r="M285" i="2"/>
  <c r="L285" i="2"/>
  <c r="I285" i="2"/>
  <c r="N284" i="2"/>
  <c r="M284" i="2"/>
  <c r="L284" i="2"/>
  <c r="I284" i="2"/>
  <c r="N283" i="2"/>
  <c r="M283" i="2"/>
  <c r="L283" i="2"/>
  <c r="I283" i="2"/>
  <c r="N282" i="2"/>
  <c r="M282" i="2"/>
  <c r="L282" i="2"/>
  <c r="I282" i="2"/>
  <c r="N281" i="2"/>
  <c r="M281" i="2"/>
  <c r="L281" i="2"/>
  <c r="I281" i="2"/>
  <c r="N280" i="2"/>
  <c r="M280" i="2"/>
  <c r="L280" i="2"/>
  <c r="I280" i="2"/>
  <c r="N279" i="2"/>
  <c r="M279" i="2"/>
  <c r="L279" i="2"/>
  <c r="I279" i="2"/>
  <c r="N278" i="2"/>
  <c r="M278" i="2"/>
  <c r="L278" i="2"/>
  <c r="I278" i="2"/>
  <c r="N277" i="2"/>
  <c r="M277" i="2"/>
  <c r="L277" i="2"/>
  <c r="I277" i="2"/>
  <c r="N276" i="2"/>
  <c r="M276" i="2"/>
  <c r="L276" i="2"/>
  <c r="I276" i="2"/>
  <c r="N275" i="2"/>
  <c r="M275" i="2"/>
  <c r="L275" i="2"/>
  <c r="I275" i="2"/>
  <c r="N274" i="2"/>
  <c r="M274" i="2"/>
  <c r="L274" i="2"/>
  <c r="I274" i="2"/>
  <c r="N273" i="2"/>
  <c r="M273" i="2"/>
  <c r="L273" i="2"/>
  <c r="I273" i="2"/>
  <c r="N272" i="2"/>
  <c r="M272" i="2"/>
  <c r="L272" i="2"/>
  <c r="I272" i="2"/>
  <c r="N271" i="2"/>
  <c r="M271" i="2"/>
  <c r="L271" i="2"/>
  <c r="I271" i="2"/>
  <c r="N270" i="2"/>
  <c r="M270" i="2"/>
  <c r="L270" i="2"/>
  <c r="I270" i="2"/>
  <c r="N269" i="2"/>
  <c r="M269" i="2"/>
  <c r="L269" i="2"/>
  <c r="I269" i="2"/>
  <c r="N268" i="2"/>
  <c r="M268" i="2"/>
  <c r="L268" i="2"/>
  <c r="I268" i="2"/>
  <c r="N267" i="2"/>
  <c r="M267" i="2"/>
  <c r="L267" i="2"/>
  <c r="I267" i="2"/>
  <c r="N266" i="2"/>
  <c r="M266" i="2"/>
  <c r="L266" i="2"/>
  <c r="I266" i="2"/>
  <c r="N265" i="2"/>
  <c r="M265" i="2"/>
  <c r="L265" i="2"/>
  <c r="I265" i="2"/>
  <c r="N264" i="2"/>
  <c r="M264" i="2"/>
  <c r="L264" i="2"/>
  <c r="I264" i="2"/>
  <c r="N263" i="2"/>
  <c r="M263" i="2"/>
  <c r="L263" i="2"/>
  <c r="I263" i="2"/>
  <c r="N262" i="2"/>
  <c r="M262" i="2"/>
  <c r="L262" i="2"/>
  <c r="I262" i="2"/>
  <c r="N261" i="2"/>
  <c r="M261" i="2"/>
  <c r="L261" i="2"/>
  <c r="I261" i="2"/>
  <c r="N260" i="2"/>
  <c r="M260" i="2"/>
  <c r="L260" i="2"/>
  <c r="I260" i="2"/>
  <c r="N259" i="2"/>
  <c r="M259" i="2"/>
  <c r="L259" i="2"/>
  <c r="I259" i="2"/>
  <c r="N258" i="2"/>
  <c r="M258" i="2"/>
  <c r="L258" i="2"/>
  <c r="I258" i="2"/>
  <c r="N257" i="2"/>
  <c r="M257" i="2"/>
  <c r="L257" i="2"/>
  <c r="I257" i="2"/>
  <c r="N256" i="2"/>
  <c r="M256" i="2"/>
  <c r="L256" i="2"/>
  <c r="I256" i="2"/>
  <c r="N255" i="2"/>
  <c r="M255" i="2"/>
  <c r="L255" i="2"/>
  <c r="I255" i="2"/>
  <c r="N254" i="2"/>
  <c r="M254" i="2"/>
  <c r="L254" i="2"/>
  <c r="I254" i="2"/>
  <c r="N253" i="2"/>
  <c r="M253" i="2"/>
  <c r="L253" i="2"/>
  <c r="I253" i="2"/>
  <c r="N252" i="2"/>
  <c r="M252" i="2"/>
  <c r="L252" i="2"/>
  <c r="I252" i="2"/>
  <c r="N251" i="2"/>
  <c r="M251" i="2"/>
  <c r="L251" i="2"/>
  <c r="I251" i="2"/>
  <c r="N250" i="2"/>
  <c r="M250" i="2"/>
  <c r="L250" i="2"/>
  <c r="I250" i="2"/>
  <c r="N249" i="2"/>
  <c r="M249" i="2"/>
  <c r="L249" i="2"/>
  <c r="I249" i="2"/>
  <c r="N248" i="2"/>
  <c r="M248" i="2"/>
  <c r="L248" i="2"/>
  <c r="I248" i="2"/>
  <c r="N247" i="2"/>
  <c r="M247" i="2"/>
  <c r="L247" i="2"/>
  <c r="I247" i="2"/>
  <c r="N246" i="2"/>
  <c r="M246" i="2"/>
  <c r="L246" i="2"/>
  <c r="I246" i="2"/>
  <c r="N245" i="2"/>
  <c r="M245" i="2"/>
  <c r="L245" i="2"/>
  <c r="I245" i="2"/>
  <c r="N244" i="2"/>
  <c r="M244" i="2"/>
  <c r="L244" i="2"/>
  <c r="I244" i="2"/>
  <c r="N243" i="2"/>
  <c r="M243" i="2"/>
  <c r="L243" i="2"/>
  <c r="I243" i="2"/>
  <c r="N242" i="2"/>
  <c r="M242" i="2"/>
  <c r="L242" i="2"/>
  <c r="I242" i="2"/>
  <c r="N241" i="2"/>
  <c r="M241" i="2"/>
  <c r="L241" i="2"/>
  <c r="I241" i="2"/>
  <c r="N240" i="2"/>
  <c r="M240" i="2"/>
  <c r="L240" i="2"/>
  <c r="I240" i="2"/>
  <c r="N239" i="2"/>
  <c r="M239" i="2"/>
  <c r="L239" i="2"/>
  <c r="I239" i="2"/>
  <c r="N238" i="2"/>
  <c r="M238" i="2"/>
  <c r="L238" i="2"/>
  <c r="I238" i="2"/>
  <c r="N237" i="2"/>
  <c r="M237" i="2"/>
  <c r="L237" i="2"/>
  <c r="I237" i="2"/>
  <c r="N236" i="2"/>
  <c r="M236" i="2"/>
  <c r="L236" i="2"/>
  <c r="I236" i="2"/>
  <c r="N235" i="2"/>
  <c r="M235" i="2"/>
  <c r="L235" i="2"/>
  <c r="I235" i="2"/>
  <c r="N234" i="2"/>
  <c r="M234" i="2"/>
  <c r="L234" i="2"/>
  <c r="I234" i="2"/>
  <c r="N233" i="2"/>
  <c r="M233" i="2"/>
  <c r="L233" i="2"/>
  <c r="I233" i="2"/>
  <c r="N232" i="2"/>
  <c r="M232" i="2"/>
  <c r="L232" i="2"/>
  <c r="I232" i="2"/>
  <c r="N231" i="2"/>
  <c r="M231" i="2"/>
  <c r="L231" i="2"/>
  <c r="I231" i="2"/>
  <c r="N230" i="2"/>
  <c r="M230" i="2"/>
  <c r="L230" i="2"/>
  <c r="I230" i="2"/>
  <c r="N229" i="2"/>
  <c r="M229" i="2"/>
  <c r="L229" i="2"/>
  <c r="I229" i="2"/>
  <c r="N228" i="2"/>
  <c r="M228" i="2"/>
  <c r="L228" i="2"/>
  <c r="I228" i="2"/>
  <c r="N227" i="2"/>
  <c r="M227" i="2"/>
  <c r="L227" i="2"/>
  <c r="I227" i="2"/>
  <c r="N226" i="2"/>
  <c r="M226" i="2"/>
  <c r="L226" i="2"/>
  <c r="I226" i="2"/>
  <c r="N225" i="2"/>
  <c r="M225" i="2"/>
  <c r="L225" i="2"/>
  <c r="I225" i="2"/>
  <c r="N224" i="2"/>
  <c r="M224" i="2"/>
  <c r="L224" i="2"/>
  <c r="I224" i="2"/>
  <c r="N223" i="2"/>
  <c r="M223" i="2"/>
  <c r="L223" i="2"/>
  <c r="I223" i="2"/>
  <c r="N222" i="2"/>
  <c r="M222" i="2"/>
  <c r="L222" i="2"/>
  <c r="I222" i="2"/>
  <c r="N221" i="2"/>
  <c r="M221" i="2"/>
  <c r="L221" i="2"/>
  <c r="I221" i="2"/>
  <c r="N220" i="2"/>
  <c r="M220" i="2"/>
  <c r="L220" i="2"/>
  <c r="I220" i="2"/>
  <c r="N219" i="2"/>
  <c r="M219" i="2"/>
  <c r="L219" i="2"/>
  <c r="I219" i="2"/>
  <c r="N218" i="2"/>
  <c r="M218" i="2"/>
  <c r="L218" i="2"/>
  <c r="I218" i="2"/>
  <c r="N217" i="2"/>
  <c r="M217" i="2"/>
  <c r="L217" i="2"/>
  <c r="I217" i="2"/>
  <c r="N216" i="2"/>
  <c r="M216" i="2"/>
  <c r="L216" i="2"/>
  <c r="I216" i="2"/>
  <c r="N215" i="2"/>
  <c r="M215" i="2"/>
  <c r="L215" i="2"/>
  <c r="I215" i="2"/>
  <c r="N214" i="2"/>
  <c r="M214" i="2"/>
  <c r="L214" i="2"/>
  <c r="I214" i="2"/>
  <c r="N213" i="2"/>
  <c r="M213" i="2"/>
  <c r="L213" i="2"/>
  <c r="I213" i="2"/>
  <c r="N212" i="2"/>
  <c r="M212" i="2"/>
  <c r="L212" i="2"/>
  <c r="I212" i="2"/>
  <c r="N211" i="2"/>
  <c r="M211" i="2"/>
  <c r="L211" i="2"/>
  <c r="I211" i="2"/>
  <c r="N210" i="2"/>
  <c r="M210" i="2"/>
  <c r="L210" i="2"/>
  <c r="I210" i="2"/>
  <c r="N209" i="2"/>
  <c r="M209" i="2"/>
  <c r="L209" i="2"/>
  <c r="I209" i="2"/>
  <c r="N208" i="2"/>
  <c r="M208" i="2"/>
  <c r="L208" i="2"/>
  <c r="I208" i="2"/>
  <c r="N207" i="2"/>
  <c r="M207" i="2"/>
  <c r="L207" i="2"/>
  <c r="I207" i="2"/>
  <c r="N206" i="2"/>
  <c r="M206" i="2"/>
  <c r="L206" i="2"/>
  <c r="I206" i="2"/>
  <c r="N205" i="2"/>
  <c r="M205" i="2"/>
  <c r="L205" i="2"/>
  <c r="I205" i="2"/>
  <c r="N204" i="2"/>
  <c r="M204" i="2"/>
  <c r="L204" i="2"/>
  <c r="I204" i="2"/>
  <c r="N203" i="2"/>
  <c r="M203" i="2"/>
  <c r="L203" i="2"/>
  <c r="I203" i="2"/>
  <c r="N202" i="2"/>
  <c r="M202" i="2"/>
  <c r="L202" i="2"/>
  <c r="I202" i="2"/>
  <c r="N201" i="2"/>
  <c r="M201" i="2"/>
  <c r="L201" i="2"/>
  <c r="I201" i="2"/>
  <c r="N200" i="2"/>
  <c r="M200" i="2"/>
  <c r="L200" i="2"/>
  <c r="I200" i="2"/>
  <c r="N199" i="2"/>
  <c r="M199" i="2"/>
  <c r="L199" i="2"/>
  <c r="I199" i="2"/>
  <c r="N198" i="2"/>
  <c r="M198" i="2"/>
  <c r="L198" i="2"/>
  <c r="I198" i="2"/>
  <c r="N197" i="2"/>
  <c r="M197" i="2"/>
  <c r="L197" i="2"/>
  <c r="I197" i="2"/>
  <c r="N196" i="2"/>
  <c r="M196" i="2"/>
  <c r="L196" i="2"/>
  <c r="I196" i="2"/>
  <c r="N195" i="2"/>
  <c r="M195" i="2"/>
  <c r="L195" i="2"/>
  <c r="I195" i="2"/>
  <c r="N194" i="2"/>
  <c r="M194" i="2"/>
  <c r="L194" i="2"/>
  <c r="I194" i="2"/>
  <c r="N193" i="2"/>
  <c r="M193" i="2"/>
  <c r="L193" i="2"/>
  <c r="I193" i="2"/>
  <c r="N192" i="2"/>
  <c r="M192" i="2"/>
  <c r="L192" i="2"/>
  <c r="I192" i="2"/>
  <c r="N191" i="2"/>
  <c r="M191" i="2"/>
  <c r="L191" i="2"/>
  <c r="I191" i="2"/>
  <c r="N190" i="2"/>
  <c r="M190" i="2"/>
  <c r="L190" i="2"/>
  <c r="I190" i="2"/>
  <c r="N189" i="2"/>
  <c r="M189" i="2"/>
  <c r="L189" i="2"/>
  <c r="I189" i="2"/>
  <c r="N188" i="2"/>
  <c r="M188" i="2"/>
  <c r="L188" i="2"/>
  <c r="I188" i="2"/>
  <c r="N187" i="2"/>
  <c r="M187" i="2"/>
  <c r="L187" i="2"/>
  <c r="I187" i="2"/>
  <c r="N186" i="2"/>
  <c r="M186" i="2"/>
  <c r="L186" i="2"/>
  <c r="I186" i="2"/>
  <c r="N185" i="2"/>
  <c r="M185" i="2"/>
  <c r="L185" i="2"/>
  <c r="I185" i="2"/>
  <c r="N184" i="2"/>
  <c r="M184" i="2"/>
  <c r="L184" i="2"/>
  <c r="I184" i="2"/>
  <c r="N183" i="2"/>
  <c r="M183" i="2"/>
  <c r="L183" i="2"/>
  <c r="I183" i="2"/>
  <c r="N182" i="2"/>
  <c r="M182" i="2"/>
  <c r="L182" i="2"/>
  <c r="I182" i="2"/>
  <c r="N181" i="2"/>
  <c r="M181" i="2"/>
  <c r="L181" i="2"/>
  <c r="I181" i="2"/>
  <c r="P180" i="2"/>
  <c r="O180" i="2"/>
  <c r="N180" i="2"/>
  <c r="M180" i="2"/>
  <c r="L180" i="2"/>
  <c r="I180" i="2"/>
  <c r="P179" i="2"/>
  <c r="O179" i="2"/>
  <c r="N179" i="2"/>
  <c r="M179" i="2"/>
  <c r="L179" i="2"/>
  <c r="I179" i="2"/>
  <c r="P178" i="2"/>
  <c r="O178" i="2"/>
  <c r="N178" i="2"/>
  <c r="M178" i="2"/>
  <c r="L178" i="2"/>
  <c r="I178" i="2"/>
  <c r="P177" i="2"/>
  <c r="O177" i="2"/>
  <c r="N177" i="2"/>
  <c r="M177" i="2"/>
  <c r="L177" i="2"/>
  <c r="I177" i="2"/>
  <c r="P176" i="2"/>
  <c r="O176" i="2"/>
  <c r="N176" i="2"/>
  <c r="M176" i="2"/>
  <c r="L176" i="2"/>
  <c r="I176" i="2"/>
  <c r="P175" i="2"/>
  <c r="O175" i="2"/>
  <c r="N175" i="2"/>
  <c r="M175" i="2"/>
  <c r="L175" i="2"/>
  <c r="I175" i="2"/>
  <c r="P174" i="2"/>
  <c r="O174" i="2"/>
  <c r="N174" i="2"/>
  <c r="M174" i="2"/>
  <c r="L174" i="2"/>
  <c r="I174" i="2"/>
  <c r="P173" i="2"/>
  <c r="O173" i="2"/>
  <c r="N173" i="2"/>
  <c r="M173" i="2"/>
  <c r="L173" i="2"/>
  <c r="I173" i="2"/>
  <c r="P172" i="2"/>
  <c r="O172" i="2"/>
  <c r="N172" i="2"/>
  <c r="M172" i="2"/>
  <c r="L172" i="2"/>
  <c r="I172" i="2"/>
  <c r="P171" i="2"/>
  <c r="O171" i="2"/>
  <c r="N171" i="2"/>
  <c r="M171" i="2"/>
  <c r="L171" i="2"/>
  <c r="I171" i="2"/>
  <c r="P170" i="2"/>
  <c r="O170" i="2"/>
  <c r="N170" i="2"/>
  <c r="M170" i="2"/>
  <c r="L170" i="2"/>
  <c r="I170" i="2"/>
  <c r="P169" i="2"/>
  <c r="O169" i="2"/>
  <c r="N169" i="2"/>
  <c r="M169" i="2"/>
  <c r="L169" i="2"/>
  <c r="I169" i="2"/>
  <c r="P168" i="2"/>
  <c r="O168" i="2"/>
  <c r="N168" i="2"/>
  <c r="M168" i="2"/>
  <c r="L168" i="2"/>
  <c r="I168" i="2"/>
  <c r="P167" i="2"/>
  <c r="O167" i="2"/>
  <c r="N167" i="2"/>
  <c r="M167" i="2"/>
  <c r="L167" i="2"/>
  <c r="I167" i="2"/>
  <c r="P166" i="2"/>
  <c r="O166" i="2"/>
  <c r="N166" i="2"/>
  <c r="M166" i="2"/>
  <c r="L166" i="2"/>
  <c r="I166" i="2"/>
  <c r="P165" i="2"/>
  <c r="O165" i="2"/>
  <c r="N165" i="2"/>
  <c r="M165" i="2"/>
  <c r="L165" i="2"/>
  <c r="I165" i="2"/>
  <c r="P164" i="2"/>
  <c r="O164" i="2"/>
  <c r="N164" i="2"/>
  <c r="M164" i="2"/>
  <c r="L164" i="2"/>
  <c r="I164" i="2"/>
  <c r="P163" i="2"/>
  <c r="O163" i="2"/>
  <c r="N163" i="2"/>
  <c r="M163" i="2"/>
  <c r="L163" i="2"/>
  <c r="I163" i="2"/>
  <c r="P162" i="2"/>
  <c r="O162" i="2"/>
  <c r="N162" i="2"/>
  <c r="M162" i="2"/>
  <c r="L162" i="2"/>
  <c r="I162" i="2"/>
  <c r="P161" i="2"/>
  <c r="O161" i="2"/>
  <c r="N161" i="2"/>
  <c r="M161" i="2"/>
  <c r="L161" i="2"/>
  <c r="I161" i="2"/>
  <c r="P160" i="2"/>
  <c r="O160" i="2"/>
  <c r="N160" i="2"/>
  <c r="M160" i="2"/>
  <c r="L160" i="2"/>
  <c r="I160" i="2"/>
  <c r="P159" i="2"/>
  <c r="O159" i="2"/>
  <c r="N159" i="2"/>
  <c r="M159" i="2"/>
  <c r="L159" i="2"/>
  <c r="I159" i="2"/>
  <c r="P158" i="2"/>
  <c r="O158" i="2"/>
  <c r="N158" i="2"/>
  <c r="M158" i="2"/>
  <c r="L158" i="2"/>
  <c r="I158" i="2"/>
  <c r="P157" i="2"/>
  <c r="O157" i="2"/>
  <c r="N157" i="2"/>
  <c r="M157" i="2"/>
  <c r="L157" i="2"/>
  <c r="I157" i="2"/>
  <c r="H157" i="2"/>
  <c r="P156" i="2"/>
  <c r="O156" i="2"/>
  <c r="N156" i="2"/>
  <c r="M156" i="2"/>
  <c r="L156" i="2"/>
  <c r="I156" i="2"/>
  <c r="H156" i="2"/>
  <c r="P155" i="2"/>
  <c r="O155" i="2"/>
  <c r="N155" i="2"/>
  <c r="M155" i="2"/>
  <c r="L155" i="2"/>
  <c r="I155" i="2"/>
  <c r="H155" i="2"/>
  <c r="P154" i="2"/>
  <c r="O154" i="2"/>
  <c r="N154" i="2"/>
  <c r="M154" i="2"/>
  <c r="L154" i="2"/>
  <c r="I154" i="2"/>
  <c r="H154" i="2"/>
  <c r="P153" i="2"/>
  <c r="O153" i="2"/>
  <c r="N153" i="2"/>
  <c r="M153" i="2"/>
  <c r="L153" i="2"/>
  <c r="I153" i="2"/>
  <c r="H153" i="2"/>
  <c r="P152" i="2"/>
  <c r="O152" i="2"/>
  <c r="N152" i="2"/>
  <c r="M152" i="2"/>
  <c r="L152" i="2"/>
  <c r="I152" i="2"/>
  <c r="H152" i="2"/>
  <c r="P151" i="2"/>
  <c r="O151" i="2"/>
  <c r="N151" i="2"/>
  <c r="M151" i="2"/>
  <c r="L151" i="2"/>
  <c r="I151" i="2"/>
  <c r="H151" i="2"/>
  <c r="P150" i="2"/>
  <c r="O150" i="2"/>
  <c r="N150" i="2"/>
  <c r="M150" i="2"/>
  <c r="L150" i="2"/>
  <c r="I150" i="2"/>
  <c r="H150" i="2"/>
  <c r="P149" i="2"/>
  <c r="O149" i="2"/>
  <c r="N149" i="2"/>
  <c r="M149" i="2"/>
  <c r="L149" i="2"/>
  <c r="I149" i="2"/>
  <c r="H149" i="2"/>
  <c r="P148" i="2"/>
  <c r="O148" i="2"/>
  <c r="N148" i="2"/>
  <c r="M148" i="2"/>
  <c r="L148" i="2"/>
  <c r="I148" i="2"/>
  <c r="H148" i="2"/>
  <c r="P147" i="2"/>
  <c r="O147" i="2"/>
  <c r="N147" i="2"/>
  <c r="M147" i="2"/>
  <c r="L147" i="2"/>
  <c r="I147" i="2"/>
  <c r="H147" i="2"/>
  <c r="P146" i="2"/>
  <c r="O146" i="2"/>
  <c r="N146" i="2"/>
  <c r="M146" i="2"/>
  <c r="L146" i="2"/>
  <c r="I146" i="2"/>
  <c r="H146" i="2"/>
  <c r="P145" i="2"/>
  <c r="O145" i="2"/>
  <c r="N145" i="2"/>
  <c r="M145" i="2"/>
  <c r="L145" i="2"/>
  <c r="I145" i="2"/>
  <c r="H145" i="2"/>
  <c r="P144" i="2"/>
  <c r="O144" i="2"/>
  <c r="N144" i="2"/>
  <c r="M144" i="2"/>
  <c r="L144" i="2"/>
  <c r="I144" i="2"/>
  <c r="H144" i="2"/>
  <c r="P143" i="2"/>
  <c r="O143" i="2"/>
  <c r="N143" i="2"/>
  <c r="M143" i="2"/>
  <c r="L143" i="2"/>
  <c r="I143" i="2"/>
  <c r="H143" i="2"/>
  <c r="P142" i="2"/>
  <c r="O142" i="2"/>
  <c r="N142" i="2"/>
  <c r="M142" i="2"/>
  <c r="L142" i="2"/>
  <c r="I142" i="2"/>
  <c r="H142" i="2"/>
  <c r="P141" i="2"/>
  <c r="O141" i="2"/>
  <c r="N141" i="2"/>
  <c r="M141" i="2"/>
  <c r="L141" i="2"/>
  <c r="I141" i="2"/>
  <c r="H141" i="2"/>
  <c r="P140" i="2"/>
  <c r="O140" i="2"/>
  <c r="N140" i="2"/>
  <c r="M140" i="2"/>
  <c r="L140" i="2"/>
  <c r="I140" i="2"/>
  <c r="H140" i="2"/>
  <c r="P139" i="2"/>
  <c r="O139" i="2"/>
  <c r="N139" i="2"/>
  <c r="M139" i="2"/>
  <c r="L139" i="2"/>
  <c r="I139" i="2"/>
  <c r="H139" i="2"/>
  <c r="P138" i="2"/>
  <c r="O138" i="2"/>
  <c r="N138" i="2"/>
  <c r="M138" i="2"/>
  <c r="L138" i="2"/>
  <c r="I138" i="2"/>
  <c r="H138" i="2"/>
  <c r="P137" i="2"/>
  <c r="O137" i="2"/>
  <c r="N137" i="2"/>
  <c r="M137" i="2"/>
  <c r="L137" i="2"/>
  <c r="I137" i="2"/>
  <c r="H137" i="2"/>
  <c r="P136" i="2"/>
  <c r="O136" i="2"/>
  <c r="N136" i="2"/>
  <c r="M136" i="2"/>
  <c r="L136" i="2"/>
  <c r="I136" i="2"/>
  <c r="H136" i="2"/>
  <c r="P135" i="2"/>
  <c r="O135" i="2"/>
  <c r="N135" i="2"/>
  <c r="M135" i="2"/>
  <c r="L135" i="2"/>
  <c r="I135" i="2"/>
  <c r="H135" i="2"/>
  <c r="P134" i="2"/>
  <c r="O134" i="2"/>
  <c r="N134" i="2"/>
  <c r="M134" i="2"/>
  <c r="L134" i="2"/>
  <c r="I134" i="2"/>
  <c r="H134" i="2"/>
  <c r="P133" i="2"/>
  <c r="O133" i="2"/>
  <c r="N133" i="2"/>
  <c r="M133" i="2"/>
  <c r="L133" i="2"/>
  <c r="I133" i="2"/>
  <c r="H133" i="2"/>
  <c r="P132" i="2"/>
  <c r="O132" i="2"/>
  <c r="N132" i="2"/>
  <c r="M132" i="2"/>
  <c r="L132" i="2"/>
  <c r="I132" i="2"/>
  <c r="H132" i="2"/>
  <c r="P131" i="2"/>
  <c r="O131" i="2"/>
  <c r="N131" i="2"/>
  <c r="M131" i="2"/>
  <c r="L131" i="2"/>
  <c r="I131" i="2"/>
  <c r="H131" i="2"/>
  <c r="P130" i="2"/>
  <c r="O130" i="2"/>
  <c r="N130" i="2"/>
  <c r="M130" i="2"/>
  <c r="L130" i="2"/>
  <c r="I130" i="2"/>
  <c r="H130" i="2"/>
  <c r="P129" i="2"/>
  <c r="O129" i="2"/>
  <c r="N129" i="2"/>
  <c r="M129" i="2"/>
  <c r="L129" i="2"/>
  <c r="I129" i="2"/>
  <c r="H129" i="2"/>
  <c r="P128" i="2"/>
  <c r="O128" i="2"/>
  <c r="N128" i="2"/>
  <c r="M128" i="2"/>
  <c r="L128" i="2"/>
  <c r="I128" i="2"/>
  <c r="H128" i="2"/>
  <c r="P127" i="2"/>
  <c r="O127" i="2"/>
  <c r="N127" i="2"/>
  <c r="M127" i="2"/>
  <c r="L127" i="2"/>
  <c r="I127" i="2"/>
  <c r="H127" i="2"/>
  <c r="P126" i="2"/>
  <c r="O126" i="2"/>
  <c r="N126" i="2"/>
  <c r="M126" i="2"/>
  <c r="L126" i="2"/>
  <c r="I126" i="2"/>
  <c r="H126" i="2"/>
  <c r="P125" i="2"/>
  <c r="O125" i="2"/>
  <c r="N125" i="2"/>
  <c r="M125" i="2"/>
  <c r="L125" i="2"/>
  <c r="I125" i="2"/>
  <c r="H125" i="2"/>
  <c r="P124" i="2"/>
  <c r="O124" i="2"/>
  <c r="N124" i="2"/>
  <c r="M124" i="2"/>
  <c r="L124" i="2"/>
  <c r="I124" i="2"/>
  <c r="H124" i="2"/>
  <c r="P123" i="2"/>
  <c r="O123" i="2"/>
  <c r="N123" i="2"/>
  <c r="M123" i="2"/>
  <c r="L123" i="2"/>
  <c r="I123" i="2"/>
  <c r="H123" i="2"/>
  <c r="P122" i="2"/>
  <c r="O122" i="2"/>
  <c r="N122" i="2"/>
  <c r="M122" i="2"/>
  <c r="L122" i="2"/>
  <c r="I122" i="2"/>
  <c r="H122" i="2"/>
  <c r="P121" i="2"/>
  <c r="O121" i="2"/>
  <c r="N121" i="2"/>
  <c r="M121" i="2"/>
  <c r="L121" i="2"/>
  <c r="I121" i="2"/>
  <c r="H121" i="2"/>
  <c r="P120" i="2"/>
  <c r="O120" i="2"/>
  <c r="N120" i="2"/>
  <c r="M120" i="2"/>
  <c r="L120" i="2"/>
  <c r="I120" i="2"/>
  <c r="H120" i="2"/>
  <c r="P119" i="2"/>
  <c r="O119" i="2"/>
  <c r="N119" i="2"/>
  <c r="M119" i="2"/>
  <c r="L119" i="2"/>
  <c r="I119" i="2"/>
  <c r="H119" i="2"/>
  <c r="P118" i="2"/>
  <c r="O118" i="2"/>
  <c r="N118" i="2"/>
  <c r="M118" i="2"/>
  <c r="L118" i="2"/>
  <c r="I118" i="2"/>
  <c r="H118" i="2"/>
  <c r="P117" i="2"/>
  <c r="O117" i="2"/>
  <c r="N117" i="2"/>
  <c r="M117" i="2"/>
  <c r="L117" i="2"/>
  <c r="I117" i="2"/>
  <c r="H117" i="2"/>
  <c r="P116" i="2"/>
  <c r="O116" i="2"/>
  <c r="N116" i="2"/>
  <c r="M116" i="2"/>
  <c r="L116" i="2"/>
  <c r="I116" i="2"/>
  <c r="H116" i="2"/>
  <c r="P115" i="2"/>
  <c r="O115" i="2"/>
  <c r="N115" i="2"/>
  <c r="M115" i="2"/>
  <c r="L115" i="2"/>
  <c r="I115" i="2"/>
  <c r="H115" i="2"/>
  <c r="P114" i="2"/>
  <c r="O114" i="2"/>
  <c r="N114" i="2"/>
  <c r="M114" i="2"/>
  <c r="L114" i="2"/>
  <c r="I114" i="2"/>
  <c r="H114" i="2"/>
  <c r="P113" i="2"/>
  <c r="O113" i="2"/>
  <c r="N113" i="2"/>
  <c r="M113" i="2"/>
  <c r="L113" i="2"/>
  <c r="I113" i="2"/>
  <c r="H113" i="2"/>
  <c r="P112" i="2"/>
  <c r="O112" i="2"/>
  <c r="N112" i="2"/>
  <c r="M112" i="2"/>
  <c r="L112" i="2"/>
  <c r="I112" i="2"/>
  <c r="H112" i="2"/>
  <c r="P111" i="2"/>
  <c r="O111" i="2"/>
  <c r="N111" i="2"/>
  <c r="M111" i="2"/>
  <c r="L111" i="2"/>
  <c r="I111" i="2"/>
  <c r="H111" i="2"/>
  <c r="P110" i="2"/>
  <c r="O110" i="2"/>
  <c r="N110" i="2"/>
  <c r="M110" i="2"/>
  <c r="L110" i="2"/>
  <c r="I110" i="2"/>
  <c r="H110" i="2"/>
  <c r="P109" i="2"/>
  <c r="O109" i="2"/>
  <c r="N109" i="2"/>
  <c r="M109" i="2"/>
  <c r="L109" i="2"/>
  <c r="I109" i="2"/>
  <c r="H109" i="2"/>
  <c r="P108" i="2"/>
  <c r="O108" i="2"/>
  <c r="N108" i="2"/>
  <c r="M108" i="2"/>
  <c r="L108" i="2"/>
  <c r="I108" i="2"/>
  <c r="H108" i="2"/>
  <c r="P107" i="2"/>
  <c r="O107" i="2"/>
  <c r="N107" i="2"/>
  <c r="M107" i="2"/>
  <c r="L107" i="2"/>
  <c r="I107" i="2"/>
  <c r="H107" i="2"/>
  <c r="P106" i="2"/>
  <c r="O106" i="2"/>
  <c r="N106" i="2"/>
  <c r="M106" i="2"/>
  <c r="L106" i="2"/>
  <c r="I106" i="2"/>
  <c r="H106" i="2"/>
  <c r="P105" i="2"/>
  <c r="O105" i="2"/>
  <c r="N105" i="2"/>
  <c r="M105" i="2"/>
  <c r="L105" i="2"/>
  <c r="I105" i="2"/>
  <c r="H105" i="2"/>
  <c r="P104" i="2"/>
  <c r="O104" i="2"/>
  <c r="N104" i="2"/>
  <c r="M104" i="2"/>
  <c r="L104" i="2"/>
  <c r="I104" i="2"/>
  <c r="H104" i="2"/>
  <c r="P103" i="2"/>
  <c r="O103" i="2"/>
  <c r="N103" i="2"/>
  <c r="M103" i="2"/>
  <c r="L103" i="2"/>
  <c r="I103" i="2"/>
  <c r="H103" i="2"/>
  <c r="P102" i="2"/>
  <c r="O102" i="2"/>
  <c r="N102" i="2"/>
  <c r="M102" i="2"/>
  <c r="L102" i="2"/>
  <c r="I102" i="2"/>
  <c r="H102" i="2"/>
  <c r="P101" i="2"/>
  <c r="O101" i="2"/>
  <c r="N101" i="2"/>
  <c r="M101" i="2"/>
  <c r="L101" i="2"/>
  <c r="I101" i="2"/>
  <c r="H101" i="2"/>
  <c r="P100" i="2"/>
  <c r="O100" i="2"/>
  <c r="N100" i="2"/>
  <c r="M100" i="2"/>
  <c r="L100" i="2"/>
  <c r="I100" i="2"/>
  <c r="H100" i="2"/>
  <c r="P99" i="2"/>
  <c r="O99" i="2"/>
  <c r="N99" i="2"/>
  <c r="M99" i="2"/>
  <c r="L99" i="2"/>
  <c r="I99" i="2"/>
  <c r="H99" i="2"/>
  <c r="P98" i="2"/>
  <c r="O98" i="2"/>
  <c r="N98" i="2"/>
  <c r="M98" i="2"/>
  <c r="L98" i="2"/>
  <c r="I98" i="2"/>
  <c r="H98" i="2"/>
  <c r="P97" i="2"/>
  <c r="O97" i="2"/>
  <c r="N97" i="2"/>
  <c r="M97" i="2"/>
  <c r="L97" i="2"/>
  <c r="I97" i="2"/>
  <c r="H97" i="2"/>
  <c r="P96" i="2"/>
  <c r="O96" i="2"/>
  <c r="N96" i="2"/>
  <c r="M96" i="2"/>
  <c r="L96" i="2"/>
  <c r="I96" i="2"/>
  <c r="H96" i="2"/>
  <c r="P95" i="2"/>
  <c r="O95" i="2"/>
  <c r="N95" i="2"/>
  <c r="M95" i="2"/>
  <c r="L95" i="2"/>
  <c r="I95" i="2"/>
  <c r="H95" i="2"/>
  <c r="P94" i="2"/>
  <c r="O94" i="2"/>
  <c r="N94" i="2"/>
  <c r="M94" i="2"/>
  <c r="L94" i="2"/>
  <c r="I94" i="2"/>
  <c r="H94" i="2"/>
  <c r="P93" i="2"/>
  <c r="O93" i="2"/>
  <c r="N93" i="2"/>
  <c r="M93" i="2"/>
  <c r="L93" i="2"/>
  <c r="I93" i="2"/>
  <c r="H93" i="2"/>
  <c r="P92" i="2"/>
  <c r="O92" i="2"/>
  <c r="N92" i="2"/>
  <c r="M92" i="2"/>
  <c r="L92" i="2"/>
  <c r="I92" i="2"/>
  <c r="H92" i="2"/>
  <c r="P91" i="2"/>
  <c r="O91" i="2"/>
  <c r="N91" i="2"/>
  <c r="M91" i="2"/>
  <c r="L91" i="2"/>
  <c r="I91" i="2"/>
  <c r="H91" i="2"/>
  <c r="P90" i="2"/>
  <c r="O90" i="2"/>
  <c r="N90" i="2"/>
  <c r="M90" i="2"/>
  <c r="L90" i="2"/>
  <c r="I90" i="2"/>
  <c r="H90" i="2"/>
  <c r="P89" i="2"/>
  <c r="O89" i="2"/>
  <c r="N89" i="2"/>
  <c r="M89" i="2"/>
  <c r="L89" i="2"/>
  <c r="I89" i="2"/>
  <c r="H89" i="2"/>
  <c r="P88" i="2"/>
  <c r="O88" i="2"/>
  <c r="N88" i="2"/>
  <c r="M88" i="2"/>
  <c r="L88" i="2"/>
  <c r="I88" i="2"/>
  <c r="H88" i="2"/>
  <c r="P87" i="2"/>
  <c r="O87" i="2"/>
  <c r="N87" i="2"/>
  <c r="M87" i="2"/>
  <c r="L87" i="2"/>
  <c r="I87" i="2"/>
  <c r="H87" i="2"/>
  <c r="P86" i="2"/>
  <c r="O86" i="2"/>
  <c r="N86" i="2"/>
  <c r="M86" i="2"/>
  <c r="L86" i="2"/>
  <c r="I86" i="2"/>
  <c r="H86" i="2"/>
  <c r="P85" i="2"/>
  <c r="O85" i="2"/>
  <c r="N85" i="2"/>
  <c r="M85" i="2"/>
  <c r="L85" i="2"/>
  <c r="I85" i="2"/>
  <c r="H85" i="2"/>
  <c r="P84" i="2"/>
  <c r="O84" i="2"/>
  <c r="N84" i="2"/>
  <c r="M84" i="2"/>
  <c r="L84" i="2"/>
  <c r="I84" i="2"/>
  <c r="H84" i="2"/>
  <c r="P83" i="2"/>
  <c r="O83" i="2"/>
  <c r="N83" i="2"/>
  <c r="M83" i="2"/>
  <c r="L83" i="2"/>
  <c r="I83" i="2"/>
  <c r="H83" i="2"/>
  <c r="P82" i="2"/>
  <c r="O82" i="2"/>
  <c r="N82" i="2"/>
  <c r="M82" i="2"/>
  <c r="L82" i="2"/>
  <c r="I82" i="2"/>
  <c r="H82" i="2"/>
  <c r="P81" i="2"/>
  <c r="O81" i="2"/>
  <c r="N81" i="2"/>
  <c r="M81" i="2"/>
  <c r="L81" i="2"/>
  <c r="I81" i="2"/>
  <c r="H81" i="2"/>
  <c r="P80" i="2"/>
  <c r="O80" i="2"/>
  <c r="N80" i="2"/>
  <c r="M80" i="2"/>
  <c r="L80" i="2"/>
  <c r="I80" i="2"/>
  <c r="H80" i="2"/>
  <c r="P79" i="2"/>
  <c r="O79" i="2"/>
  <c r="N79" i="2"/>
  <c r="M79" i="2"/>
  <c r="L79" i="2"/>
  <c r="I79" i="2"/>
  <c r="H79" i="2"/>
  <c r="P78" i="2"/>
  <c r="O78" i="2"/>
  <c r="N78" i="2"/>
  <c r="M78" i="2"/>
  <c r="L78" i="2"/>
  <c r="I78" i="2"/>
  <c r="H78" i="2"/>
  <c r="P77" i="2"/>
  <c r="O77" i="2"/>
  <c r="N77" i="2"/>
  <c r="M77" i="2"/>
  <c r="L77" i="2"/>
  <c r="I77" i="2"/>
  <c r="H77" i="2"/>
  <c r="P76" i="2"/>
  <c r="O76" i="2"/>
  <c r="N76" i="2"/>
  <c r="M76" i="2"/>
  <c r="L76" i="2"/>
  <c r="I76" i="2"/>
  <c r="H76" i="2"/>
  <c r="P75" i="2"/>
  <c r="O75" i="2"/>
  <c r="N75" i="2"/>
  <c r="M75" i="2"/>
  <c r="L75" i="2"/>
  <c r="I75" i="2"/>
  <c r="H75" i="2"/>
  <c r="P74" i="2"/>
  <c r="O74" i="2"/>
  <c r="N74" i="2"/>
  <c r="M74" i="2"/>
  <c r="L74" i="2"/>
  <c r="I74" i="2"/>
  <c r="H74" i="2"/>
  <c r="P73" i="2"/>
  <c r="O73" i="2"/>
  <c r="N73" i="2"/>
  <c r="M73" i="2"/>
  <c r="L73" i="2"/>
  <c r="I73" i="2"/>
  <c r="H73" i="2"/>
  <c r="P72" i="2"/>
  <c r="O72" i="2"/>
  <c r="N72" i="2"/>
  <c r="M72" i="2"/>
  <c r="L72" i="2"/>
  <c r="I72" i="2"/>
  <c r="H72" i="2"/>
  <c r="P71" i="2"/>
  <c r="O71" i="2"/>
  <c r="N71" i="2"/>
  <c r="M71" i="2"/>
  <c r="L71" i="2"/>
  <c r="I71" i="2"/>
  <c r="H71" i="2"/>
  <c r="P70" i="2"/>
  <c r="O70" i="2"/>
  <c r="N70" i="2"/>
  <c r="M70" i="2"/>
  <c r="L70" i="2"/>
  <c r="I70" i="2"/>
  <c r="H70" i="2"/>
  <c r="P69" i="2"/>
  <c r="O69" i="2"/>
  <c r="N69" i="2"/>
  <c r="M69" i="2"/>
  <c r="L69" i="2"/>
  <c r="I69" i="2"/>
  <c r="H69" i="2"/>
  <c r="P68" i="2"/>
  <c r="O68" i="2"/>
  <c r="N68" i="2"/>
  <c r="M68" i="2"/>
  <c r="L68" i="2"/>
  <c r="I68" i="2"/>
  <c r="H68" i="2"/>
  <c r="P67" i="2"/>
  <c r="O67" i="2"/>
  <c r="N67" i="2"/>
  <c r="M67" i="2"/>
  <c r="L67" i="2"/>
  <c r="I67" i="2"/>
  <c r="H67" i="2"/>
  <c r="P66" i="2"/>
  <c r="O66" i="2"/>
  <c r="N66" i="2"/>
  <c r="M66" i="2"/>
  <c r="L66" i="2"/>
  <c r="I66" i="2"/>
  <c r="H66" i="2"/>
  <c r="P65" i="2"/>
  <c r="O65" i="2"/>
  <c r="N65" i="2"/>
  <c r="M65" i="2"/>
  <c r="L65" i="2"/>
  <c r="I65" i="2"/>
  <c r="H65" i="2"/>
  <c r="P64" i="2"/>
  <c r="O64" i="2"/>
  <c r="N64" i="2"/>
  <c r="M64" i="2"/>
  <c r="L64" i="2"/>
  <c r="I64" i="2"/>
  <c r="H64" i="2"/>
  <c r="P63" i="2"/>
  <c r="O63" i="2"/>
  <c r="N63" i="2"/>
  <c r="M63" i="2"/>
  <c r="L63" i="2"/>
  <c r="I63" i="2"/>
  <c r="H63" i="2"/>
  <c r="P62" i="2"/>
  <c r="O62" i="2"/>
  <c r="N62" i="2"/>
  <c r="M62" i="2"/>
  <c r="L62" i="2"/>
  <c r="I62" i="2"/>
  <c r="H62" i="2"/>
  <c r="P61" i="2"/>
  <c r="O61" i="2"/>
  <c r="N61" i="2"/>
  <c r="M61" i="2"/>
  <c r="L61" i="2"/>
  <c r="I61" i="2"/>
  <c r="H61" i="2"/>
  <c r="P60" i="2"/>
  <c r="O60" i="2"/>
  <c r="N60" i="2"/>
  <c r="M60" i="2"/>
  <c r="L60" i="2"/>
  <c r="I60" i="2"/>
  <c r="H60" i="2"/>
  <c r="P59" i="2"/>
  <c r="O59" i="2"/>
  <c r="N59" i="2"/>
  <c r="M59" i="2"/>
  <c r="L59" i="2"/>
  <c r="I59" i="2"/>
  <c r="H59" i="2"/>
  <c r="P58" i="2"/>
  <c r="O58" i="2"/>
  <c r="N58" i="2"/>
  <c r="M58" i="2"/>
  <c r="L58" i="2"/>
  <c r="I58" i="2"/>
  <c r="H58" i="2"/>
  <c r="P57" i="2"/>
  <c r="O57" i="2"/>
  <c r="N57" i="2"/>
  <c r="M57" i="2"/>
  <c r="L57" i="2"/>
  <c r="I57" i="2"/>
  <c r="H57" i="2"/>
  <c r="P56" i="2"/>
  <c r="O56" i="2"/>
  <c r="N56" i="2"/>
  <c r="M56" i="2"/>
  <c r="L56" i="2"/>
  <c r="I56" i="2"/>
  <c r="H56" i="2"/>
  <c r="P55" i="2"/>
  <c r="O55" i="2"/>
  <c r="N55" i="2"/>
  <c r="M55" i="2"/>
  <c r="L55" i="2"/>
  <c r="I55" i="2"/>
  <c r="H55" i="2"/>
  <c r="P54" i="2"/>
  <c r="O54" i="2"/>
  <c r="N54" i="2"/>
  <c r="M54" i="2"/>
  <c r="L54" i="2"/>
  <c r="I54" i="2"/>
  <c r="H54" i="2"/>
  <c r="P53" i="2"/>
  <c r="O53" i="2"/>
  <c r="N53" i="2"/>
  <c r="M53" i="2"/>
  <c r="L53" i="2"/>
  <c r="I53" i="2"/>
  <c r="H53" i="2"/>
  <c r="P52" i="2"/>
  <c r="O52" i="2"/>
  <c r="N52" i="2"/>
  <c r="M52" i="2"/>
  <c r="L52" i="2"/>
  <c r="I52" i="2"/>
  <c r="H52" i="2"/>
  <c r="P51" i="2"/>
  <c r="O51" i="2"/>
  <c r="N51" i="2"/>
  <c r="M51" i="2"/>
  <c r="L51" i="2"/>
  <c r="I51" i="2"/>
  <c r="H51" i="2"/>
  <c r="P50" i="2"/>
  <c r="O50" i="2"/>
  <c r="N50" i="2"/>
  <c r="M50" i="2"/>
  <c r="L50" i="2"/>
  <c r="I50" i="2"/>
  <c r="H50" i="2"/>
  <c r="P49" i="2"/>
  <c r="O49" i="2"/>
  <c r="N49" i="2"/>
  <c r="M49" i="2"/>
  <c r="L49" i="2"/>
  <c r="I49" i="2"/>
  <c r="H49" i="2"/>
  <c r="P48" i="2"/>
  <c r="O48" i="2"/>
  <c r="N48" i="2"/>
  <c r="M48" i="2"/>
  <c r="L48" i="2"/>
  <c r="I48" i="2"/>
  <c r="H48" i="2"/>
  <c r="P47" i="2"/>
  <c r="O47" i="2"/>
  <c r="N47" i="2"/>
  <c r="M47" i="2"/>
  <c r="L47" i="2"/>
  <c r="I47" i="2"/>
  <c r="H47" i="2"/>
  <c r="P46" i="2"/>
  <c r="O46" i="2"/>
  <c r="N46" i="2"/>
  <c r="M46" i="2"/>
  <c r="L46" i="2"/>
  <c r="I46" i="2"/>
  <c r="H46" i="2"/>
  <c r="P45" i="2"/>
  <c r="O45" i="2"/>
  <c r="N45" i="2"/>
  <c r="M45" i="2"/>
  <c r="L45" i="2"/>
  <c r="I45" i="2"/>
  <c r="H45" i="2"/>
  <c r="P44" i="2"/>
  <c r="O44" i="2"/>
  <c r="N44" i="2"/>
  <c r="M44" i="2"/>
  <c r="L44" i="2"/>
  <c r="I44" i="2"/>
  <c r="H44" i="2"/>
  <c r="P43" i="2"/>
  <c r="O43" i="2"/>
  <c r="N43" i="2"/>
  <c r="M43" i="2"/>
  <c r="L43" i="2"/>
  <c r="I43" i="2"/>
  <c r="H43" i="2"/>
  <c r="P42" i="2"/>
  <c r="O42" i="2"/>
  <c r="N42" i="2"/>
  <c r="M42" i="2"/>
  <c r="L42" i="2"/>
  <c r="I42" i="2"/>
  <c r="H42" i="2"/>
  <c r="P41" i="2"/>
  <c r="O41" i="2"/>
  <c r="N41" i="2"/>
  <c r="M41" i="2"/>
  <c r="L41" i="2"/>
  <c r="I41" i="2"/>
  <c r="H41" i="2"/>
  <c r="P40" i="2"/>
  <c r="O40" i="2"/>
  <c r="N40" i="2"/>
  <c r="M40" i="2"/>
  <c r="L40" i="2"/>
  <c r="I40" i="2"/>
  <c r="H40" i="2"/>
  <c r="P39" i="2"/>
  <c r="O39" i="2"/>
  <c r="N39" i="2"/>
  <c r="M39" i="2"/>
  <c r="L39" i="2"/>
  <c r="I39" i="2"/>
  <c r="H39" i="2"/>
  <c r="P38" i="2"/>
  <c r="O38" i="2"/>
  <c r="N38" i="2"/>
  <c r="M38" i="2"/>
  <c r="L38" i="2"/>
  <c r="I38" i="2"/>
  <c r="H38" i="2"/>
  <c r="P37" i="2"/>
  <c r="O37" i="2"/>
  <c r="N37" i="2"/>
  <c r="M37" i="2"/>
  <c r="L37" i="2"/>
  <c r="I37" i="2"/>
  <c r="H37" i="2"/>
  <c r="P36" i="2"/>
  <c r="O36" i="2"/>
  <c r="N36" i="2"/>
  <c r="M36" i="2"/>
  <c r="L36" i="2"/>
  <c r="I36" i="2"/>
  <c r="H36" i="2"/>
  <c r="P35" i="2"/>
  <c r="O35" i="2"/>
  <c r="N35" i="2"/>
  <c r="M35" i="2"/>
  <c r="L35" i="2"/>
  <c r="I35" i="2"/>
  <c r="H35" i="2"/>
  <c r="P34" i="2"/>
  <c r="O34" i="2"/>
  <c r="N34" i="2"/>
  <c r="M34" i="2"/>
  <c r="L34" i="2"/>
  <c r="I34" i="2"/>
  <c r="H34" i="2"/>
  <c r="P33" i="2"/>
  <c r="O33" i="2"/>
  <c r="N33" i="2"/>
  <c r="M33" i="2"/>
  <c r="L33" i="2"/>
  <c r="I33" i="2"/>
  <c r="H33" i="2"/>
  <c r="P32" i="2"/>
  <c r="O32" i="2"/>
  <c r="N32" i="2"/>
  <c r="M32" i="2"/>
  <c r="L32" i="2"/>
  <c r="I32" i="2"/>
  <c r="H32" i="2"/>
  <c r="P31" i="2"/>
  <c r="O31" i="2"/>
  <c r="N31" i="2"/>
  <c r="M31" i="2"/>
  <c r="L31" i="2"/>
  <c r="I31" i="2"/>
  <c r="H31" i="2"/>
  <c r="P30" i="2"/>
  <c r="O30" i="2"/>
  <c r="N30" i="2"/>
  <c r="M30" i="2"/>
  <c r="L30" i="2"/>
  <c r="I30" i="2"/>
  <c r="H30" i="2"/>
  <c r="P29" i="2"/>
  <c r="O29" i="2"/>
  <c r="N29" i="2"/>
  <c r="M29" i="2"/>
  <c r="L29" i="2"/>
  <c r="I29" i="2"/>
  <c r="H29" i="2"/>
  <c r="P28" i="2"/>
  <c r="O28" i="2"/>
  <c r="N28" i="2"/>
  <c r="M28" i="2"/>
  <c r="L28" i="2"/>
  <c r="I28" i="2"/>
  <c r="H28" i="2"/>
  <c r="P27" i="2"/>
  <c r="O27" i="2"/>
  <c r="N27" i="2"/>
  <c r="M27" i="2"/>
  <c r="L27" i="2"/>
  <c r="H27" i="2"/>
  <c r="P26" i="2"/>
  <c r="O26" i="2"/>
  <c r="N26" i="2"/>
  <c r="M26" i="2"/>
  <c r="L26" i="2"/>
  <c r="H26" i="2"/>
  <c r="P25" i="2"/>
  <c r="O25" i="2"/>
  <c r="N25" i="2"/>
  <c r="M25" i="2"/>
  <c r="L25" i="2"/>
  <c r="H25" i="2"/>
  <c r="P24" i="2"/>
  <c r="O24" i="2"/>
  <c r="N24" i="2"/>
  <c r="M24" i="2"/>
  <c r="L24" i="2"/>
  <c r="P23" i="2"/>
  <c r="O23" i="2"/>
  <c r="N23" i="2"/>
  <c r="M23" i="2"/>
  <c r="L23" i="2"/>
  <c r="P22" i="2"/>
  <c r="O22" i="2"/>
  <c r="N22" i="2"/>
  <c r="M22" i="2"/>
  <c r="L22" i="2"/>
  <c r="P21" i="2"/>
  <c r="O21" i="2"/>
  <c r="N21" i="2"/>
  <c r="M21" i="2"/>
  <c r="L21" i="2"/>
  <c r="P20" i="2"/>
  <c r="O20" i="2"/>
  <c r="N20" i="2"/>
  <c r="M20" i="2"/>
  <c r="L20" i="2"/>
  <c r="P19" i="2"/>
  <c r="O19" i="2"/>
  <c r="N19" i="2"/>
  <c r="M19" i="2"/>
  <c r="L19" i="2"/>
  <c r="P18" i="2"/>
  <c r="O18" i="2"/>
  <c r="N18" i="2"/>
  <c r="M18" i="2"/>
  <c r="L18" i="2"/>
  <c r="P17" i="2"/>
  <c r="O17" i="2"/>
  <c r="N17" i="2"/>
  <c r="M17" i="2"/>
  <c r="L17" i="2"/>
  <c r="P16" i="2"/>
  <c r="O16" i="2"/>
  <c r="N16" i="2"/>
  <c r="M16" i="2"/>
  <c r="L16" i="2"/>
  <c r="P15" i="2"/>
  <c r="O15" i="2"/>
  <c r="N15" i="2"/>
  <c r="M15" i="2"/>
  <c r="L15" i="2"/>
  <c r="P14" i="2"/>
  <c r="O14" i="2"/>
  <c r="N14" i="2"/>
  <c r="M14" i="2"/>
  <c r="L14" i="2"/>
  <c r="P13" i="2"/>
  <c r="O13" i="2"/>
  <c r="N13" i="2"/>
  <c r="M13" i="2"/>
  <c r="L13" i="2"/>
  <c r="P12" i="2"/>
  <c r="O12" i="2"/>
  <c r="N12" i="2"/>
  <c r="M12" i="2"/>
  <c r="L12" i="2"/>
  <c r="P11" i="2"/>
  <c r="O11" i="2"/>
  <c r="N11" i="2"/>
  <c r="M11" i="2"/>
  <c r="L11" i="2"/>
  <c r="P10" i="2"/>
  <c r="O10" i="2"/>
  <c r="N10" i="2"/>
  <c r="M10" i="2"/>
  <c r="L10" i="2"/>
  <c r="P9" i="2"/>
  <c r="O9" i="2"/>
  <c r="N9" i="2"/>
  <c r="M9" i="2"/>
  <c r="L9" i="2"/>
  <c r="P8" i="2"/>
  <c r="O8" i="2"/>
  <c r="N8" i="2"/>
  <c r="M8" i="2"/>
  <c r="L8" i="2"/>
  <c r="P7" i="2"/>
  <c r="O7" i="2"/>
  <c r="N7" i="2"/>
  <c r="M7" i="2"/>
  <c r="L7" i="2"/>
  <c r="P6" i="2"/>
  <c r="O6" i="2"/>
  <c r="N6" i="2"/>
  <c r="M6" i="2"/>
  <c r="L6" i="2"/>
  <c r="P5" i="2"/>
  <c r="O5" i="2"/>
  <c r="N5" i="2"/>
  <c r="M5" i="2"/>
  <c r="L5" i="2"/>
  <c r="P4" i="2"/>
  <c r="O4" i="2"/>
  <c r="N4" i="2"/>
  <c r="M4" i="2"/>
  <c r="L4" i="2"/>
  <c r="P3" i="2"/>
  <c r="O3" i="2"/>
  <c r="N3" i="2"/>
  <c r="M3" i="2"/>
  <c r="L3" i="2"/>
  <c r="P2" i="2"/>
  <c r="O2" i="2"/>
  <c r="N2" i="2"/>
  <c r="M2" i="2"/>
  <c r="L2" i="2"/>
  <c r="I104" i="1"/>
  <c r="H104" i="1"/>
  <c r="G104" i="1"/>
  <c r="I63" i="1"/>
  <c r="H63" i="1"/>
  <c r="G63" i="1"/>
  <c r="I62" i="1"/>
  <c r="H62" i="1"/>
  <c r="G62" i="1"/>
  <c r="I61" i="1"/>
  <c r="H61" i="1"/>
  <c r="G61" i="1"/>
  <c r="I60" i="1"/>
  <c r="H60" i="1"/>
  <c r="G60" i="1"/>
  <c r="I59" i="1"/>
  <c r="H59" i="1"/>
  <c r="G59" i="1"/>
  <c r="I58" i="1"/>
  <c r="H58" i="1"/>
  <c r="G58" i="1"/>
  <c r="I57" i="1"/>
  <c r="H57" i="1"/>
  <c r="G57" i="1"/>
  <c r="I56" i="1"/>
  <c r="H56" i="1"/>
  <c r="G56" i="1"/>
  <c r="I55" i="1"/>
  <c r="H55" i="1"/>
  <c r="G55" i="1"/>
  <c r="I54" i="1"/>
  <c r="H54" i="1"/>
  <c r="G54" i="1"/>
  <c r="I53" i="1"/>
  <c r="H53" i="1"/>
  <c r="G53" i="1"/>
  <c r="I52" i="1"/>
  <c r="H52" i="1"/>
  <c r="G52" i="1"/>
  <c r="I51" i="1"/>
  <c r="H51" i="1"/>
  <c r="G51" i="1"/>
  <c r="I50" i="1"/>
  <c r="H50" i="1"/>
  <c r="G50" i="1"/>
  <c r="I49" i="1"/>
  <c r="H49" i="1"/>
  <c r="G49" i="1"/>
  <c r="I48" i="1"/>
  <c r="H48" i="1"/>
  <c r="G48" i="1"/>
  <c r="I47" i="1"/>
  <c r="H47" i="1"/>
  <c r="G47" i="1"/>
  <c r="I46" i="1"/>
  <c r="H46" i="1"/>
  <c r="G46" i="1"/>
  <c r="I45" i="1"/>
  <c r="H45" i="1"/>
  <c r="G45" i="1"/>
  <c r="I44" i="1"/>
  <c r="H44" i="1"/>
  <c r="G44" i="1"/>
  <c r="I43" i="1"/>
  <c r="H43" i="1"/>
  <c r="G43" i="1"/>
  <c r="I42" i="1"/>
  <c r="H42" i="1"/>
  <c r="G42" i="1"/>
  <c r="I41" i="1"/>
  <c r="H41" i="1"/>
  <c r="G41" i="1"/>
  <c r="I40" i="1"/>
  <c r="H40" i="1"/>
  <c r="G40" i="1"/>
  <c r="I39" i="1"/>
  <c r="H39" i="1"/>
  <c r="G39" i="1"/>
  <c r="I38" i="1"/>
  <c r="H38" i="1"/>
  <c r="G38" i="1"/>
  <c r="I37" i="1"/>
  <c r="H37" i="1"/>
  <c r="G37" i="1"/>
  <c r="I36" i="1"/>
  <c r="H36" i="1"/>
  <c r="G36" i="1"/>
  <c r="I35" i="1"/>
  <c r="H35" i="1"/>
  <c r="G35" i="1"/>
  <c r="I34" i="1"/>
  <c r="H34" i="1"/>
  <c r="G34" i="1"/>
  <c r="I33" i="1"/>
  <c r="H33" i="1"/>
  <c r="G33" i="1"/>
  <c r="I32" i="1"/>
  <c r="H32" i="1"/>
  <c r="G32" i="1"/>
  <c r="I31" i="1"/>
  <c r="H31" i="1"/>
  <c r="G31" i="1"/>
  <c r="I30" i="1"/>
  <c r="H30" i="1"/>
  <c r="G30" i="1"/>
  <c r="I29" i="1"/>
  <c r="H29" i="1"/>
  <c r="G29" i="1"/>
  <c r="I28" i="1"/>
  <c r="H28" i="1"/>
  <c r="G28" i="1"/>
  <c r="I27" i="1"/>
  <c r="H27" i="1"/>
  <c r="G27" i="1"/>
  <c r="I26" i="1"/>
  <c r="H26" i="1"/>
  <c r="G26" i="1"/>
  <c r="I25" i="1"/>
  <c r="H25" i="1"/>
  <c r="G25" i="1"/>
  <c r="I24" i="1"/>
  <c r="H24" i="1"/>
  <c r="G24" i="1"/>
  <c r="I23" i="1"/>
  <c r="H23" i="1"/>
  <c r="G23" i="1"/>
  <c r="I22" i="1"/>
  <c r="H22" i="1"/>
  <c r="G22" i="1"/>
  <c r="I21" i="1"/>
  <c r="H21" i="1"/>
  <c r="G21" i="1"/>
  <c r="I20" i="1"/>
  <c r="H20" i="1"/>
  <c r="G20" i="1"/>
  <c r="I19" i="1"/>
  <c r="H19" i="1"/>
  <c r="G19" i="1"/>
  <c r="I18" i="1"/>
  <c r="H18" i="1"/>
  <c r="G18" i="1"/>
  <c r="I17" i="1"/>
  <c r="H17" i="1"/>
  <c r="G17" i="1"/>
  <c r="I16" i="1"/>
  <c r="H16" i="1"/>
  <c r="G16" i="1"/>
  <c r="I15" i="1"/>
  <c r="H15" i="1"/>
  <c r="G15" i="1"/>
  <c r="I14" i="1"/>
  <c r="H14" i="1"/>
  <c r="G14" i="1"/>
  <c r="I13" i="1"/>
  <c r="H13" i="1"/>
  <c r="G13" i="1"/>
  <c r="I12" i="1"/>
  <c r="H12" i="1"/>
  <c r="G12" i="1"/>
  <c r="I11" i="1"/>
  <c r="H11" i="1"/>
  <c r="G11" i="1"/>
  <c r="I8" i="1"/>
  <c r="H8" i="1"/>
  <c r="G8" i="1"/>
  <c r="I7" i="1"/>
  <c r="H7" i="1"/>
  <c r="G7" i="1"/>
  <c r="I6" i="1"/>
  <c r="H6" i="1"/>
  <c r="G6" i="1"/>
  <c r="I5" i="1"/>
  <c r="H5" i="1"/>
  <c r="G5" i="1"/>
  <c r="I4" i="1"/>
  <c r="H4" i="1"/>
  <c r="G4" i="1"/>
  <c r="T3" i="1"/>
  <c r="J3" i="1"/>
  <c r="I3" i="1"/>
  <c r="H3"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2000000}">
      <text>
        <r>
          <rPr>
            <sz val="10"/>
            <color rgb="FF000000"/>
            <rFont val="Arial"/>
            <scheme val="minor"/>
          </rPr>
          <t>Maybe input for water dashboard?
	-Francesco Martini
----
These will be the keys sent in the "values" part of the message to the platform
	-Joel Aumedes Serrano</t>
        </r>
      </text>
    </comment>
    <comment ref="D24" authorId="0" shapeId="0" xr:uid="{00000000-0006-0000-0000-000003000000}">
      <text>
        <r>
          <rPr>
            <sz val="10"/>
            <color rgb="FF000000"/>
            <rFont val="Arial"/>
            <scheme val="minor"/>
          </rPr>
          <t>Non ci sono info nel file condiviso con UNISS
	-Francesco Martini</t>
        </r>
      </text>
    </comment>
    <comment ref="A35" authorId="0" shapeId="0" xr:uid="{00000000-0006-0000-0000-000008000000}">
      <text>
        <r>
          <rPr>
            <sz val="10"/>
            <color rgb="FF000000"/>
            <rFont val="Arial"/>
            <scheme val="minor"/>
          </rPr>
          <t>We need a total of 24 rows for Nature4.0 sensors to add DEV EUI etc. for each one
	-Martina Leoni
24 rows for all devices.
If you device is not connected directly to Acquaount LoRaWAN server the DEV EUI is not required.
You should be able to forward you data directly to WoT Server (EUT)
	-Francesco Martini</t>
        </r>
      </text>
    </comment>
    <comment ref="D35" authorId="0" shapeId="0" xr:uid="{00000000-0006-0000-0000-000007000000}">
      <text>
        <r>
          <rPr>
            <sz val="10"/>
            <color rgb="FF000000"/>
            <rFont val="Arial"/>
            <scheme val="minor"/>
          </rPr>
          <t>@martina.leoni@unitus.it 
Could you provide the correct position of Nature 4.0 sensors, following the current format?
Thank you
_Assegnato a martina.leoni@unitus.it_
	-Francesco Martini
I don't have the authorization to modify the file. I add the requested information  here as a comment TTCyber SN	Lat	Lon
TTCyber 81238002	39,948300	8,703607
TTCyber 81238003	39,948300	8,703607
TTCyber 81238004	39,948300	8,703607
TTCyber 81238005	39,948300	8,703607
TTCyber 81238006	39,948300	8,703607
TTCyber 81238007	39,948300	8,703607
TTCyber 81238008	39,948298	8,703605
TTCyber 81238009	39,948334	8,703647
TTCyber 81238010	39,948334	8,703647
TTCyber 81238011	39,948300	8,703607
TTCyber 81238012	39,944860	8,697028
TTCyber 81238013	39,944860	8,697028
TTCyber 81238014	39,944769	8,696931
TTCyber 81238015	39,944664	8,696876
TTCyber 81238016	39,944741	8,696993
TTCyber 81238017	39,944741	8,697185
TTCyber 81238018	39,944741	8,697185
TTCyber 81238019	39,944577	8,696849
TTCyber 81238020	39.944644	8,696944
TTCyber 81238021	39,944577	8,696849
TTCyber 81238022	39,944551	8,697524
TTCyber 81238023	39,944456	8,697027
TTCyber 81238024	39,944456	8,697027
TTCyber 81238025	39,944551	8,697524
	-Martina Leoni
_Contrassegnato come completato_
	-Martina Leoni
_Riaperto_
Added coordinates info.
I updated the  authorizations this morning. You should be able to modify if needed.
	-Francesco Martini</t>
        </r>
      </text>
    </comment>
    <comment ref="D60" authorId="0" shapeId="0" xr:uid="{00000000-0006-0000-0000-000006000000}">
      <text>
        <r>
          <rPr>
            <sz val="10"/>
            <color rgb="FF000000"/>
            <rFont val="Arial"/>
            <scheme val="minor"/>
          </rPr>
          <t>Information to be provided by @mlocascio@uniss.it
_Assegnato a mlocascio@uniss.it_
	-Francesco Martini
Updated with Andrea Borgo
	-Francesco Martini</t>
        </r>
      </text>
    </comment>
    <comment ref="K70" authorId="0" shapeId="0" xr:uid="{00000000-0006-0000-0000-000009000000}">
      <text>
        <r>
          <rPr>
            <sz val="10"/>
            <color rgb="FF000000"/>
            <rFont val="Arial"/>
            <scheme val="minor"/>
          </rPr>
          <t>OLD 2CF7F1C052300177
	-Alessandro Casula</t>
        </r>
      </text>
    </comment>
    <comment ref="A93" authorId="0" shapeId="0" xr:uid="{00000000-0006-0000-0000-000005000000}">
      <text>
        <r>
          <rPr>
            <sz val="10"/>
            <color rgb="FF000000"/>
            <rFont val="Arial"/>
            <scheme val="minor"/>
          </rPr>
          <t>AGGIUNGERE QUESTO SENSORE SU AWS APPENA RANA FORNISCE TUTTI I CODICI NECESSARI
	-Alessandro Casula</t>
        </r>
      </text>
    </comment>
    <comment ref="A99" authorId="0" shapeId="0" xr:uid="{00000000-0006-0000-0000-000001000000}">
      <text>
        <r>
          <rPr>
            <sz val="10"/>
            <color rgb="FF000000"/>
            <rFont val="Arial"/>
            <scheme val="minor"/>
          </rPr>
          <t>Da capire in che modo ordinarli. Controllare prima se gli altri sensori sono già stati tutti segnati.
	-Paolo Carpentras
si per favore fai tu un check
	-Francesco Martini</t>
        </r>
      </text>
    </comment>
    <comment ref="K106" authorId="0" shapeId="0" xr:uid="{00000000-0006-0000-0000-000004000000}">
      <text>
        <r>
          <rPr>
            <sz val="10"/>
            <color rgb="FF000000"/>
            <rFont val="Arial"/>
            <scheme val="minor"/>
          </rPr>
          <t>nuovo sensoterra aggiungere
	-Alessandro Casula</t>
        </r>
      </text>
    </comment>
    <comment ref="C111" authorId="0" shapeId="0" xr:uid="{00000000-0006-0000-0000-00000D000000}">
      <text>
        <r>
          <rPr>
            <sz val="10"/>
            <color rgb="FF000000"/>
            <rFont val="Arial"/>
            <scheme val="minor"/>
          </rPr>
          <t>In the emails was GPRS but in D3.2 they reported as LoRA
	-Francesco Martini</t>
        </r>
      </text>
    </comment>
    <comment ref="AB111" authorId="0" shapeId="0" xr:uid="{00000000-0006-0000-0000-00000A000000}">
      <text>
        <r>
          <rPr>
            <sz val="10"/>
            <color rgb="FF000000"/>
            <rFont val="Arial"/>
            <scheme val="minor"/>
          </rPr>
          <t>As reported in datasheet. To be confirmed
	-Francesco Martini</t>
        </r>
      </text>
    </comment>
    <comment ref="AB112" authorId="0" shapeId="0" xr:uid="{00000000-0006-0000-0000-00000B000000}">
      <text>
        <r>
          <rPr>
            <sz val="10"/>
            <color rgb="FF000000"/>
            <rFont val="Arial"/>
            <scheme val="minor"/>
          </rPr>
          <t>As reported in datasheet. To be confirmed
	-Francesco Martini</t>
        </r>
      </text>
    </comment>
    <comment ref="C113" authorId="0" shapeId="0" xr:uid="{00000000-0006-0000-0000-00000C000000}">
      <text>
        <r>
          <rPr>
            <sz val="10"/>
            <color rgb="FF000000"/>
            <rFont val="Arial"/>
            <scheme val="minor"/>
          </rPr>
          <t>Not listed in D3.2 but reported here by lebanon site
	-Francesco Martini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8" authorId="0" shapeId="0" xr:uid="{00000000-0006-0000-0100-000005000000}">
      <text>
        <r>
          <rPr>
            <sz val="10"/>
            <color rgb="FF000000"/>
            <rFont val="Arial"/>
            <scheme val="minor"/>
          </rPr>
          <t>Sensors from I001 to I010 already implemented but currently not positioned in the fields. Waiting for the final coordinates from UNISS
	-Francesco Martini
From 1 to 8 correctly positioned in the field
	-Francesco Martini</t>
        </r>
      </text>
    </comment>
    <comment ref="B174" authorId="0" shapeId="0" xr:uid="{00000000-0006-0000-0100-000002000000}">
      <text>
        <r>
          <rPr>
            <sz val="10"/>
            <color rgb="FF000000"/>
            <rFont val="Arial"/>
            <scheme val="minor"/>
          </rPr>
          <t>Probably we will need to split the field to have only an irrigation system for each field
	-Francesco Martini</t>
        </r>
      </text>
    </comment>
    <comment ref="G181" authorId="0" shapeId="0" xr:uid="{00000000-0006-0000-0100-000004000000}">
      <text>
        <r>
          <rPr>
            <sz val="10"/>
            <color rgb="FF000000"/>
            <rFont val="Arial"/>
            <scheme val="minor"/>
          </rPr>
          <t>@joel.aumedes@eurecat.org 
@josep.pijuan@eurecat.org 
Is the data from Nature 4.0 already reachable from your server even though Device EUI has not been provided?
	-Francesco Martini
EUI in this case is purely informative, the datastreams are uploaded in the platform and the sensors will start sending data soon
	-Joel Aumedes Serrano
The EUI is relevant for the dashboard to add new sensors and link them with the right field / position
	-Francesco Martini</t>
        </r>
      </text>
    </comment>
    <comment ref="I181" authorId="0" shapeId="0" xr:uid="{00000000-0006-0000-0100-000001000000}">
      <text>
        <r>
          <rPr>
            <sz val="10"/>
            <color rgb="FF000000"/>
            <rFont val="Arial"/>
            <scheme val="minor"/>
          </rPr>
          <t>@joel.aumedes@eurecat.org @josep.pijuan@eurecat.org 
My proposal to have an equivalent EUI for each device listed here.
This will be useful to connect the sensors in the dashboard without requesting information to the farm.
	-Francesco Martini</t>
        </r>
      </text>
    </comment>
    <comment ref="G642" authorId="0" shapeId="0" xr:uid="{00000000-0006-0000-0100-000003000000}">
      <text>
        <r>
          <rPr>
            <sz val="10"/>
            <color rgb="FF000000"/>
            <rFont val="Arial"/>
            <scheme val="minor"/>
          </rPr>
          <t>@joel.aumedes@eurecat.org 
@josep.pijuan@eurecat.org 
Is the data from VanWalt already reachable from your server even though many information has not been provided?
	-Francesco Martini
Yes, since the missing information is informative and not required for the server to work
	-Joel Aumedes Serrano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Q6" authorId="0" shapeId="0" xr:uid="{00000000-0006-0000-0200-000001000000}">
      <text>
        <r>
          <rPr>
            <sz val="10"/>
            <color rgb="FF000000"/>
            <rFont val="Arial"/>
            <scheme val="minor"/>
          </rPr>
          <t>@alessandro.casula@abinsula.com Ho aggiunto una nuova stazione meteo come tipologia, perchè ci aspettiamo dati da due moduli diversi. Le variabili dovrebbero essere queste.
Da rivedere
_Assegnato a alessandro.casula@abinsula.com_
	-Francesco Martini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57" authorId="0" shapeId="0" xr:uid="{00000000-0006-0000-0300-000001000000}">
      <text>
        <r>
          <rPr>
            <sz val="10"/>
            <color rgb="FF000000"/>
            <rFont val="Arial"/>
            <scheme val="minor"/>
          </rPr>
          <t>inconsistent with the value on the left
	-Francesco Martini</t>
        </r>
      </text>
    </comment>
  </commentList>
</comments>
</file>

<file path=xl/sharedStrings.xml><?xml version="1.0" encoding="utf-8"?>
<sst xmlns="http://schemas.openxmlformats.org/spreadsheetml/2006/main" count="11346" uniqueCount="1701">
  <si>
    <t>78d800b023960383</t>
  </si>
  <si>
    <t>LoRaWAN and test codes</t>
  </si>
  <si>
    <t>All Other connection Reference</t>
  </si>
  <si>
    <t>ID</t>
  </si>
  <si>
    <t>PILOT REF</t>
  </si>
  <si>
    <t>Name</t>
  </si>
  <si>
    <t>Lon</t>
  </si>
  <si>
    <t>Lat</t>
  </si>
  <si>
    <t>Device Type</t>
  </si>
  <si>
    <t>FUNCTION</t>
  </si>
  <si>
    <t>BRAND</t>
  </si>
  <si>
    <t>MODEL</t>
  </si>
  <si>
    <t>DEVICE EUI</t>
  </si>
  <si>
    <t>APP EUI 
(SN for Gateway)</t>
  </si>
  <si>
    <t>APP KEY</t>
  </si>
  <si>
    <t>Device Address</t>
  </si>
  <si>
    <t>AppSKey</t>
  </si>
  <si>
    <t>NwkSKey</t>
  </si>
  <si>
    <t>TB token</t>
  </si>
  <si>
    <t>Communication check</t>
  </si>
  <si>
    <t>Decoding check</t>
  </si>
  <si>
    <t>EndPoint</t>
  </si>
  <si>
    <t>EndPoint Type</t>
  </si>
  <si>
    <t>UserName</t>
  </si>
  <si>
    <t>Password</t>
  </si>
  <si>
    <t>Device ID</t>
  </si>
  <si>
    <t>MEASUREMENTS</t>
  </si>
  <si>
    <t>Notes</t>
  </si>
  <si>
    <t>@dropdown</t>
  </si>
  <si>
    <t>DGW01</t>
  </si>
  <si>
    <t>Demo</t>
  </si>
  <si>
    <t>RAK</t>
  </si>
  <si>
    <t>8.564322</t>
  </si>
  <si>
    <t>40.726754</t>
  </si>
  <si>
    <t>GT1</t>
  </si>
  <si>
    <t>AC1F09FFFE091FBA</t>
  </si>
  <si>
    <t>9181000G6020915013</t>
  </si>
  <si>
    <t>D001</t>
  </si>
  <si>
    <t>SenseCAPS2103</t>
  </si>
  <si>
    <t>ST01</t>
  </si>
  <si>
    <t>2cf7f1c043500183</t>
  </si>
  <si>
    <t>2E3F1EFBCD63BC37</t>
  </si>
  <si>
    <t>9FB06416DFFCCE752077C9BC030FDF50</t>
  </si>
  <si>
    <t>isvHssKmSlqaKqlOF2E0</t>
  </si>
  <si>
    <t>ok</t>
  </si>
  <si>
    <t>Air temperature, Air humidity, CO2 concentration</t>
  </si>
  <si>
    <t>D002</t>
  </si>
  <si>
    <t>SenseCAPS868</t>
  </si>
  <si>
    <t>ST02</t>
  </si>
  <si>
    <t>2CF7F12031500017</t>
  </si>
  <si>
    <t>8000000000000009</t>
  </si>
  <si>
    <t>DE914F209AC8A89E4BBB494EDA525441</t>
  </si>
  <si>
    <t>lsp4QbMlO7zaYLzZ2BA1</t>
  </si>
  <si>
    <t>Soil moisture &amp; Temperature</t>
  </si>
  <si>
    <t>D003</t>
  </si>
  <si>
    <t>LoRa_Controller-UC511</t>
  </si>
  <si>
    <t>ST03</t>
  </si>
  <si>
    <t>24e124414b106165</t>
  </si>
  <si>
    <t>24E124C0002A0001</t>
  </si>
  <si>
    <t>5572404C696E6B4C6F52613230313823</t>
  </si>
  <si>
    <t>ORwcidwrRPfXNq3n6NJZ</t>
  </si>
  <si>
    <t>2 x Valve state &amp; Controll</t>
  </si>
  <si>
    <t>D004</t>
  </si>
  <si>
    <t>SenProbe-3A</t>
  </si>
  <si>
    <t>ST04</t>
  </si>
  <si>
    <t>AC1F09FFFE04E43F</t>
  </si>
  <si>
    <t>0101010101010101</t>
  </si>
  <si>
    <t>2B7E151628AED2A6ABF7158809CF4F3C</t>
  </si>
  <si>
    <t>NXUY6jsih4vggsxt2APd</t>
  </si>
  <si>
    <t>6X Soil moisture &amp; Soil Temperature + Air Temperature</t>
  </si>
  <si>
    <t>D005</t>
  </si>
  <si>
    <t>SenPulse-3V</t>
  </si>
  <si>
    <t>ST05</t>
  </si>
  <si>
    <t>3738383962376102</t>
  </si>
  <si>
    <t>D34B2F28A10C8DB0</t>
  </si>
  <si>
    <t>D927A47631ECF07A09A2132A66212379</t>
  </si>
  <si>
    <t>YHYEONmduF3tDNFyBttK</t>
  </si>
  <si>
    <t>Pulse Totaliser</t>
  </si>
  <si>
    <t>PILOT - ITALY</t>
  </si>
  <si>
    <t>IGW01</t>
  </si>
  <si>
    <t>ITALY</t>
  </si>
  <si>
    <t>RAK-UNISS-2</t>
  </si>
  <si>
    <t>AC1f09FFFE1042C3</t>
  </si>
  <si>
    <t>918100QN6040424007</t>
  </si>
  <si>
    <t>IGW02</t>
  </si>
  <si>
    <t>RAK-UNISS-1</t>
  </si>
  <si>
    <t>AC1F09FFFE0BB7A9</t>
  </si>
  <si>
    <t>918100QN6030313015</t>
  </si>
  <si>
    <t>I001</t>
  </si>
  <si>
    <t>SoilMoisture1</t>
  </si>
  <si>
    <t>AC1F09FFFE04E48A</t>
  </si>
  <si>
    <t>I002</t>
  </si>
  <si>
    <t>SoilMoisture2</t>
  </si>
  <si>
    <t>AC1F09FFFE04E487</t>
  </si>
  <si>
    <t>I003</t>
  </si>
  <si>
    <t>SoilMoisture3</t>
  </si>
  <si>
    <t>AC1F09FFFE04E4C1</t>
  </si>
  <si>
    <t>I004</t>
  </si>
  <si>
    <t>SoilMoisture4</t>
  </si>
  <si>
    <t>AC1F09FFFE04E4B1</t>
  </si>
  <si>
    <t>I005</t>
  </si>
  <si>
    <t>SoilMoisture5</t>
  </si>
  <si>
    <t>AC1F09FFFE04DB8D</t>
  </si>
  <si>
    <t>I006</t>
  </si>
  <si>
    <t>SoilMoisture6</t>
  </si>
  <si>
    <t>AC1F09FFFE04E488</t>
  </si>
  <si>
    <t>I007</t>
  </si>
  <si>
    <t>SoilMoisture7</t>
  </si>
  <si>
    <t>AC1F09FFFE04E284</t>
  </si>
  <si>
    <t>I008</t>
  </si>
  <si>
    <t>SoilMoisture8</t>
  </si>
  <si>
    <t>AC1F09FFFE04E2CB</t>
  </si>
  <si>
    <t>I009</t>
  </si>
  <si>
    <t>SoilMoisture9</t>
  </si>
  <si>
    <t>AC1F09FFFE04E240</t>
  </si>
  <si>
    <t>I010</t>
  </si>
  <si>
    <t>SoilMoisture10</t>
  </si>
  <si>
    <t>AC1F09FFFE04E312</t>
  </si>
  <si>
    <t>I011</t>
  </si>
  <si>
    <t>WaterMeter1</t>
  </si>
  <si>
    <t>ST06</t>
  </si>
  <si>
    <t>78D800B023960378</t>
  </si>
  <si>
    <t>DAE982C90EE7BDA3CB86210F349A4D8C</t>
  </si>
  <si>
    <t>Water flow</t>
  </si>
  <si>
    <t>I012</t>
  </si>
  <si>
    <t>WaterMeter2</t>
  </si>
  <si>
    <t>78D800B023960379</t>
  </si>
  <si>
    <t>AF08096331115DE4E72269A3FF27C6FE</t>
  </si>
  <si>
    <t>I013</t>
  </si>
  <si>
    <t>WaterMeter3</t>
  </si>
  <si>
    <t>78D800B023960380</t>
  </si>
  <si>
    <t>31EA10B723E4BB3C4C54E29863CA219F</t>
  </si>
  <si>
    <t>I014</t>
  </si>
  <si>
    <t>WaterMeter4</t>
  </si>
  <si>
    <t>78D800B023960381</t>
  </si>
  <si>
    <t>722D42E0C4946986E1B0386AE648AC5E</t>
  </si>
  <si>
    <t>I015</t>
  </si>
  <si>
    <t>WaterMeter5</t>
  </si>
  <si>
    <t>78D800B023960382</t>
  </si>
  <si>
    <t>294F8ED6861B691D3CD623E0FB9B79C5</t>
  </si>
  <si>
    <t>I016</t>
  </si>
  <si>
    <t>WaterMeter6</t>
  </si>
  <si>
    <t>78D800B023960383</t>
  </si>
  <si>
    <t>5F7A39E4C8EB51602ACA7BB0EAF6B293</t>
  </si>
  <si>
    <t>I017</t>
  </si>
  <si>
    <t>WaterMeter7</t>
  </si>
  <si>
    <t>78D800B023960384</t>
  </si>
  <si>
    <t>E0DF3488DCA1A263DF84795017910EDD</t>
  </si>
  <si>
    <t>I018</t>
  </si>
  <si>
    <t>WaterMeter8</t>
  </si>
  <si>
    <t>78D800B023960385</t>
  </si>
  <si>
    <t>441F38EFADDE87AFE973207044BAC61E</t>
  </si>
  <si>
    <t>I019</t>
  </si>
  <si>
    <t>WaterMeter9</t>
  </si>
  <si>
    <t>78D800B023960386</t>
  </si>
  <si>
    <t>C38B6B249BF2E1F8C70A7EFAFEBD5239</t>
  </si>
  <si>
    <t>I020</t>
  </si>
  <si>
    <t>WaterMeter10</t>
  </si>
  <si>
    <t>78D800B023960387</t>
  </si>
  <si>
    <t>4A632FED0C3064F1843D734B56A26961</t>
  </si>
  <si>
    <t>I021</t>
  </si>
  <si>
    <t>WaterMeter11</t>
  </si>
  <si>
    <t>78D800B023960388</t>
  </si>
  <si>
    <t>FB973BE21492C41095240D3C30287FED</t>
  </si>
  <si>
    <t>I022</t>
  </si>
  <si>
    <t>WaterMeter12</t>
  </si>
  <si>
    <t>78D800B023960389</t>
  </si>
  <si>
    <t>4BFDB80781FB179661DA7FE5B6E43426</t>
  </si>
  <si>
    <t>I023</t>
  </si>
  <si>
    <t>TTCyber 81238002</t>
  </si>
  <si>
    <t>ST07</t>
  </si>
  <si>
    <t>radial growth, sap flux density,  tree stability, air temperature and humidity and NDVI</t>
  </si>
  <si>
    <t>I024</t>
  </si>
  <si>
    <t>TTCyber 81238003</t>
  </si>
  <si>
    <t>I025</t>
  </si>
  <si>
    <t>TTCyber 81238004</t>
  </si>
  <si>
    <t>I026</t>
  </si>
  <si>
    <t>TTCyber 81238005</t>
  </si>
  <si>
    <t>I027</t>
  </si>
  <si>
    <t>TTCyber 81238006</t>
  </si>
  <si>
    <t>I028</t>
  </si>
  <si>
    <t>TTCyber 81238007</t>
  </si>
  <si>
    <t>I029</t>
  </si>
  <si>
    <t>TTCyber 81238008</t>
  </si>
  <si>
    <t>I030</t>
  </si>
  <si>
    <t>TTCyber 81238009</t>
  </si>
  <si>
    <t>I031</t>
  </si>
  <si>
    <t>TTCyber 81238010</t>
  </si>
  <si>
    <t>I032</t>
  </si>
  <si>
    <t>TTCyber 81238011</t>
  </si>
  <si>
    <t>I033</t>
  </si>
  <si>
    <t>TTCyber 81238012</t>
  </si>
  <si>
    <t>I034</t>
  </si>
  <si>
    <t>TTCyber 81238013</t>
  </si>
  <si>
    <t>I035</t>
  </si>
  <si>
    <t>TTCyber 81238014</t>
  </si>
  <si>
    <t>I036</t>
  </si>
  <si>
    <t>TTCyber 81238015</t>
  </si>
  <si>
    <t>I037</t>
  </si>
  <si>
    <t>TTCyber 81238016</t>
  </si>
  <si>
    <t>I038</t>
  </si>
  <si>
    <t>TTCyber 81238017</t>
  </si>
  <si>
    <t>I039</t>
  </si>
  <si>
    <t>TTCyber 81238018</t>
  </si>
  <si>
    <t>I040</t>
  </si>
  <si>
    <t>TTCyber 81238019</t>
  </si>
  <si>
    <t>I041</t>
  </si>
  <si>
    <t>TTCyber 81238020</t>
  </si>
  <si>
    <t>I042</t>
  </si>
  <si>
    <t>TTCyber 81238021</t>
  </si>
  <si>
    <t>I043</t>
  </si>
  <si>
    <t>TTCyber 81238022</t>
  </si>
  <si>
    <t>I044</t>
  </si>
  <si>
    <t>TTCyber 81238023</t>
  </si>
  <si>
    <t>I045</t>
  </si>
  <si>
    <t>TTCyber 81238024</t>
  </si>
  <si>
    <t>I046</t>
  </si>
  <si>
    <t>TTCyber 81238025</t>
  </si>
  <si>
    <t>I047</t>
  </si>
  <si>
    <t>Weather station - wind module</t>
  </si>
  <si>
    <t>ST15</t>
  </si>
  <si>
    <t>3932303169307818</t>
  </si>
  <si>
    <t>012e8f33</t>
  </si>
  <si>
    <t>I048</t>
  </si>
  <si>
    <t>Weather station - basic</t>
  </si>
  <si>
    <t>ST08</t>
  </si>
  <si>
    <t>3632313973396417</t>
  </si>
  <si>
    <t>00CC3212</t>
  </si>
  <si>
    <t>Air Temperature, Air Humidity, Wind strength, Wind direction</t>
  </si>
  <si>
    <t>I049</t>
  </si>
  <si>
    <t xml:space="preserve">Piezometric well number 10 </t>
  </si>
  <si>
    <t xml:space="preserve"> 8°32'53.0"E</t>
  </si>
  <si>
    <t>39°44'46.4"N</t>
  </si>
  <si>
    <t>ST09</t>
  </si>
  <si>
    <t xml:space="preserve">turbidity, temperature, conductivity, pH, ORP, Nitrate
</t>
  </si>
  <si>
    <t>AquaTROLL 500  &amp; HydroMetrics GW50 Groundwater Optical Nitrate Sensor</t>
  </si>
  <si>
    <t>I050</t>
  </si>
  <si>
    <t>Piezometric well number 8</t>
  </si>
  <si>
    <t>8°34'11.2"E</t>
  </si>
  <si>
    <t>39°45'26.6"N</t>
  </si>
  <si>
    <t>I051</t>
  </si>
  <si>
    <t>Piezometric well number 174</t>
  </si>
  <si>
    <t>8°36'29.7"E</t>
  </si>
  <si>
    <t>39°50'53.2"N</t>
  </si>
  <si>
    <t>918100QN6030313014</t>
  </si>
  <si>
    <t>PILOT - JORDAN</t>
  </si>
  <si>
    <t>Area: Khalel Al-edwan</t>
  </si>
  <si>
    <t>JGW02</t>
  </si>
  <si>
    <t>Jordan</t>
  </si>
  <si>
    <t>RAK-EUI:AC1F09FFFE0CF302</t>
  </si>
  <si>
    <t>35.638401°</t>
  </si>
  <si>
    <t>31.840202°</t>
  </si>
  <si>
    <t>GT3</t>
  </si>
  <si>
    <t>Gateway</t>
  </si>
  <si>
    <t>RAKWireless</t>
  </si>
  <si>
    <t>7289V2 WisGate Edge Pro</t>
  </si>
  <si>
    <t>AC1F09FFFE0CF302</t>
  </si>
  <si>
    <t>918100QN6030606047</t>
  </si>
  <si>
    <t>J001</t>
  </si>
  <si>
    <t>WM-SN:2306120026</t>
  </si>
  <si>
    <t>ST11</t>
  </si>
  <si>
    <t>Sensor</t>
  </si>
  <si>
    <t>Shendga</t>
  </si>
  <si>
    <t>Bulk water meter</t>
  </si>
  <si>
    <t>8254812306000026</t>
  </si>
  <si>
    <t>4841434D4C570001</t>
  </si>
  <si>
    <t>4841432D4D4C57202003180000025481</t>
  </si>
  <si>
    <t xml:space="preserve">Water flow </t>
  </si>
  <si>
    <t>J002</t>
  </si>
  <si>
    <t>SM-SN:008000000403FCBF</t>
  </si>
  <si>
    <t>ST12</t>
  </si>
  <si>
    <t>SENSOTERRA</t>
  </si>
  <si>
    <t>Multi Depth Soil Moisture Se</t>
  </si>
  <si>
    <t>008000000403FCBF</t>
  </si>
  <si>
    <t>70B3D5DC90000000</t>
  </si>
  <si>
    <t>87028624AEE3F95EFD186234A575A9B7</t>
  </si>
  <si>
    <t>6 x depths: Soil Moisture, Soil Temperature</t>
  </si>
  <si>
    <t>J003</t>
  </si>
  <si>
    <t>NODE-SN:114992872232300027</t>
  </si>
  <si>
    <t>ST13</t>
  </si>
  <si>
    <t>SenseCap</t>
  </si>
  <si>
    <t>Multi-parameter Analyzer</t>
  </si>
  <si>
    <t>2CF7F1C0523000E2</t>
  </si>
  <si>
    <t>4E6AF369B0999C6B</t>
  </si>
  <si>
    <t>1BF452CDE960F4867EF182FD9C057111</t>
  </si>
  <si>
    <t>pH, EC, NH3, NO4,Temperature</t>
  </si>
  <si>
    <t>NODE-SN:114992872232300176</t>
  </si>
  <si>
    <t>pH, EC, NH3, NO4,Temperature, level of ground water</t>
  </si>
  <si>
    <t>SKU:114992872</t>
  </si>
  <si>
    <t>J018</t>
  </si>
  <si>
    <t>WL-SN-114992872232300195</t>
  </si>
  <si>
    <t>ST16</t>
  </si>
  <si>
    <t>Materontek</t>
  </si>
  <si>
    <t>Level Transmitter</t>
  </si>
  <si>
    <t>2CF7F1C05230018A</t>
  </si>
  <si>
    <r>
      <rPr>
        <sz val="12"/>
        <color theme="1"/>
        <rFont val="Arial"/>
        <scheme val="minor"/>
      </rPr>
      <t>8264340EE5E607D7</t>
    </r>
  </si>
  <si>
    <r>
      <rPr>
        <sz val="12"/>
        <color theme="1"/>
        <rFont val="Arial"/>
        <scheme val="minor"/>
      </rPr>
      <t>94F404F090CDDFDAF5B2FD713B9E82</t>
    </r>
    <r>
      <rPr>
        <sz val="12"/>
        <color theme="1"/>
        <rFont val="Arial"/>
        <scheme val="minor"/>
      </rPr>
      <t>C0</t>
    </r>
  </si>
  <si>
    <t>Water level</t>
  </si>
  <si>
    <t>Area: Mahmoud Al-rajbi</t>
  </si>
  <si>
    <t>JGW03</t>
  </si>
  <si>
    <t>RAK-EUI:AC1F09FFFE0CF2F6</t>
  </si>
  <si>
    <t>35.613777°</t>
  </si>
  <si>
    <t>32.240135°</t>
  </si>
  <si>
    <t>AC1F09FFFE0CF2F6</t>
  </si>
  <si>
    <t>918100QN6030606041</t>
  </si>
  <si>
    <t>J004</t>
  </si>
  <si>
    <t>WM-SN:008000000403FC9C</t>
  </si>
  <si>
    <t>8254812306000030</t>
  </si>
  <si>
    <t>J005</t>
  </si>
  <si>
    <t>SM-SN:</t>
  </si>
  <si>
    <t>008000000403FC99</t>
  </si>
  <si>
    <t>a15796796d76855b5e42a7a86fea18b1</t>
  </si>
  <si>
    <t>SM-SN:2306120030</t>
  </si>
  <si>
    <t>008000000403FC9C</t>
  </si>
  <si>
    <t>914735D8A1111FD661DB9F328ECC31C2</t>
  </si>
  <si>
    <t>J006</t>
  </si>
  <si>
    <t>WM-SN:2306120023</t>
  </si>
  <si>
    <t>35.598148°</t>
  </si>
  <si>
    <t>32.231155°</t>
  </si>
  <si>
    <t>8254812306000023</t>
  </si>
  <si>
    <t>J007</t>
  </si>
  <si>
    <t>SM-SN:008000000403FCAB</t>
  </si>
  <si>
    <t>008000000403FCAB</t>
  </si>
  <si>
    <t>98FFD3DD40E6549F45398C156C50A66C</t>
  </si>
  <si>
    <t>J008</t>
  </si>
  <si>
    <t>WM-SN:2306120028</t>
  </si>
  <si>
    <t>35.595997°</t>
  </si>
  <si>
    <t>32.237335°</t>
  </si>
  <si>
    <t>8254812306000028</t>
  </si>
  <si>
    <t>J009</t>
  </si>
  <si>
    <t>SM-SN:008000000403FCA5</t>
  </si>
  <si>
    <t>008000000403FCA5</t>
  </si>
  <si>
    <t>7ABAF12DF82BFED5BFC13923C751538A</t>
  </si>
  <si>
    <t>Area: NARC</t>
  </si>
  <si>
    <t>JGW04</t>
  </si>
  <si>
    <t>RAK-EUI:AC1F09FFFE0CFCE</t>
  </si>
  <si>
    <t>35.621113°</t>
  </si>
  <si>
    <t>32.194249°</t>
  </si>
  <si>
    <t>AC1F09FFFE0CF2CE</t>
  </si>
  <si>
    <t>918100QN6030606021</t>
  </si>
  <si>
    <t>J010</t>
  </si>
  <si>
    <t>WM-SN:2306120027</t>
  </si>
  <si>
    <t>8254812306000027</t>
  </si>
  <si>
    <t>J011</t>
  </si>
  <si>
    <t>SM-SN:008000000403FCC7</t>
  </si>
  <si>
    <t>008000000403FCC7</t>
  </si>
  <si>
    <t>C876E1B950FD06B4870BFA650EA76C4D</t>
  </si>
  <si>
    <t>J012</t>
  </si>
  <si>
    <t>WM-SN:</t>
  </si>
  <si>
    <t>8254812306000029</t>
  </si>
  <si>
    <t>J013</t>
  </si>
  <si>
    <t>008000000403FCC4</t>
  </si>
  <si>
    <t>2DE9359F593AAE1D6C2BCB85DF47E1FB</t>
  </si>
  <si>
    <t>J014</t>
  </si>
  <si>
    <t>WM-SN:2306120029</t>
  </si>
  <si>
    <t>35.613014°</t>
  </si>
  <si>
    <t>32.174145°</t>
  </si>
  <si>
    <t>8254812306000024</t>
  </si>
  <si>
    <t>J015</t>
  </si>
  <si>
    <t>SM-SN:008000000403FCC4</t>
  </si>
  <si>
    <t>008000000403FCEE</t>
  </si>
  <si>
    <t>5996F09DD3B7FD51D6C8167CC8F8B083</t>
  </si>
  <si>
    <t>Area: Faisal Neimat</t>
  </si>
  <si>
    <t>JGW01</t>
  </si>
  <si>
    <t>35.629711°</t>
  </si>
  <si>
    <t>32.180439°</t>
  </si>
  <si>
    <t>AC1F09FFFE0CF30A</t>
  </si>
  <si>
    <t>918100QN6030606051</t>
  </si>
  <si>
    <t>this gateway maybe eliminated and this farm will be connected to NARC</t>
  </si>
  <si>
    <t>WM-SN:2306120024</t>
  </si>
  <si>
    <t>SM-SN:008000000403FCEE</t>
  </si>
  <si>
    <t>J017</t>
  </si>
  <si>
    <t>Area: Telal Al Thahab</t>
  </si>
  <si>
    <t>JGW05</t>
  </si>
  <si>
    <t>RAK-EUI:AC1F09FFFE0CF2EC</t>
  </si>
  <si>
    <t>35.685885°</t>
  </si>
  <si>
    <t>32.188872°</t>
  </si>
  <si>
    <t>AC1F09FFFE0CF2EC</t>
  </si>
  <si>
    <t>918100QN6030606036</t>
  </si>
  <si>
    <t>J016</t>
  </si>
  <si>
    <t>NODE-SN:114992872232300104</t>
  </si>
  <si>
    <t>2CF7F1C05230012F</t>
  </si>
  <si>
    <t>CBB61DF2EFD97736</t>
  </si>
  <si>
    <t>7B005F0C5D9934B0783B716794E22609</t>
  </si>
  <si>
    <t>pH, EC, NH4, NO3,Temperature, level of ground water</t>
  </si>
  <si>
    <t>Area: King Talal Dam</t>
  </si>
  <si>
    <t>JGW06</t>
  </si>
  <si>
    <t>RAK-EUI:AC1F09FFFE0CF2DA</t>
  </si>
  <si>
    <t>AC1F09FFFE0CF2DA</t>
  </si>
  <si>
    <t>918100QN6030606027</t>
  </si>
  <si>
    <t>J019</t>
  </si>
  <si>
    <t>WL-SN-114992872232300176</t>
  </si>
  <si>
    <t>2CF7F1C052300177</t>
  </si>
  <si>
    <t>FC4DECF8CC60328F</t>
  </si>
  <si>
    <t>EBD88708D4F8593A136C4710674F478A</t>
  </si>
  <si>
    <t>JGW07</t>
  </si>
  <si>
    <t>GT13</t>
  </si>
  <si>
    <t>pH, EC, NH4, NO3,Temperature</t>
  </si>
  <si>
    <t>???</t>
  </si>
  <si>
    <t>ST10</t>
  </si>
  <si>
    <t>PILOT - LEBANON</t>
  </si>
  <si>
    <t>L001</t>
  </si>
  <si>
    <t>Lebanon</t>
  </si>
  <si>
    <t>Agrometeorology station</t>
  </si>
  <si>
    <t>Pessel</t>
  </si>
  <si>
    <t>Fieldclimate - Legacy</t>
  </si>
  <si>
    <t>L002</t>
  </si>
  <si>
    <t>L003</t>
  </si>
  <si>
    <t>L004</t>
  </si>
  <si>
    <t>SQ-R non-contact flowmeter
LORA Modem MODBUS Interface</t>
  </si>
  <si>
    <t>Sommer</t>
  </si>
  <si>
    <t>Water speed</t>
  </si>
  <si>
    <t>L005</t>
  </si>
  <si>
    <t>Aquatroll 200 Level Sensor and datalogger</t>
  </si>
  <si>
    <t>Aquatroll</t>
  </si>
  <si>
    <t>Aquatroll 200</t>
  </si>
  <si>
    <t>Temperature, level, conductivity</t>
  </si>
  <si>
    <t>L006</t>
  </si>
  <si>
    <t>Aquatroll 500 Multiparameter (Not-vented)</t>
  </si>
  <si>
    <t>Multiparameter 500</t>
  </si>
  <si>
    <t>Temperature, conductivity, pH, ORP, Nitrate, Chlorophyll</t>
  </si>
  <si>
    <t>L007</t>
  </si>
  <si>
    <t>Soil Moisture Sensor</t>
  </si>
  <si>
    <t>Enviroprosoilprobes</t>
  </si>
  <si>
    <t>EP100G-16</t>
  </si>
  <si>
    <t>16 x depths: Soil Moisture, Soil Temperature, Soil Salinity</t>
  </si>
  <si>
    <t>L008</t>
  </si>
  <si>
    <t>L009</t>
  </si>
  <si>
    <t>L010</t>
  </si>
  <si>
    <t>L011</t>
  </si>
  <si>
    <t>L012</t>
  </si>
  <si>
    <t>L013</t>
  </si>
  <si>
    <t>L014</t>
  </si>
  <si>
    <t>L015</t>
  </si>
  <si>
    <t>PILOT - TUNISIA</t>
  </si>
  <si>
    <t>Area: Farmer 1 - Noureddine Rojbani</t>
  </si>
  <si>
    <t>TGW01</t>
  </si>
  <si>
    <t>Tunisia</t>
  </si>
  <si>
    <t>Base unit (3G-GSM-GPRS)</t>
  </si>
  <si>
    <t>10.350577</t>
  </si>
  <si>
    <t>33.310748</t>
  </si>
  <si>
    <t xml:space="preserve">3G gateway </t>
  </si>
  <si>
    <t>DELTAOHM</t>
  </si>
  <si>
    <t>HD35APGMT</t>
  </si>
  <si>
    <t xml:space="preserve">Farmer 1 Noureddine Rojbani
</t>
  </si>
  <si>
    <t>TGW012</t>
  </si>
  <si>
    <t xml:space="preserve">GSM remote control box </t>
  </si>
  <si>
    <t xml:space="preserve">Solenoid valve controlling  </t>
  </si>
  <si>
    <t>Blue Whale</t>
  </si>
  <si>
    <t>SMARTCAN_COMMAND</t>
  </si>
  <si>
    <t xml:space="preserve">Farmer 1 Noureddine Rojbani
</t>
  </si>
  <si>
    <t>TDL01</t>
  </si>
  <si>
    <t>Wireless data logger for Anemometer</t>
  </si>
  <si>
    <t xml:space="preserve">Datalogging </t>
  </si>
  <si>
    <t>HD35ED[L]W-MB</t>
  </si>
  <si>
    <t>TDL02</t>
  </si>
  <si>
    <t xml:space="preserve">Wireless data logger for Rain gauge </t>
  </si>
  <si>
    <t>HD35EDWPTC</t>
  </si>
  <si>
    <t>TDL03</t>
  </si>
  <si>
    <t>Wireless data logger for Soil moisture</t>
  </si>
  <si>
    <t>HD35EDWN/3TC</t>
  </si>
  <si>
    <t>TDL04</t>
  </si>
  <si>
    <t>TDL011</t>
  </si>
  <si>
    <t>Wireless data logger for Impulse water meter</t>
  </si>
  <si>
    <t>HD35EDWH</t>
  </si>
  <si>
    <t>TDL012</t>
  </si>
  <si>
    <t>TS01</t>
  </si>
  <si>
    <t>Two Axes Ultrasonic Anemometer</t>
  </si>
  <si>
    <t>HD 52.3DP147</t>
  </si>
  <si>
    <t xml:space="preserve">Wind speed and direction, solar radiation, temperature, relative humidity,
barometric pressure, Evapotranspiration </t>
  </si>
  <si>
    <t>TS02</t>
  </si>
  <si>
    <t>Rain gauge with tipping bucket 200 cm2</t>
  </si>
  <si>
    <t>HD2015</t>
  </si>
  <si>
    <t>Cumulative Rainfall, Rain Intensity</t>
  </si>
  <si>
    <t>TS03</t>
  </si>
  <si>
    <t>Probes (two electrodes)</t>
  </si>
  <si>
    <t>HD3910</t>
  </si>
  <si>
    <t>Soil Volumetric water content, Soil Temperature</t>
  </si>
  <si>
    <t>TS04</t>
  </si>
  <si>
    <t>TS05</t>
  </si>
  <si>
    <t>TS06</t>
  </si>
  <si>
    <t>TS07</t>
  </si>
  <si>
    <t>TS08</t>
  </si>
  <si>
    <t>TS027</t>
  </si>
  <si>
    <t>Impulse water meter {DN 63}</t>
  </si>
  <si>
    <t>ZENNER</t>
  </si>
  <si>
    <t>Woltman WPD</t>
  </si>
  <si>
    <t>Water Flow</t>
  </si>
  <si>
    <t>TS032</t>
  </si>
  <si>
    <t>Impulse water meter {DN 75}</t>
  </si>
  <si>
    <t>TS041</t>
  </si>
  <si>
    <t>Motorized valve {DN 63}</t>
  </si>
  <si>
    <t>Open / close the valve</t>
  </si>
  <si>
    <t>VALPES</t>
  </si>
  <si>
    <t>JR66.712.101</t>
  </si>
  <si>
    <t>Area: Farmer 2 - Jomaa Dhibi</t>
  </si>
  <si>
    <t>TGW02</t>
  </si>
  <si>
    <t>10.389754</t>
  </si>
  <si>
    <t>33.322935</t>
  </si>
  <si>
    <t>Farmer 2 Jomaa Dhibi</t>
  </si>
  <si>
    <t>TGW013</t>
  </si>
  <si>
    <t>TDL05</t>
  </si>
  <si>
    <t>TDL06</t>
  </si>
  <si>
    <t>TDL013</t>
  </si>
  <si>
    <t>TDL014</t>
  </si>
  <si>
    <t>TS09</t>
  </si>
  <si>
    <t>TS010</t>
  </si>
  <si>
    <t>TS011</t>
  </si>
  <si>
    <t>TS012</t>
  </si>
  <si>
    <t>TS013</t>
  </si>
  <si>
    <t>TS014</t>
  </si>
  <si>
    <t>TS028</t>
  </si>
  <si>
    <t>TS033</t>
  </si>
  <si>
    <t>TS042</t>
  </si>
  <si>
    <t>Area: Farmer 3 - Lamine Moussa</t>
  </si>
  <si>
    <t>TGW03</t>
  </si>
  <si>
    <t>10.336111</t>
  </si>
  <si>
    <t>33.309655</t>
  </si>
  <si>
    <t>Farmer 3 Lamine Moussa</t>
  </si>
  <si>
    <t>TGW014</t>
  </si>
  <si>
    <t>TDL07</t>
  </si>
  <si>
    <t>TDL08</t>
  </si>
  <si>
    <t>TDL015</t>
  </si>
  <si>
    <t>TDL016</t>
  </si>
  <si>
    <t>TS015</t>
  </si>
  <si>
    <t>TS016</t>
  </si>
  <si>
    <t>TS017</t>
  </si>
  <si>
    <t>TS018</t>
  </si>
  <si>
    <t>TS019</t>
  </si>
  <si>
    <t>TS020</t>
  </si>
  <si>
    <t>TS029</t>
  </si>
  <si>
    <t>TS034</t>
  </si>
  <si>
    <t>TS043</t>
  </si>
  <si>
    <t>Area: Farmer 4 - Mabrouka Company</t>
  </si>
  <si>
    <t>TGW04</t>
  </si>
  <si>
    <t>10.325000</t>
  </si>
  <si>
    <t>33.341304</t>
  </si>
  <si>
    <t>Farmer 4 Mabrouka Company</t>
  </si>
  <si>
    <t>TGW015</t>
  </si>
  <si>
    <t>TDL09</t>
  </si>
  <si>
    <t>TDL010</t>
  </si>
  <si>
    <t>TDL017</t>
  </si>
  <si>
    <t>TDL018</t>
  </si>
  <si>
    <t>TS021</t>
  </si>
  <si>
    <t>TS022</t>
  </si>
  <si>
    <t>TS023</t>
  </si>
  <si>
    <t>TS024</t>
  </si>
  <si>
    <t>TS025</t>
  </si>
  <si>
    <t>TS026</t>
  </si>
  <si>
    <t>TS030</t>
  </si>
  <si>
    <t>TS035</t>
  </si>
  <si>
    <t>TS045</t>
  </si>
  <si>
    <t>Area: Well drilling 1 - SONEDE</t>
  </si>
  <si>
    <t>TGW05</t>
  </si>
  <si>
    <t>10.357336</t>
  </si>
  <si>
    <t>33.340523</t>
  </si>
  <si>
    <t>Well drilling SONEDE 1</t>
  </si>
  <si>
    <t>TDL019</t>
  </si>
  <si>
    <t>TS037</t>
  </si>
  <si>
    <t>Impulse water meter {DN 100}</t>
  </si>
  <si>
    <t>Area: Well drilling 2 - SONEDE</t>
  </si>
  <si>
    <t>TGW06</t>
  </si>
  <si>
    <t>10.384967</t>
  </si>
  <si>
    <t>33.321849</t>
  </si>
  <si>
    <t>Well drilling SONEDE 2</t>
  </si>
  <si>
    <t>TDL020</t>
  </si>
  <si>
    <t>TS038</t>
  </si>
  <si>
    <t>Area: Well drilling 3 - SONEDE</t>
  </si>
  <si>
    <t>TGW07</t>
  </si>
  <si>
    <t>10.427504</t>
  </si>
  <si>
    <t>33.283907</t>
  </si>
  <si>
    <t>Well drilling SONEDE 3</t>
  </si>
  <si>
    <t>TDL021</t>
  </si>
  <si>
    <t>TS039</t>
  </si>
  <si>
    <t>Area: Well drilling 4 - SONEDE</t>
  </si>
  <si>
    <t>TGW08</t>
  </si>
  <si>
    <t>10.371282</t>
  </si>
  <si>
    <t>33.306839</t>
  </si>
  <si>
    <t>Well drilling SONEDE 4</t>
  </si>
  <si>
    <t>TDL022</t>
  </si>
  <si>
    <t>TS040</t>
  </si>
  <si>
    <t>Impulse water meter {DN 200}</t>
  </si>
  <si>
    <t>Area: Well drilling 5 - SONEDE</t>
  </si>
  <si>
    <t>TGW09</t>
  </si>
  <si>
    <t>10.433408</t>
  </si>
  <si>
    <t>33.406333</t>
  </si>
  <si>
    <t>Well drilling SONEDE 5</t>
  </si>
  <si>
    <t>TDL023</t>
  </si>
  <si>
    <t>TS031</t>
  </si>
  <si>
    <t>Area: Well drilling 6 - SONEDE</t>
  </si>
  <si>
    <t>Well drilling SONEDE 6</t>
  </si>
  <si>
    <t>TDL024</t>
  </si>
  <si>
    <t>TS036</t>
  </si>
  <si>
    <t>Impulse water meter {DN 80}</t>
  </si>
  <si>
    <t>Area: Drilling of recharge well 1</t>
  </si>
  <si>
    <t>TGW010</t>
  </si>
  <si>
    <t>10.444596</t>
  </si>
  <si>
    <t>33.245896</t>
  </si>
  <si>
    <t>Drilling of recharge wells 1</t>
  </si>
  <si>
    <t>TDL026</t>
  </si>
  <si>
    <t xml:space="preserve">Wireless data logger for Piezometric Level </t>
  </si>
  <si>
    <t>HD35ED(L)WDPTC</t>
  </si>
  <si>
    <t>TS048</t>
  </si>
  <si>
    <t>Level sensing pressure transmitters</t>
  </si>
  <si>
    <t>HUBA CONTROLE</t>
  </si>
  <si>
    <t>Level sensing, Pressure</t>
  </si>
  <si>
    <t>Area: Drilling of recharge well 2</t>
  </si>
  <si>
    <t>TGW011</t>
  </si>
  <si>
    <t>10.380013</t>
  </si>
  <si>
    <t>33.318260</t>
  </si>
  <si>
    <t>Drilling of recharge wells 2</t>
  </si>
  <si>
    <t>TDL027</t>
  </si>
  <si>
    <t>TS049</t>
  </si>
  <si>
    <t>Area: Well water quality 1</t>
  </si>
  <si>
    <t>TGW016</t>
  </si>
  <si>
    <t>4G Remote telemetry monitoring</t>
  </si>
  <si>
    <t>10.443274</t>
  </si>
  <si>
    <t>33.241616</t>
  </si>
  <si>
    <t xml:space="preserve">Data logger and global cellular telemetry </t>
  </si>
  <si>
    <t>In-Situ</t>
  </si>
  <si>
    <t>VuLink</t>
  </si>
  <si>
    <t>Well water quality 1</t>
  </si>
  <si>
    <t>TS046</t>
  </si>
  <si>
    <t>Multiparameter Sonde Aqua TROLL</t>
  </si>
  <si>
    <t>IN-SITU</t>
  </si>
  <si>
    <t>Aqua TROLL 500</t>
  </si>
  <si>
    <t>pH/ORP, Temperature, Conductivity, Nitrate
and the water level</t>
  </si>
  <si>
    <t>Area: Well water quality 2</t>
  </si>
  <si>
    <t>TGW017</t>
  </si>
  <si>
    <t>10.371316</t>
  </si>
  <si>
    <t>33.306816</t>
  </si>
  <si>
    <t>Well water quality 2</t>
  </si>
  <si>
    <t>TS047</t>
  </si>
  <si>
    <t>Pilot</t>
  </si>
  <si>
    <t>Field Name</t>
  </si>
  <si>
    <t>Field Description</t>
  </si>
  <si>
    <t>Field Latitude</t>
  </si>
  <si>
    <t>Field Longitude</t>
  </si>
  <si>
    <t>Device Description</t>
  </si>
  <si>
    <t>Device EUI</t>
  </si>
  <si>
    <t>Property Key</t>
  </si>
  <si>
    <t>Property Name</t>
  </si>
  <si>
    <t>Property Description</t>
  </si>
  <si>
    <t>Unit Of Measurement</t>
  </si>
  <si>
    <t>Unit Of Measurement Symbol</t>
  </si>
  <si>
    <t>Datastream Name</t>
  </si>
  <si>
    <t>Datastream Description</t>
  </si>
  <si>
    <t>Averages</t>
  </si>
  <si>
    <t>Demo Field</t>
  </si>
  <si>
    <t>Demo sensors in ABI</t>
  </si>
  <si>
    <t>Compact and versatile environmental sensor module designed for monitoring temperature and humidity in various applications.</t>
  </si>
  <si>
    <t>air_temperature</t>
  </si>
  <si>
    <t>Air Temperature</t>
  </si>
  <si>
    <t>None</t>
  </si>
  <si>
    <t>air_humidity</t>
  </si>
  <si>
    <t>Air Humidity</t>
  </si>
  <si>
    <t>co2_concentration</t>
  </si>
  <si>
    <t>CO2 Concentration</t>
  </si>
  <si>
    <t>A sensor module for measuring soil moisture and temperature, ideal for agriculture and environmental monitoring.</t>
  </si>
  <si>
    <t>soil_moisture</t>
  </si>
  <si>
    <t>Soil Moisture</t>
  </si>
  <si>
    <t>soil_temperature</t>
  </si>
  <si>
    <t>Soil Temperature</t>
  </si>
  <si>
    <t>A LoRa-enabled controller for managing and controlling IoT devices, facilitating long-range wireless communication.</t>
  </si>
  <si>
    <t>battery_level</t>
  </si>
  <si>
    <t>Battery Level</t>
  </si>
  <si>
    <t>valve1_pulse</t>
  </si>
  <si>
    <t>Flowmeter pulses</t>
  </si>
  <si>
    <t>valve1_status</t>
  </si>
  <si>
    <t>Valve status</t>
  </si>
  <si>
    <t>valve2_pulse</t>
  </si>
  <si>
    <t>valve2_status</t>
  </si>
  <si>
    <t>An advanced sensor capable of monitoring temperature and moisture at different depths. Useful for agronomic research activities.</t>
  </si>
  <si>
    <t>soil_moisture_1</t>
  </si>
  <si>
    <t>soil_moisture_2</t>
  </si>
  <si>
    <t>soil_moisture_3</t>
  </si>
  <si>
    <t>soil_moisture_4</t>
  </si>
  <si>
    <t>soil_moisture_5</t>
  </si>
  <si>
    <t>soil_moisture_6</t>
  </si>
  <si>
    <t>ambient_temperature</t>
  </si>
  <si>
    <t>soil_temperature_1</t>
  </si>
  <si>
    <t>soil_temperature_2</t>
  </si>
  <si>
    <t>soil_temperature_3</t>
  </si>
  <si>
    <t>soil_temperature_4</t>
  </si>
  <si>
    <t>soil_temperature_5</t>
  </si>
  <si>
    <t>soil_temperature_6</t>
  </si>
  <si>
    <t>A sensor for counting and transmitting the pulse produced by a flowmeter.</t>
  </si>
  <si>
    <t xml:space="preserve">AC1F09FFFE04E43F </t>
  </si>
  <si>
    <t>count</t>
  </si>
  <si>
    <t>leak</t>
  </si>
  <si>
    <t>Leak warning</t>
  </si>
  <si>
    <t>system_voltage</t>
  </si>
  <si>
    <t>Battery Voltage</t>
  </si>
  <si>
    <t>Italy</t>
  </si>
  <si>
    <t>Torresan</t>
  </si>
  <si>
    <t>Sensors owned by UNISS</t>
  </si>
  <si>
    <t>Pinos</t>
  </si>
  <si>
    <t>Centro Aziendale</t>
  </si>
  <si>
    <t>Camedda</t>
  </si>
  <si>
    <t>Perra 2</t>
  </si>
  <si>
    <t>Mazzacaddeo</t>
  </si>
  <si>
    <t>Pivetta</t>
  </si>
  <si>
    <t>Water flow meter equipped with LoRaWAN transmitter</t>
  </si>
  <si>
    <t>water_count</t>
  </si>
  <si>
    <t>water_count_m3</t>
  </si>
  <si>
    <t>Water count m^3</t>
  </si>
  <si>
    <t>Desogus</t>
  </si>
  <si>
    <t>Weather station for monitoring agriculture parameters</t>
  </si>
  <si>
    <t>solar_radiation</t>
  </si>
  <si>
    <t>Solar Radiation</t>
  </si>
  <si>
    <t>cumulative_precipitation</t>
  </si>
  <si>
    <t>Cumulative Rainfall</t>
  </si>
  <si>
    <t>leaf_wetting</t>
  </si>
  <si>
    <t>Leaf Wetness</t>
  </si>
  <si>
    <t>Field In Italy</t>
  </si>
  <si>
    <t>A sensor for tree's overall health monitoring that collects radial growth, sap flux density, tree stability, air temperature and humidity and NDVI</t>
  </si>
  <si>
    <t>Timestamp</t>
  </si>
  <si>
    <t>Camedda_I023_Timestamp</t>
  </si>
  <si>
    <t>The datastream containing mesures of field Camedda by sensor I023 which measures Timestamp</t>
  </si>
  <si>
    <t>NDVI</t>
  </si>
  <si>
    <t>Camedda_I023_NDVI</t>
  </si>
  <si>
    <t>The datastream containing mesures of field Camedda by sensor I023 which measures NDVI</t>
  </si>
  <si>
    <t>RadialGrowth</t>
  </si>
  <si>
    <t>Radial Growth</t>
  </si>
  <si>
    <t>Camedda_I023_RadialGrowth</t>
  </si>
  <si>
    <t>The datastream containing mesures of field Camedda by sensor I023 which measures radial growth</t>
  </si>
  <si>
    <t>SapFlow</t>
  </si>
  <si>
    <t>Sap Flow Velocity</t>
  </si>
  <si>
    <t>Camedda_I023_SapFlow</t>
  </si>
  <si>
    <t>The datastream containing mesures of field Camedda by sensor I023 which measures sap flow velocity</t>
  </si>
  <si>
    <t>Yaw</t>
  </si>
  <si>
    <t>Camedda_I023_Yaw</t>
  </si>
  <si>
    <t>The datastream containing mesures of field Camedda by sensor I023 which measures yaw</t>
  </si>
  <si>
    <t>Pitch</t>
  </si>
  <si>
    <t>Camedda_I023_Pitch</t>
  </si>
  <si>
    <t>The datastream containing mesures of field Camedda by sensor I023 which measures pitch</t>
  </si>
  <si>
    <t>Roll</t>
  </si>
  <si>
    <t>Camedda_I023_Roll</t>
  </si>
  <si>
    <t>The datastream containing mesures of field Camedda by sensor I023 which measures roll</t>
  </si>
  <si>
    <t>Camedda_I023_ambient_temperature</t>
  </si>
  <si>
    <t>The datastream containing mesures of field Camedda by sensor I023 which measures air temperature</t>
  </si>
  <si>
    <t>Camedda_I023_air_humidity</t>
  </si>
  <si>
    <t>The datastream containing mesures of field Camedda by sensor I023 which measures humidity</t>
  </si>
  <si>
    <t>BatteryVoltage</t>
  </si>
  <si>
    <t>Camedda_I023_BatteryVoltage</t>
  </si>
  <si>
    <t>The datastream containing mesures of field Camedda by sensor I023 which measures Battery Voltage</t>
  </si>
  <si>
    <t>Camedda_I024_Timestamp</t>
  </si>
  <si>
    <t>The datastream containing mesures of field Camedda by sensor I024 which measures Timestamp</t>
  </si>
  <si>
    <t>Camedda_I024_NDVI</t>
  </si>
  <si>
    <t>The datastream containing mesures of field Camedda by sensor I024 which measures NDVI</t>
  </si>
  <si>
    <t>Camedda_I024_RadialGrowth</t>
  </si>
  <si>
    <t>The datastream containing mesures of field Camedda by sensor I024 which measures radial growth</t>
  </si>
  <si>
    <t>Camedda_I024_SapFlow</t>
  </si>
  <si>
    <t>The datastream containing mesures of field Camedda by sensor I024 which measures sap flow velocity</t>
  </si>
  <si>
    <t>Camedda_I024_Yaw</t>
  </si>
  <si>
    <t>The datastream containing mesures of field Camedda by sensor I024 which measures yaw</t>
  </si>
  <si>
    <t>Camedda_I024_Pitch</t>
  </si>
  <si>
    <t>The datastream containing mesures of field Camedda by sensor I024 which measures pitch</t>
  </si>
  <si>
    <t>Camedda_I024_Roll</t>
  </si>
  <si>
    <t>The datastream containing mesures of field Camedda by sensor I024 which measures roll</t>
  </si>
  <si>
    <t>Camedda_I024_ambient_temperature</t>
  </si>
  <si>
    <t>The datastream containing mesures of field Camedda by sensor I024 which measures air temperature</t>
  </si>
  <si>
    <t>Camedda_I024_air_humidity</t>
  </si>
  <si>
    <t>The datastream containing mesures of field Camedda by sensor I024 which measures humidity</t>
  </si>
  <si>
    <t>Camedda_I024_BatteryVoltage</t>
  </si>
  <si>
    <t>The datastream containing mesures of field Camedda by sensor I024 which measures Battery Voltage</t>
  </si>
  <si>
    <t>Camedda_I025_Timestamp</t>
  </si>
  <si>
    <t>The datastream containing mesures of field Camedda by sensor I025 which measures Timestamp</t>
  </si>
  <si>
    <t>Camedda_I025_NDVI</t>
  </si>
  <si>
    <t>The datastream containing mesures of field Camedda by sensor I025 which measures NDVI</t>
  </si>
  <si>
    <t>Camedda_I025_RadialGrowth</t>
  </si>
  <si>
    <t>The datastream containing mesures of field Camedda by sensor I025 which measures radial growth</t>
  </si>
  <si>
    <t>Camedda_I025_SapFlow</t>
  </si>
  <si>
    <t>The datastream containing mesures of field Camedda by sensor I025 which measures sap flow velocity</t>
  </si>
  <si>
    <t>Camedda_I025_Yaw</t>
  </si>
  <si>
    <t>The datastream containing mesures of field Camedda by sensor I025 which measures yaw</t>
  </si>
  <si>
    <t>Camedda_I025_Pitch</t>
  </si>
  <si>
    <t>The datastream containing mesures of field Camedda by sensor I025 which measures pitch</t>
  </si>
  <si>
    <t>Camedda_I025_Roll</t>
  </si>
  <si>
    <t>The datastream containing mesures of field Camedda by sensor I025 which measures roll</t>
  </si>
  <si>
    <t>Camedda_I025_ambient_temperature</t>
  </si>
  <si>
    <t>The datastream containing mesures of field Camedda by sensor I025 which measures air temperature</t>
  </si>
  <si>
    <t>Camedda_I025_air_humidity</t>
  </si>
  <si>
    <t>The datastream containing mesures of field Camedda by sensor I025 which measures humidity</t>
  </si>
  <si>
    <t>Camedda_I025_BatteryVoltage</t>
  </si>
  <si>
    <t>The datastream containing mesures of field Camedda by sensor I025 which measures Battery Voltage</t>
  </si>
  <si>
    <t>Camedda_I026_Timestamp</t>
  </si>
  <si>
    <t>The datastream containing mesures of field Camedda by sensor I026 which measures Timestamp</t>
  </si>
  <si>
    <t>Camedda_I026_NDVI</t>
  </si>
  <si>
    <t>The datastream containing mesures of field Camedda by sensor I026 which measures NDVI</t>
  </si>
  <si>
    <t>Camedda_I026_RadialGrowth</t>
  </si>
  <si>
    <t>The datastream containing mesures of field Camedda by sensor I026 which measures radial growth</t>
  </si>
  <si>
    <t>Camedda_I026_SapFlow</t>
  </si>
  <si>
    <t>The datastream containing mesures of field Camedda by sensor I026 which measures sap flow velocity</t>
  </si>
  <si>
    <t>Camedda_I026_Yaw</t>
  </si>
  <si>
    <t>The datastream containing mesures of field Camedda by sensor I026 which measures yaw</t>
  </si>
  <si>
    <t>Camedda_I026_Pitch</t>
  </si>
  <si>
    <t>The datastream containing mesures of field Camedda by sensor I026 which measures pitch</t>
  </si>
  <si>
    <t>Camedda_I026_Roll</t>
  </si>
  <si>
    <t>The datastream containing mesures of field Camedda by sensor I026 which measures roll</t>
  </si>
  <si>
    <t>Camedda_I026_ambient_temperature</t>
  </si>
  <si>
    <t>The datastream containing mesures of field Camedda by sensor I026 which measures air temperature</t>
  </si>
  <si>
    <t>Camedda_I026_air_humidity</t>
  </si>
  <si>
    <t>The datastream containing mesures of field Camedda by sensor I026 which measures humidity</t>
  </si>
  <si>
    <t>Camedda_I026_BatteryVoltage</t>
  </si>
  <si>
    <t>The datastream containing mesures of field Camedda by sensor I026 which measures Battery Voltage</t>
  </si>
  <si>
    <t>Camedda_I027_Timestamp</t>
  </si>
  <si>
    <t>The datastream containing mesures of field Camedda by sensor I027 which measures Timestamp</t>
  </si>
  <si>
    <t>Camedda_I027_NDVI</t>
  </si>
  <si>
    <t>The datastream containing mesures of field Camedda by sensor I027 which measures NDVI</t>
  </si>
  <si>
    <t>Camedda_I027_RadialGrowth</t>
  </si>
  <si>
    <t>The datastream containing mesures of field Camedda by sensor I027 which measures radial growth</t>
  </si>
  <si>
    <t>Camedda_I027_SapFlow</t>
  </si>
  <si>
    <t>The datastream containing mesures of field Camedda by sensor I027 which measures sap flow velocity</t>
  </si>
  <si>
    <t>Camedda_I027_Yaw</t>
  </si>
  <si>
    <t>The datastream containing mesures of field Camedda by sensor I027 which measures yaw</t>
  </si>
  <si>
    <t>Camedda_I027_Pitch</t>
  </si>
  <si>
    <t>The datastream containing mesures of field Camedda by sensor I027 which measures pitch</t>
  </si>
  <si>
    <t>Camedda_I027_Roll</t>
  </si>
  <si>
    <t>The datastream containing mesures of field Camedda by sensor I027 which measures roll</t>
  </si>
  <si>
    <t>Camedda_I027_ambient_temperature</t>
  </si>
  <si>
    <t>The datastream containing mesures of field Camedda by sensor I027 which measures air temperature</t>
  </si>
  <si>
    <t>Camedda_I027_air_humidity</t>
  </si>
  <si>
    <t>The datastream containing mesures of field Camedda by sensor I027 which measures humidity</t>
  </si>
  <si>
    <t>Camedda_I027_BatteryVoltage</t>
  </si>
  <si>
    <t>The datastream containing mesures of field Camedda by sensor I027 which measures Battery Voltage</t>
  </si>
  <si>
    <t>Camedda_I028_Timestamp</t>
  </si>
  <si>
    <t>The datastream containing mesures of field Camedda by sensor I028 which measures Timestamp</t>
  </si>
  <si>
    <t>Camedda_I028_NDVI</t>
  </si>
  <si>
    <t>The datastream containing mesures of field Camedda by sensor I028 which measures NDVI</t>
  </si>
  <si>
    <t>Camedda_I028_RadialGrowth</t>
  </si>
  <si>
    <t>The datastream containing mesures of field Camedda by sensor I028 which measures radial growth</t>
  </si>
  <si>
    <t>Camedda_I028_SapFlow</t>
  </si>
  <si>
    <t>The datastream containing mesures of field Camedda by sensor I028 which measures sap flow velocity</t>
  </si>
  <si>
    <t>Camedda_I028_Yaw</t>
  </si>
  <si>
    <t>The datastream containing mesures of field Camedda by sensor I028 which measures yaw</t>
  </si>
  <si>
    <t>Camedda_I028_Pitch</t>
  </si>
  <si>
    <t>The datastream containing mesures of field Camedda by sensor I028 which measures pitch</t>
  </si>
  <si>
    <t>Camedda_I028_Roll</t>
  </si>
  <si>
    <t>The datastream containing mesures of field Camedda by sensor I028 which measures roll</t>
  </si>
  <si>
    <t>Camedda_I028_ambient_temperature</t>
  </si>
  <si>
    <t>The datastream containing mesures of field Camedda by sensor I028 which measures air temperature</t>
  </si>
  <si>
    <t>Camedda_I028_air_humidity</t>
  </si>
  <si>
    <t>The datastream containing mesures of field Camedda by sensor I028 which measures humidity</t>
  </si>
  <si>
    <t>Camedda_I028_BatteryVoltage</t>
  </si>
  <si>
    <t>The datastream containing mesures of field Camedda by sensor I028 which measures Battery Voltage</t>
  </si>
  <si>
    <t>Camedda_I029_Timestamp</t>
  </si>
  <si>
    <t>The datastream containing mesures of field Camedda by sensor I029 which measures Timestamp</t>
  </si>
  <si>
    <t>Camedda_I029_NDVI</t>
  </si>
  <si>
    <t>The datastream containing mesures of field Camedda by sensor I029 which measures NDVI</t>
  </si>
  <si>
    <t>Camedda_I029_RadialGrowth</t>
  </si>
  <si>
    <t>The datastream containing mesures of field Camedda by sensor I029 which measures radial growth</t>
  </si>
  <si>
    <t>Camedda_I029_SapFlow</t>
  </si>
  <si>
    <t>The datastream containing mesures of field Camedda by sensor I029 which measures sap flow velocity</t>
  </si>
  <si>
    <t>Camedda_I029_Yaw</t>
  </si>
  <si>
    <t>The datastream containing mesures of field Camedda by sensor I029 which measures yaw</t>
  </si>
  <si>
    <t>Camedda_I029_Pitch</t>
  </si>
  <si>
    <t>The datastream containing mesures of field Camedda by sensor I029 which measures pitch</t>
  </si>
  <si>
    <t>Camedda_I029_Roll</t>
  </si>
  <si>
    <t>The datastream containing mesures of field Camedda by sensor I029 which measures roll</t>
  </si>
  <si>
    <t>Camedda_I029_ambient_temperature</t>
  </si>
  <si>
    <t>The datastream containing mesures of field Camedda by sensor I029 which measures air temperature</t>
  </si>
  <si>
    <t>Camedda_I029_air_humidity</t>
  </si>
  <si>
    <t>The datastream containing mesures of field Camedda by sensor I029 which measures humidity</t>
  </si>
  <si>
    <t>Camedda_I029_BatteryVoltage</t>
  </si>
  <si>
    <t>The datastream containing mesures of field Camedda by sensor I029 which measures Battery Voltage</t>
  </si>
  <si>
    <t>Camedda_I030_Timestamp</t>
  </si>
  <si>
    <t>The datastream containing mesures of field Camedda by sensor I030 which measures Timestamp</t>
  </si>
  <si>
    <t>Camedda_I030_NDVI</t>
  </si>
  <si>
    <t>The datastream containing mesures of field Camedda by sensor I030 which measures NDVI</t>
  </si>
  <si>
    <t>Camedda_I030_RadialGrowth</t>
  </si>
  <si>
    <t>The datastream containing mesures of field Camedda by sensor I030 which measures radial growth</t>
  </si>
  <si>
    <t>Camedda_I030_SapFlow</t>
  </si>
  <si>
    <t>The datastream containing mesures of field Camedda by sensor I030 which measures sap flow velocity</t>
  </si>
  <si>
    <t>Camedda_I030_Yaw</t>
  </si>
  <si>
    <t>The datastream containing mesures of field Camedda by sensor I030 which measures yaw</t>
  </si>
  <si>
    <t>Camedda_I030_Pitch</t>
  </si>
  <si>
    <t>The datastream containing mesures of field Camedda by sensor I030 which measures pitch</t>
  </si>
  <si>
    <t>Camedda_I030_Roll</t>
  </si>
  <si>
    <t>The datastream containing mesures of field Camedda by sensor I030 which measures roll</t>
  </si>
  <si>
    <t>Camedda_I030_ambient_temperature</t>
  </si>
  <si>
    <t>The datastream containing mesures of field Camedda by sensor I030 which measures air temperature</t>
  </si>
  <si>
    <t>Camedda_I030_air_humidity</t>
  </si>
  <si>
    <t>The datastream containing mesures of field Camedda by sensor I030 which measures humidity</t>
  </si>
  <si>
    <t>Camedda_I030_BatteryVoltage</t>
  </si>
  <si>
    <t>The datastream containing mesures of field Camedda by sensor I030 which measures Battery Voltage</t>
  </si>
  <si>
    <t>Camedda_I031_Timestamp</t>
  </si>
  <si>
    <t>The datastream containing mesures of field Camedda by sensor I031 which measures Timestamp</t>
  </si>
  <si>
    <t>Camedda_I031_NDVI</t>
  </si>
  <si>
    <t>The datastream containing mesures of field Camedda by sensor I031 which measures NDVI</t>
  </si>
  <si>
    <t>Camedda_I031_RadialGrowth</t>
  </si>
  <si>
    <t>The datastream containing mesures of field Camedda by sensor I031 which measures radial growth</t>
  </si>
  <si>
    <t>Camedda_I031_SapFlow</t>
  </si>
  <si>
    <t>The datastream containing mesures of field Camedda by sensor I031 which measures sap flow velocity</t>
  </si>
  <si>
    <t>Camedda_I031_Yaw</t>
  </si>
  <si>
    <t>The datastream containing mesures of field Camedda by sensor I031 which measures yaw</t>
  </si>
  <si>
    <t>Camedda_I031_Pitch</t>
  </si>
  <si>
    <t>The datastream containing mesures of field Camedda by sensor I031 which measures pitch</t>
  </si>
  <si>
    <t>Camedda_I031_Roll</t>
  </si>
  <si>
    <t>The datastream containing mesures of field Camedda by sensor I031 which measures roll</t>
  </si>
  <si>
    <t>Camedda_I031_ambient_temperature</t>
  </si>
  <si>
    <t>The datastream containing mesures of field Camedda by sensor I031 which measures air temperature</t>
  </si>
  <si>
    <t>Camedda_I031_air_humidity</t>
  </si>
  <si>
    <t>The datastream containing mesures of field Camedda by sensor I031 which measures humidity</t>
  </si>
  <si>
    <t>Camedda_I031_BatteryVoltage</t>
  </si>
  <si>
    <t>The datastream containing mesures of field Camedda by sensor I031 which measures Battery Voltage</t>
  </si>
  <si>
    <t>Camedda_I032_Timestamp</t>
  </si>
  <si>
    <t>The datastream containing mesures of field Camedda by sensor I032 which measures Timestamp</t>
  </si>
  <si>
    <t>Camedda_I032_NDVI</t>
  </si>
  <si>
    <t>The datastream containing mesures of field Camedda by sensor I032 which measures NDVI</t>
  </si>
  <si>
    <t>Camedda_I032_RadialGrowth</t>
  </si>
  <si>
    <t>The datastream containing mesures of field Camedda by sensor I032 which measures radial growth</t>
  </si>
  <si>
    <t>Camedda_I032_SapFlow</t>
  </si>
  <si>
    <t>The datastream containing mesures of field Camedda by sensor I032 which measures sap flow velocity</t>
  </si>
  <si>
    <t>Camedda_I032_Yaw</t>
  </si>
  <si>
    <t>The datastream containing mesures of field Camedda by sensor I032 which measures yaw</t>
  </si>
  <si>
    <t>Camedda_I032_Pitch</t>
  </si>
  <si>
    <t>The datastream containing mesures of field Camedda by sensor I032 which measures pitch</t>
  </si>
  <si>
    <t>Camedda_I032_Roll</t>
  </si>
  <si>
    <t>The datastream containing mesures of field Camedda by sensor I032 which measures roll</t>
  </si>
  <si>
    <t>Camedda_I032_ambient_temperature</t>
  </si>
  <si>
    <t>The datastream containing mesures of field Camedda by sensor I032 which measures air temperature</t>
  </si>
  <si>
    <t>Camedda_I032_air_humidity</t>
  </si>
  <si>
    <t>The datastream containing mesures of field Camedda by sensor I032 which measures humidity</t>
  </si>
  <si>
    <t>Camedda_I032_BatteryVoltage</t>
  </si>
  <si>
    <t>The datastream containing mesures of field Camedda by sensor I032 which measures Battery Voltage</t>
  </si>
  <si>
    <t>Centro Aziendale_I033_Timestamp</t>
  </si>
  <si>
    <t>The datastream containing mesures of field Centro Aziendale by sensor I033 which measures Timestamp</t>
  </si>
  <si>
    <t>Centro Aziendale_I033_NDVI</t>
  </si>
  <si>
    <t>The datastream containing mesures of field Centro Aziendale by sensor I033 which measures NDVI</t>
  </si>
  <si>
    <t>Centro Aziendale_I033_RadialGrowth</t>
  </si>
  <si>
    <t>The datastream containing mesures of field Centro Aziendale by sensor I033 which measures radial growth</t>
  </si>
  <si>
    <t>Centro Aziendale_I033_SapFlow</t>
  </si>
  <si>
    <t>The datastream containing mesures of field Centro Aziendale by sensor I033 which measures sap flow velocity</t>
  </si>
  <si>
    <t>Centro Aziendale_I033_Yaw</t>
  </si>
  <si>
    <t>The datastream containing mesures of field Centro Aziendale by sensor I033 which measures yaw</t>
  </si>
  <si>
    <t>Centro Aziendale_I033_Pitch</t>
  </si>
  <si>
    <t>The datastream containing mesures of field Centro Aziendale by sensor I033 which measures pitch</t>
  </si>
  <si>
    <t>Centro Aziendale_I033_Roll</t>
  </si>
  <si>
    <t>The datastream containing mesures of field Centro Aziendale by sensor I033 which measures roll</t>
  </si>
  <si>
    <t>Centro Aziendale_I033_ambient_temperature</t>
  </si>
  <si>
    <t>The datastream containing mesures of field Centro Aziendale by sensor I033 which measures air temperature</t>
  </si>
  <si>
    <t>Centro Aziendale_I033_air_humidity</t>
  </si>
  <si>
    <t>The datastream containing mesures of field Centro Aziendale by sensor I033 which measures humidity</t>
  </si>
  <si>
    <t>Centro Aziendale_I033_BatteryVoltage</t>
  </si>
  <si>
    <t>The datastream containing mesures of field Centro Aziendale by sensor I033 which measures Battery Voltage</t>
  </si>
  <si>
    <t>Centro Aziendale_I034_Timestamp</t>
  </si>
  <si>
    <t>The datastream containing mesures of field Centro Aziendale by sensor I034 which measures Timestamp</t>
  </si>
  <si>
    <t>Centro Aziendale_I034_NDVI</t>
  </si>
  <si>
    <t>The datastream containing mesures of field Centro Aziendale by sensor I034 which measures NDVI</t>
  </si>
  <si>
    <t>Centro Aziendale_I034_RadialGrowth</t>
  </si>
  <si>
    <t>The datastream containing mesures of field Centro Aziendale by sensor I034 which measures radial growth</t>
  </si>
  <si>
    <t>Centro Aziendale_I034_SapFlow</t>
  </si>
  <si>
    <t>The datastream containing mesures of field Centro Aziendale by sensor I034 which measures sap flow velocity</t>
  </si>
  <si>
    <t>Centro Aziendale_I034_Yaw</t>
  </si>
  <si>
    <t>The datastream containing mesures of field Centro Aziendale by sensor I034 which measures yaw</t>
  </si>
  <si>
    <t>Centro Aziendale_I034_Pitch</t>
  </si>
  <si>
    <t>The datastream containing mesures of field Centro Aziendale by sensor I034 which measures pitch</t>
  </si>
  <si>
    <t>Centro Aziendale_I034_Roll</t>
  </si>
  <si>
    <t>The datastream containing mesures of field Centro Aziendale by sensor I034 which measures roll</t>
  </si>
  <si>
    <t>Centro Aziendale_I034_ambient_temperature</t>
  </si>
  <si>
    <t>The datastream containing mesures of field Centro Aziendale by sensor I034 which measures air temperature</t>
  </si>
  <si>
    <t>Centro Aziendale_I034_air_humidity</t>
  </si>
  <si>
    <t>The datastream containing mesures of field Centro Aziendale by sensor I034 which measures humidity</t>
  </si>
  <si>
    <t>Centro Aziendale_I034_BatteryVoltage</t>
  </si>
  <si>
    <t>The datastream containing mesures of field Centro Aziendale by sensor I034 which measures Battery Voltage</t>
  </si>
  <si>
    <t>Centro Aziendale_I035_Timestamp</t>
  </si>
  <si>
    <t>The datastream containing mesures of field Centro Aziendale by sensor I035 which measures Timestamp</t>
  </si>
  <si>
    <t>Centro Aziendale_I035_NDVI</t>
  </si>
  <si>
    <t>The datastream containing mesures of field Centro Aziendale by sensor I035 which measures NDVI</t>
  </si>
  <si>
    <t>Centro Aziendale_I035_RadialGrowth</t>
  </si>
  <si>
    <t>The datastream containing mesures of field Centro Aziendale by sensor I035 which measures radial growth</t>
  </si>
  <si>
    <t>Centro Aziendale_I035_SapFlow</t>
  </si>
  <si>
    <t>The datastream containing mesures of field Centro Aziendale by sensor I035 which measures sap flow velocity</t>
  </si>
  <si>
    <t>Centro Aziendale_I035_Yaw</t>
  </si>
  <si>
    <t>The datastream containing mesures of field Centro Aziendale by sensor I035 which measures yaw</t>
  </si>
  <si>
    <t>Centro Aziendale_I035_Pitch</t>
  </si>
  <si>
    <t>The datastream containing mesures of field Centro Aziendale by sensor I035 which measures pitch</t>
  </si>
  <si>
    <t>Centro Aziendale_I035_Roll</t>
  </si>
  <si>
    <t>The datastream containing mesures of field Centro Aziendale by sensor I035 which measures roll</t>
  </si>
  <si>
    <t>Centro Aziendale_I035_ambient_temperature</t>
  </si>
  <si>
    <t>The datastream containing mesures of field Centro Aziendale by sensor I035 which measures air temperature</t>
  </si>
  <si>
    <t>Centro Aziendale_I035_air_humidity</t>
  </si>
  <si>
    <t>The datastream containing mesures of field Centro Aziendale by sensor I035 which measures humidity</t>
  </si>
  <si>
    <t>Centro Aziendale_I035_BatteryVoltage</t>
  </si>
  <si>
    <t>The datastream containing mesures of field Centro Aziendale by sensor I035 which measures Battery Voltage</t>
  </si>
  <si>
    <t>Centro Aziendale_I036_Timestamp</t>
  </si>
  <si>
    <t>The datastream containing mesures of field Centro Aziendale by sensor I036 which measures Timestamp</t>
  </si>
  <si>
    <t>Centro Aziendale_I036_NDVI</t>
  </si>
  <si>
    <t>The datastream containing mesures of field Centro Aziendale by sensor I036 which measures NDVI</t>
  </si>
  <si>
    <t>Centro Aziendale_I036_RadialGrowth</t>
  </si>
  <si>
    <t>The datastream containing mesures of field Centro Aziendale by sensor I036 which measures radial growth</t>
  </si>
  <si>
    <t>Centro Aziendale_I036_SapFlow</t>
  </si>
  <si>
    <t>The datastream containing mesures of field Centro Aziendale by sensor I036 which measures sap flow velocity</t>
  </si>
  <si>
    <t>Centro Aziendale_I036_Yaw</t>
  </si>
  <si>
    <t>The datastream containing mesures of field Centro Aziendale by sensor I036 which measures yaw</t>
  </si>
  <si>
    <t>Centro Aziendale_I036_Pitch</t>
  </si>
  <si>
    <t>The datastream containing mesures of field Centro Aziendale by sensor I036 which measures pitch</t>
  </si>
  <si>
    <t>Centro Aziendale_I036_Roll</t>
  </si>
  <si>
    <t>The datastream containing mesures of field Centro Aziendale by sensor I036 which measures roll</t>
  </si>
  <si>
    <t>Centro Aziendale_I036_ambient_temperature</t>
  </si>
  <si>
    <t>The datastream containing mesures of field Centro Aziendale by sensor I036 which measures air temperature</t>
  </si>
  <si>
    <t>Centro Aziendale_I036_air_humidity</t>
  </si>
  <si>
    <t>The datastream containing mesures of field Centro Aziendale by sensor I036 which measures humidity</t>
  </si>
  <si>
    <t>Centro Aziendale_I036_BatteryVoltage</t>
  </si>
  <si>
    <t>The datastream containing mesures of field Centro Aziendale by sensor I036 which measures Battery Voltage</t>
  </si>
  <si>
    <t>Centro Aziendale_I037_Timestamp</t>
  </si>
  <si>
    <t>The datastream containing mesures of field Centro Aziendale by sensor I037 which measures Timestamp</t>
  </si>
  <si>
    <t>Centro Aziendale_I037_NDVI</t>
  </si>
  <si>
    <t>The datastream containing mesures of field Centro Aziendale by sensor I037 which measures NDVI</t>
  </si>
  <si>
    <t>Centro Aziendale_I037_RadialGrowth</t>
  </si>
  <si>
    <t>The datastream containing mesures of field Centro Aziendale by sensor I037 which measures radial growth</t>
  </si>
  <si>
    <t>Centro Aziendale_I037_SapFlow</t>
  </si>
  <si>
    <t>The datastream containing mesures of field Centro Aziendale by sensor I037 which measures sap flow velocity</t>
  </si>
  <si>
    <t>Centro Aziendale_I037_Yaw</t>
  </si>
  <si>
    <t>The datastream containing mesures of field Centro Aziendale by sensor I037 which measures yaw</t>
  </si>
  <si>
    <t>Centro Aziendale_I037_Pitch</t>
  </si>
  <si>
    <t>The datastream containing mesures of field Centro Aziendale by sensor I037 which measures pitch</t>
  </si>
  <si>
    <t>Centro Aziendale_I037_Roll</t>
  </si>
  <si>
    <t>The datastream containing mesures of field Centro Aziendale by sensor I037 which measures roll</t>
  </si>
  <si>
    <t>Centro Aziendale_I037_ambient_temperature</t>
  </si>
  <si>
    <t>The datastream containing mesures of field Centro Aziendale by sensor I037 which measures air temperature</t>
  </si>
  <si>
    <t>Centro Aziendale_I037_air_humidity</t>
  </si>
  <si>
    <t>The datastream containing mesures of field Centro Aziendale by sensor I037 which measures humidity</t>
  </si>
  <si>
    <t>Centro Aziendale_I037_BatteryVoltage</t>
  </si>
  <si>
    <t>The datastream containing mesures of field Centro Aziendale by sensor I037 which measures Battery Voltage</t>
  </si>
  <si>
    <t>Centro Aziendale_I038_Timestamp</t>
  </si>
  <si>
    <t>The datastream containing mesures of field Centro Aziendale by sensor I038 which measures Timestamp</t>
  </si>
  <si>
    <t>Centro Aziendale_I038_NDVI</t>
  </si>
  <si>
    <t>The datastream containing mesures of field Centro Aziendale by sensor I038 which measures NDVI</t>
  </si>
  <si>
    <t>Centro Aziendale_I038_RadialGrowth</t>
  </si>
  <si>
    <t>The datastream containing mesures of field Centro Aziendale by sensor I038 which measures radial growth</t>
  </si>
  <si>
    <t>Centro Aziendale_I038_SapFlow</t>
  </si>
  <si>
    <t>The datastream containing mesures of field Centro Aziendale by sensor I038 which measures sap flow velocity</t>
  </si>
  <si>
    <t>Centro Aziendale_I038_Yaw</t>
  </si>
  <si>
    <t>The datastream containing mesures of field Centro Aziendale by sensor I038 which measures yaw</t>
  </si>
  <si>
    <t>Centro Aziendale_I038_Pitch</t>
  </si>
  <si>
    <t>The datastream containing mesures of field Centro Aziendale by sensor I038 which measures pitch</t>
  </si>
  <si>
    <t>Centro Aziendale_I038_Roll</t>
  </si>
  <si>
    <t>The datastream containing mesures of field Centro Aziendale by sensor I038 which measures roll</t>
  </si>
  <si>
    <t>Centro Aziendale_I038_ambient_temperature</t>
  </si>
  <si>
    <t>The datastream containing mesures of field Centro Aziendale by sensor I038 which measures air temperature</t>
  </si>
  <si>
    <t>Centro Aziendale_I038_air_humidity</t>
  </si>
  <si>
    <t>The datastream containing mesures of field Centro Aziendale by sensor I038 which measures humidity</t>
  </si>
  <si>
    <t>Centro Aziendale_I038_BatteryVoltage</t>
  </si>
  <si>
    <t>The datastream containing mesures of field Centro Aziendale by sensor I038 which measures Battery Voltage</t>
  </si>
  <si>
    <t>Centro Aziendale_I039_Timestamp</t>
  </si>
  <si>
    <t>The datastream containing mesures of field Centro Aziendale by sensor I039 which measures Timestamp</t>
  </si>
  <si>
    <t>Centro Aziendale_I039_NDVI</t>
  </si>
  <si>
    <t>The datastream containing mesures of field Centro Aziendale by sensor I039 which measures NDVI</t>
  </si>
  <si>
    <t>Centro Aziendale_I039_RadialGrowth</t>
  </si>
  <si>
    <t>The datastream containing mesures of field Centro Aziendale by sensor I039 which measures radial growth</t>
  </si>
  <si>
    <t>Centro Aziendale_I039_SapFlow</t>
  </si>
  <si>
    <t>The datastream containing mesures of field Centro Aziendale by sensor I039 which measures sap flow velocity</t>
  </si>
  <si>
    <t>Centro Aziendale_I039_Yaw</t>
  </si>
  <si>
    <t>The datastream containing mesures of field Centro Aziendale by sensor I039 which measures yaw</t>
  </si>
  <si>
    <t>Centro Aziendale_I039_Pitch</t>
  </si>
  <si>
    <t>The datastream containing mesures of field Centro Aziendale by sensor I039 which measures pitch</t>
  </si>
  <si>
    <t>Centro Aziendale_I039_Roll</t>
  </si>
  <si>
    <t>The datastream containing mesures of field Centro Aziendale by sensor I039 which measures roll</t>
  </si>
  <si>
    <t>Centro Aziendale_I039_ambient_temperature</t>
  </si>
  <si>
    <t>The datastream containing mesures of field Centro Aziendale by sensor I039 which measures air temperature</t>
  </si>
  <si>
    <t>Centro Aziendale_I039_air_humidity</t>
  </si>
  <si>
    <t>The datastream containing mesures of field Centro Aziendale by sensor I039 which measures humidity</t>
  </si>
  <si>
    <t>Centro Aziendale_I039_BatteryVoltage</t>
  </si>
  <si>
    <t>The datastream containing mesures of field Centro Aziendale by sensor I039 which measures Battery Voltage</t>
  </si>
  <si>
    <t>Centro Aziendale_I040_Timestamp</t>
  </si>
  <si>
    <t>The datastream containing mesures of field Centro Aziendale by sensor I040 which measures Timestamp</t>
  </si>
  <si>
    <t>Centro Aziendale_I040_NDVI</t>
  </si>
  <si>
    <t>The datastream containing mesures of field Centro Aziendale by sensor I040 which measures NDVI</t>
  </si>
  <si>
    <t>Centro Aziendale_I040_RadialGrowth</t>
  </si>
  <si>
    <t>The datastream containing mesures of field Centro Aziendale by sensor I040 which measures radial growth</t>
  </si>
  <si>
    <t>Centro Aziendale_I040_SapFlow</t>
  </si>
  <si>
    <t>The datastream containing mesures of field Centro Aziendale by sensor I040 which measures sap flow velocity</t>
  </si>
  <si>
    <t>Centro Aziendale_I040_Yaw</t>
  </si>
  <si>
    <t>The datastream containing mesures of field Centro Aziendale by sensor I040 which measures yaw</t>
  </si>
  <si>
    <t>Centro Aziendale_I040_Pitch</t>
  </si>
  <si>
    <t>The datastream containing mesures of field Centro Aziendale by sensor I040 which measures pitch</t>
  </si>
  <si>
    <t>Centro Aziendale_I040_Roll</t>
  </si>
  <si>
    <t>The datastream containing mesures of field Centro Aziendale by sensor I040 which measures roll</t>
  </si>
  <si>
    <t>Centro Aziendale_I040_ambient_temperature</t>
  </si>
  <si>
    <t>The datastream containing mesures of field Centro Aziendale by sensor I040 which measures air temperature</t>
  </si>
  <si>
    <t>Centro Aziendale_I040_air_humidity</t>
  </si>
  <si>
    <t>The datastream containing mesures of field Centro Aziendale by sensor I040 which measures humidity</t>
  </si>
  <si>
    <t>Centro Aziendale_I040_BatteryVoltage</t>
  </si>
  <si>
    <t>The datastream containing mesures of field Centro Aziendale by sensor I040 which measures Battery Voltage</t>
  </si>
  <si>
    <t>Centro Aziendale_I041_Timestamp</t>
  </si>
  <si>
    <t>The datastream containing mesures of field Centro Aziendale by sensor I041 which measures Timestamp</t>
  </si>
  <si>
    <t>Centro Aziendale_I041_NDVI</t>
  </si>
  <si>
    <t>The datastream containing mesures of field Centro Aziendale by sensor I041 which measures NDVI</t>
  </si>
  <si>
    <t>Centro Aziendale_I041_RadialGrowth</t>
  </si>
  <si>
    <t>The datastream containing mesures of field Centro Aziendale by sensor I041 which measures radial growth</t>
  </si>
  <si>
    <t>Centro Aziendale_I041_SapFlow</t>
  </si>
  <si>
    <t>The datastream containing mesures of field Centro Aziendale by sensor I041 which measures sap flow velocity</t>
  </si>
  <si>
    <t>Centro Aziendale_I041_Yaw</t>
  </si>
  <si>
    <t>The datastream containing mesures of field Centro Aziendale by sensor I041 which measures yaw</t>
  </si>
  <si>
    <t>Centro Aziendale_I041_Pitch</t>
  </si>
  <si>
    <t>The datastream containing mesures of field Centro Aziendale by sensor I041 which measures pitch</t>
  </si>
  <si>
    <t>Centro Aziendale_I041_Roll</t>
  </si>
  <si>
    <t>The datastream containing mesures of field Centro Aziendale by sensor I041 which measures roll</t>
  </si>
  <si>
    <t>Centro Aziendale_I041_ambient_temperature</t>
  </si>
  <si>
    <t>The datastream containing mesures of field Centro Aziendale by sensor I041 which measures air temperature</t>
  </si>
  <si>
    <t>Centro Aziendale_I041_air_humidity</t>
  </si>
  <si>
    <t>The datastream containing mesures of field Centro Aziendale by sensor I041 which measures humidity</t>
  </si>
  <si>
    <t>Centro Aziendale_I041_BatteryVoltage</t>
  </si>
  <si>
    <t>The datastream containing mesures of field Centro Aziendale by sensor I041 which measures Battery Voltage</t>
  </si>
  <si>
    <t>Centro Aziendale_I042_Timestamp</t>
  </si>
  <si>
    <t>The datastream containing mesures of field Centro Aziendale by sensor I042 which measures Timestamp</t>
  </si>
  <si>
    <t>Centro Aziendale_I042_NDVI</t>
  </si>
  <si>
    <t>The datastream containing mesures of field Centro Aziendale by sensor I042 which measures NDVI</t>
  </si>
  <si>
    <t>Centro Aziendale_I042_RadialGrowth</t>
  </si>
  <si>
    <t>The datastream containing mesures of field Centro Aziendale by sensor I042 which measures radial growth</t>
  </si>
  <si>
    <t>Centro Aziendale_I042_SapFlow</t>
  </si>
  <si>
    <t>The datastream containing mesures of field Centro Aziendale by sensor I042 which measures sap flow velocity</t>
  </si>
  <si>
    <t>Centro Aziendale_I042_Yaw</t>
  </si>
  <si>
    <t>The datastream containing mesures of field Centro Aziendale by sensor I042 which measures yaw</t>
  </si>
  <si>
    <t>Centro Aziendale_I042_Pitch</t>
  </si>
  <si>
    <t>The datastream containing mesures of field Centro Aziendale by sensor I042 which measures pitch</t>
  </si>
  <si>
    <t>Centro Aziendale_I042_Roll</t>
  </si>
  <si>
    <t>The datastream containing mesures of field Centro Aziendale by sensor I042 which measures roll</t>
  </si>
  <si>
    <t>Centro Aziendale_I042_ambient_temperature</t>
  </si>
  <si>
    <t>The datastream containing mesures of field Centro Aziendale by sensor I042 which measures air temperature</t>
  </si>
  <si>
    <t>Centro Aziendale_I042_air_humidity</t>
  </si>
  <si>
    <t>The datastream containing mesures of field Centro Aziendale by sensor I042 which measures humidity</t>
  </si>
  <si>
    <t>Centro Aziendale_I042_BatteryVoltage</t>
  </si>
  <si>
    <t>The datastream containing mesures of field Centro Aziendale by sensor I042 which measures Battery Voltage</t>
  </si>
  <si>
    <t>Centro Aziendale_I043_Timestamp</t>
  </si>
  <si>
    <t>The datastream containing mesures of field Centro Aziendale by sensor I043 which measures Timestamp</t>
  </si>
  <si>
    <t>Centro Aziendale_I043_NDVI</t>
  </si>
  <si>
    <t>The datastream containing mesures of field Centro Aziendale by sensor I043 which measures NDVI</t>
  </si>
  <si>
    <t>Centro Aziendale_I043_RadialGrowth</t>
  </si>
  <si>
    <t>The datastream containing mesures of field Centro Aziendale by sensor I043 which measures radial growth</t>
  </si>
  <si>
    <t>Centro Aziendale_I043_SapFlow</t>
  </si>
  <si>
    <t>The datastream containing mesures of field Centro Aziendale by sensor I043 which measures sap flow velocity</t>
  </si>
  <si>
    <t>Centro Aziendale_I043_Yaw</t>
  </si>
  <si>
    <t>The datastream containing mesures of field Centro Aziendale by sensor I043 which measures yaw</t>
  </si>
  <si>
    <t>Centro Aziendale_I043_Pitch</t>
  </si>
  <si>
    <t>The datastream containing mesures of field Centro Aziendale by sensor I043 which measures pitch</t>
  </si>
  <si>
    <t>Centro Aziendale_I043_Roll</t>
  </si>
  <si>
    <t>The datastream containing mesures of field Centro Aziendale by sensor I043 which measures roll</t>
  </si>
  <si>
    <t>Centro Aziendale_I043_ambient_temperature</t>
  </si>
  <si>
    <t>The datastream containing mesures of field Centro Aziendale by sensor I043 which measures air temperature</t>
  </si>
  <si>
    <t>Centro Aziendale_I043_air_humidity</t>
  </si>
  <si>
    <t>The datastream containing mesures of field Centro Aziendale by sensor I043 which measures humidity</t>
  </si>
  <si>
    <t>Centro Aziendale_I043_BatteryVoltage</t>
  </si>
  <si>
    <t>The datastream containing mesures of field Centro Aziendale by sensor I043 which measures Battery Voltage</t>
  </si>
  <si>
    <t>Centro Aziendale_I044_Timestamp</t>
  </si>
  <si>
    <t>The datastream containing mesures of field Centro Aziendale by sensor I044 which measures Timestamp</t>
  </si>
  <si>
    <t>Centro Aziendale_I044_NDVI</t>
  </si>
  <si>
    <t>The datastream containing mesures of field Centro Aziendale by sensor I044 which measures NDVI</t>
  </si>
  <si>
    <t>Centro Aziendale_I044_RadialGrowth</t>
  </si>
  <si>
    <t>The datastream containing mesures of field Centro Aziendale by sensor I044 which measures radial growth</t>
  </si>
  <si>
    <t>Centro Aziendale_I044_SapFlow</t>
  </si>
  <si>
    <t>The datastream containing mesures of field Centro Aziendale by sensor I044 which measures sap flow velocity</t>
  </si>
  <si>
    <t>Centro Aziendale_I044_Yaw</t>
  </si>
  <si>
    <t>The datastream containing mesures of field Centro Aziendale by sensor I044 which measures yaw</t>
  </si>
  <si>
    <t>Centro Aziendale_I044_Pitch</t>
  </si>
  <si>
    <t>The datastream containing mesures of field Centro Aziendale by sensor I044 which measures pitch</t>
  </si>
  <si>
    <t>Centro Aziendale_I044_Roll</t>
  </si>
  <si>
    <t>The datastream containing mesures of field Centro Aziendale by sensor I044 which measures roll</t>
  </si>
  <si>
    <t>Centro Aziendale_I044_ambient_temperature</t>
  </si>
  <si>
    <t>The datastream containing mesures of field Centro Aziendale by sensor I044 which measures air temperature</t>
  </si>
  <si>
    <t>Centro Aziendale_I044_air_humidity</t>
  </si>
  <si>
    <t>The datastream containing mesures of field Centro Aziendale by sensor I044 which measures humidity</t>
  </si>
  <si>
    <t>Centro Aziendale_I044_BatteryVoltage</t>
  </si>
  <si>
    <t>The datastream containing mesures of field Centro Aziendale by sensor I044 which measures Battery Voltage</t>
  </si>
  <si>
    <t>Centro Aziendale_I045_Timestamp</t>
  </si>
  <si>
    <t>The datastream containing mesures of field Centro Aziendale by sensor I045 which measures Timestamp</t>
  </si>
  <si>
    <t>Centro Aziendale_I045_NDVI</t>
  </si>
  <si>
    <t>The datastream containing mesures of field Centro Aziendale by sensor I045 which measures NDVI</t>
  </si>
  <si>
    <t>Centro Aziendale_I045_RadialGrowth</t>
  </si>
  <si>
    <t>The datastream containing mesures of field Centro Aziendale by sensor I045 which measures radial growth</t>
  </si>
  <si>
    <t>Centro Aziendale_I045_SapFlow</t>
  </si>
  <si>
    <t>The datastream containing mesures of field Centro Aziendale by sensor I045 which measures sap flow velocity</t>
  </si>
  <si>
    <t>Centro Aziendale_I045_Yaw</t>
  </si>
  <si>
    <t>The datastream containing mesures of field Centro Aziendale by sensor I045 which measures yaw</t>
  </si>
  <si>
    <t>Centro Aziendale_I045_Pitch</t>
  </si>
  <si>
    <t>The datastream containing mesures of field Centro Aziendale by sensor I045 which measures pitch</t>
  </si>
  <si>
    <t>Centro Aziendale_I045_Roll</t>
  </si>
  <si>
    <t>The datastream containing mesures of field Centro Aziendale by sensor I045 which measures roll</t>
  </si>
  <si>
    <t>Centro Aziendale_I045_ambient_temperature</t>
  </si>
  <si>
    <t>The datastream containing mesures of field Centro Aziendale by sensor I045 which measures air temperature</t>
  </si>
  <si>
    <t>Centro Aziendale_I045_air_humidity</t>
  </si>
  <si>
    <t>The datastream containing mesures of field Centro Aziendale by sensor I045 which measures humidity</t>
  </si>
  <si>
    <t>Centro Aziendale_I045_BatteryVoltage</t>
  </si>
  <si>
    <t>The datastream containing mesures of field Centro Aziendale by sensor I045 which measures Battery Voltage</t>
  </si>
  <si>
    <t>Centro Aziendale_I046_Timestamp</t>
  </si>
  <si>
    <t>The datastream containing mesures of field Centro Aziendale by sensor I046 which measures Timestamp</t>
  </si>
  <si>
    <t>Centro Aziendale_I046_NDVI</t>
  </si>
  <si>
    <t>The datastream containing mesures of field Centro Aziendale by sensor I046 which measures NDVI</t>
  </si>
  <si>
    <t>Centro Aziendale_I046_RadialGrowth</t>
  </si>
  <si>
    <t>The datastream containing mesures of field Centro Aziendale by sensor I046 which measures radial growth</t>
  </si>
  <si>
    <t>Centro Aziendale_I046_SapFlow</t>
  </si>
  <si>
    <t>The datastream containing mesures of field Centro Aziendale by sensor I046 which measures sap flow velocity</t>
  </si>
  <si>
    <t>Centro Aziendale_I046_Yaw</t>
  </si>
  <si>
    <t>The datastream containing mesures of field Centro Aziendale by sensor I046 which measures yaw</t>
  </si>
  <si>
    <t>Centro Aziendale_I046_Pitch</t>
  </si>
  <si>
    <t>The datastream containing mesures of field Centro Aziendale by sensor I046 which measures pitch</t>
  </si>
  <si>
    <t>Centro Aziendale_I046_Roll</t>
  </si>
  <si>
    <t>The datastream containing mesures of field Centro Aziendale by sensor I046 which measures roll</t>
  </si>
  <si>
    <t>Centro Aziendale_I046_ambient_temperature</t>
  </si>
  <si>
    <t>The datastream containing mesures of field Centro Aziendale by sensor I046 which measures air temperature</t>
  </si>
  <si>
    <t>Centro Aziendale_I046_air_humidity</t>
  </si>
  <si>
    <t>The datastream containing mesures of field Centro Aziendale by sensor I046 which measures humidity</t>
  </si>
  <si>
    <t>Centro Aziendale_I046_BatteryVoltage</t>
  </si>
  <si>
    <t>The datastream containing mesures of field Centro Aziendale by sensor I046 which measures Battery Voltage</t>
  </si>
  <si>
    <t>00204EB1</t>
  </si>
  <si>
    <t>Weather station in Lebanon managed with FieldClimate</t>
  </si>
  <si>
    <t>A weather station in Lebanon obtaining data from multiple sources</t>
  </si>
  <si>
    <t>STATION</t>
  </si>
  <si>
    <t>-</t>
  </si>
  <si>
    <t>VPD min</t>
  </si>
  <si>
    <t>VPD</t>
  </si>
  <si>
    <t>Air pressure avg</t>
  </si>
  <si>
    <t>Atmospheric Pressure</t>
  </si>
  <si>
    <t>Air pressure max</t>
  </si>
  <si>
    <t>Air pressure min</t>
  </si>
  <si>
    <t>5TE Battery voltage last</t>
  </si>
  <si>
    <t>PI54a (VWC) avg</t>
  </si>
  <si>
    <t>Watermark 1 avg</t>
  </si>
  <si>
    <t>Watermark 2 avg</t>
  </si>
  <si>
    <t>Wetbulb temperature avg</t>
  </si>
  <si>
    <t>Wetbulb temperature max</t>
  </si>
  <si>
    <t>Wetbulb temperature min</t>
  </si>
  <si>
    <t>Drybulb temperature avg</t>
  </si>
  <si>
    <t>Drybulb temperature max</t>
  </si>
  <si>
    <t>Drybulb temperature min</t>
  </si>
  <si>
    <t>ET0</t>
  </si>
  <si>
    <t>Reference evapotranspiration</t>
  </si>
  <si>
    <t>Wind orientation</t>
  </si>
  <si>
    <t>Wind Direction</t>
  </si>
  <si>
    <t>Midnight</t>
  </si>
  <si>
    <t>000008D6</t>
  </si>
  <si>
    <t>Precipitation sum</t>
  </si>
  <si>
    <t>Precipitation</t>
  </si>
  <si>
    <t>Battery last</t>
  </si>
  <si>
    <t>Leaf Wetness time</t>
  </si>
  <si>
    <t>HC Air temperature avg</t>
  </si>
  <si>
    <t>HC Air temperature max</t>
  </si>
  <si>
    <t>HC Air temperature min</t>
  </si>
  <si>
    <t>HC Relative humidity avg</t>
  </si>
  <si>
    <t>HC Relative humidity max</t>
  </si>
  <si>
    <t>HC Relative humidity min</t>
  </si>
  <si>
    <t>Dew Point avg</t>
  </si>
  <si>
    <t>Dew Point</t>
  </si>
  <si>
    <t>Dew Point min</t>
  </si>
  <si>
    <t>Tensiometer avg</t>
  </si>
  <si>
    <t>Tensiometer</t>
  </si>
  <si>
    <t>Tensiometer max</t>
  </si>
  <si>
    <t>Tensiometer min</t>
  </si>
  <si>
    <t>Watermark avg</t>
  </si>
  <si>
    <t>000008E5</t>
  </si>
  <si>
    <t>Khalil Al-Edwan</t>
  </si>
  <si>
    <t>Field in Jordan</t>
  </si>
  <si>
    <t>Specialized device designed for accurately measuring large volumes of water flow.</t>
  </si>
  <si>
    <t>water_flow</t>
  </si>
  <si>
    <t>Water flow m^3/h</t>
  </si>
  <si>
    <t>Technology that measures soil moisture at multiple depths.</t>
  </si>
  <si>
    <t>soil_moisture_10</t>
  </si>
  <si>
    <t>soil_moisture_20</t>
  </si>
  <si>
    <t>soil_moisture_30</t>
  </si>
  <si>
    <t>soil_moisture_45</t>
  </si>
  <si>
    <t>soil_moisture_60</t>
  </si>
  <si>
    <t>soil_moisture_90</t>
  </si>
  <si>
    <t>soil_temperature_25</t>
  </si>
  <si>
    <t>Device capable of analyzing various environmental parameters simultaneously.</t>
  </si>
  <si>
    <t xml:space="preserve">2CF7F1C0523000E2 </t>
  </si>
  <si>
    <t>ph</t>
  </si>
  <si>
    <t>pH</t>
  </si>
  <si>
    <t>Weekly</t>
  </si>
  <si>
    <t>ec</t>
  </si>
  <si>
    <t>Electric Conductivity</t>
  </si>
  <si>
    <t>nh3</t>
  </si>
  <si>
    <t>NH3 / Ammonia</t>
  </si>
  <si>
    <t>no4</t>
  </si>
  <si>
    <t>NO4 / Nitrate</t>
  </si>
  <si>
    <t>temperature</t>
  </si>
  <si>
    <t>Temperature</t>
  </si>
  <si>
    <t>Device used to determine the height or quantity of material within a container, either liquid or solid.</t>
  </si>
  <si>
    <t>water_level</t>
  </si>
  <si>
    <t>Water level cm</t>
  </si>
  <si>
    <t>Water level in centimeters.</t>
  </si>
  <si>
    <t>Centimeters</t>
  </si>
  <si>
    <t>cm</t>
  </si>
  <si>
    <t>Mahmoud Al-Rajbi</t>
  </si>
  <si>
    <t>Ibrahim Al-Shareef</t>
  </si>
  <si>
    <t>Atef Al-Adi</t>
  </si>
  <si>
    <t>NARC</t>
  </si>
  <si>
    <t>NARC Research Site in Jordan</t>
  </si>
  <si>
    <t>Es-haq Sawalha</t>
  </si>
  <si>
    <t>Faisal Neimat</t>
  </si>
  <si>
    <t>Telal Al Thahab</t>
  </si>
  <si>
    <t>Noureddine Rojbani</t>
  </si>
  <si>
    <t>Field in Tunisia</t>
  </si>
  <si>
    <t>Device that measures wind speed and direction.</t>
  </si>
  <si>
    <t>wind_speed</t>
  </si>
  <si>
    <t>Wind Speed</t>
  </si>
  <si>
    <t>wind_direction</t>
  </si>
  <si>
    <t>Simple mechanism used to measure rainfall.</t>
  </si>
  <si>
    <t>rain_intensity</t>
  </si>
  <si>
    <t>Max Precipitation Rate</t>
  </si>
  <si>
    <t>cumulative_rainfall</t>
  </si>
  <si>
    <t>Probe for soil volumetric water content measurement.</t>
  </si>
  <si>
    <t>soil_moisture_10cm</t>
  </si>
  <si>
    <t>soil_temperature_10cm</t>
  </si>
  <si>
    <t>soil_moisture_20cm</t>
  </si>
  <si>
    <t>soil_temperature_20cm</t>
  </si>
  <si>
    <t>soil_moisture_30cm</t>
  </si>
  <si>
    <t>soil_temperature_30cm</t>
  </si>
  <si>
    <t>Water meter that utilizes the Woltman principle for measuring water flow in large industrial and commercial applications.</t>
  </si>
  <si>
    <t>Jomaa Dhibi</t>
  </si>
  <si>
    <t>soil_moisture_15cm</t>
  </si>
  <si>
    <t>soil_temperature_15cm</t>
  </si>
  <si>
    <t>soil_moisture_45cm</t>
  </si>
  <si>
    <t>soil_temperature_45cm</t>
  </si>
  <si>
    <t>Lamine Moussa</t>
  </si>
  <si>
    <t>Field in Tunisia (Ali)</t>
  </si>
  <si>
    <t>Mabrouka Company</t>
  </si>
  <si>
    <t>SONEDE - Well Drilling 1</t>
  </si>
  <si>
    <t>Well in Tunisia</t>
  </si>
  <si>
    <t>SONEDE - Well Drilling 2</t>
  </si>
  <si>
    <t>SONEDE - Well Drilling 3</t>
  </si>
  <si>
    <t>SONEDE - Well Drilling 4</t>
  </si>
  <si>
    <t>SONEDE - Well Drilling 5</t>
  </si>
  <si>
    <t>SONEDE - Well Drilling 6</t>
  </si>
  <si>
    <t>DRW 1</t>
  </si>
  <si>
    <t>Drilling in Tunisia</t>
  </si>
  <si>
    <t>Device that detects the level of liquids and other fluids and fluidized solids.</t>
  </si>
  <si>
    <t>level</t>
  </si>
  <si>
    <t>Groundwater Level</t>
  </si>
  <si>
    <t>pressure</t>
  </si>
  <si>
    <t>Reference Pressure</t>
  </si>
  <si>
    <t>DRW 2</t>
  </si>
  <si>
    <t>WWQ 1</t>
  </si>
  <si>
    <t>Well water quality site in Tunisia</t>
  </si>
  <si>
    <t>Compact sonde or sensor which could monitor temperature, pH value, turbidity, conductivity and dissolved oxygen in one instrument.</t>
  </si>
  <si>
    <t>electric_conductivity</t>
  </si>
  <si>
    <t>nitrate</t>
  </si>
  <si>
    <t>WWQ 2</t>
  </si>
  <si>
    <t>Old Matmata</t>
  </si>
  <si>
    <t>Weather Station in Tunisia</t>
  </si>
  <si>
    <t>TSXX</t>
  </si>
  <si>
    <t>Matmata Nouvelle</t>
  </si>
  <si>
    <t>TSXX2</t>
  </si>
  <si>
    <t>Tirso_Aquifer</t>
  </si>
  <si>
    <t>VanWalt Well in Italy</t>
  </si>
  <si>
    <t>000269</t>
  </si>
  <si>
    <t>Water Level mH2O TOW</t>
  </si>
  <si>
    <t>000279</t>
  </si>
  <si>
    <t>Depth_mH2O</t>
  </si>
  <si>
    <t>Turbidity_NTU</t>
  </si>
  <si>
    <t>Turbidity</t>
  </si>
  <si>
    <t>Temperature_C</t>
  </si>
  <si>
    <t>ORP_mV</t>
  </si>
  <si>
    <t>ORP</t>
  </si>
  <si>
    <t>Specific Conductivity_us/cm</t>
  </si>
  <si>
    <t>Nitrate Sensor_Temperature_C</t>
  </si>
  <si>
    <t>Wave Length_ABS 220</t>
  </si>
  <si>
    <t>Wave Length_ABS 270</t>
  </si>
  <si>
    <t>Nitrate_PPm</t>
  </si>
  <si>
    <t>Voltage</t>
  </si>
  <si>
    <t>Water Level mH2O_TOW</t>
  </si>
  <si>
    <t>000282</t>
  </si>
  <si>
    <t>AQT_Param1</t>
  </si>
  <si>
    <t>AQT_Param2</t>
  </si>
  <si>
    <t>AQT_Param3</t>
  </si>
  <si>
    <t>AQT_Param4</t>
  </si>
  <si>
    <t>AQT_Param6</t>
  </si>
  <si>
    <t>AQT_Param7</t>
  </si>
  <si>
    <t>220</t>
  </si>
  <si>
    <t>270</t>
  </si>
  <si>
    <t>PPm</t>
  </si>
  <si>
    <t>Power Supply (V)</t>
  </si>
  <si>
    <t>Haouch el Saalouk West Bekaa</t>
  </si>
  <si>
    <t>Haouch el Saalouk West Bekaa Field in Lebanon</t>
  </si>
  <si>
    <t>MRL-8 Datalogger equipped with 3 Enviropro Soil sensors</t>
  </si>
  <si>
    <t>Datalogger</t>
  </si>
  <si>
    <t>VWC 1-10cm</t>
  </si>
  <si>
    <t>VWC 1-20cm</t>
  </si>
  <si>
    <t>VWC 1-40cm</t>
  </si>
  <si>
    <t>VWC 1-60cm</t>
  </si>
  <si>
    <t>VWC 1-80cm</t>
  </si>
  <si>
    <t>VWC 1-100cm</t>
  </si>
  <si>
    <t>VWC 1-120cm</t>
  </si>
  <si>
    <t>VWC 1-140cm</t>
  </si>
  <si>
    <t>VWC 1-160cm</t>
  </si>
  <si>
    <t>Temp 1-10cm</t>
  </si>
  <si>
    <t>Temp 1-20cm</t>
  </si>
  <si>
    <t>Temp 1-40cm</t>
  </si>
  <si>
    <t>Temp 1-60cm</t>
  </si>
  <si>
    <t>Temp 1-80cm</t>
  </si>
  <si>
    <t>Temp 1-100cm</t>
  </si>
  <si>
    <t>Temp 1-120cm</t>
  </si>
  <si>
    <t>Temp 1-140cm</t>
  </si>
  <si>
    <t>Temp 1-160cm</t>
  </si>
  <si>
    <t>VWC 2-10cm</t>
  </si>
  <si>
    <t>VWC 2-20cm</t>
  </si>
  <si>
    <t>VWC 2-40cm</t>
  </si>
  <si>
    <t>VWC 2-60cm</t>
  </si>
  <si>
    <t>VWC 2-80cm</t>
  </si>
  <si>
    <t>VWC 2-100cm</t>
  </si>
  <si>
    <t>VWC 2-120cm</t>
  </si>
  <si>
    <t>VWC 2-140cm</t>
  </si>
  <si>
    <t>VWC 2-160cm</t>
  </si>
  <si>
    <t>Temp 2-10cm</t>
  </si>
  <si>
    <t>Temp 2-20cm</t>
  </si>
  <si>
    <t>Temp 2-40cm</t>
  </si>
  <si>
    <t>Temp 2-60cm</t>
  </si>
  <si>
    <t>Temp 2-80cm</t>
  </si>
  <si>
    <t>Temp 2-100cm</t>
  </si>
  <si>
    <t>Temp 2-120cm</t>
  </si>
  <si>
    <t>Temp 2-140cm</t>
  </si>
  <si>
    <t>Temp 2-160cm</t>
  </si>
  <si>
    <t>VWC 3-10cm</t>
  </si>
  <si>
    <t>VWC 3-20cm</t>
  </si>
  <si>
    <t>VWC 3-40cm</t>
  </si>
  <si>
    <t>VWC 3-60cm</t>
  </si>
  <si>
    <t>VWC 3-80cm</t>
  </si>
  <si>
    <t>VWC 3-100cm</t>
  </si>
  <si>
    <t>VWC 3-120cm</t>
  </si>
  <si>
    <t>VWC 3-140cm</t>
  </si>
  <si>
    <t>VWC 3-160cm</t>
  </si>
  <si>
    <t>Temp 3-10cm</t>
  </si>
  <si>
    <t>Temp 3-20cm</t>
  </si>
  <si>
    <t>Temp 3-40cm</t>
  </si>
  <si>
    <t>Temp 3-60cm</t>
  </si>
  <si>
    <t>Temp 3-80cm</t>
  </si>
  <si>
    <t>Temp 3-100cm</t>
  </si>
  <si>
    <t>Temp 3-120cm</t>
  </si>
  <si>
    <t>Temp 3-140cm</t>
  </si>
  <si>
    <t>Temp 3-160cm</t>
  </si>
  <si>
    <t>Battery V</t>
  </si>
  <si>
    <t>Solar V</t>
  </si>
  <si>
    <t>CSQ</t>
  </si>
  <si>
    <t>Saaideh Baalbeck</t>
  </si>
  <si>
    <t>Saaideh Baalbeck Field in Lebanon</t>
  </si>
  <si>
    <t>Saraain Baalbeck</t>
  </si>
  <si>
    <t>Saraain Baalbeck Field in Lebanon</t>
  </si>
  <si>
    <t>Yammouneh Lake</t>
  </si>
  <si>
    <t>Lake in Lebanon</t>
  </si>
  <si>
    <t>SQR SENSOR (WATER LEVEL+FLOW)</t>
  </si>
  <si>
    <t>Velocity</t>
  </si>
  <si>
    <t>Unknown</t>
  </si>
  <si>
    <t>Quality (SNR)</t>
  </si>
  <si>
    <t>Flow</t>
  </si>
  <si>
    <t>Total flow</t>
  </si>
  <si>
    <t>Learned velocity</t>
  </si>
  <si>
    <t>Learned flow</t>
  </si>
  <si>
    <t>Op. direction</t>
  </si>
  <si>
    <t>Battery voltage</t>
  </si>
  <si>
    <t>Solar voltage</t>
  </si>
  <si>
    <t>Self check</t>
  </si>
  <si>
    <t>Cantoniera Reservoir</t>
  </si>
  <si>
    <t>Reservoir / Lake in Italy, in the Tirso Basin</t>
  </si>
  <si>
    <t>HMS_Tirso</t>
  </si>
  <si>
    <t>HEC-HMS Basin Model</t>
  </si>
  <si>
    <t>Model</t>
  </si>
  <si>
    <t>FLOW</t>
  </si>
  <si>
    <t>STORAGE</t>
  </si>
  <si>
    <t>Water Storage</t>
  </si>
  <si>
    <t>z6-19947</t>
  </si>
  <si>
    <t>Weather station in Jordan managed with ZentraCloud</t>
  </si>
  <si>
    <t>A weather station in Jordan obtaining data from multiple sources</t>
  </si>
  <si>
    <t>Battery Percent</t>
  </si>
  <si>
    <t>Gust Speed</t>
  </si>
  <si>
    <t>Lightning Activity</t>
  </si>
  <si>
    <t>Lightning Distance</t>
  </si>
  <si>
    <t>Logger Temperature</t>
  </si>
  <si>
    <t>Max Precip Rate</t>
  </si>
  <si>
    <t>RH Sensor Temp</t>
  </si>
  <si>
    <t>Vapor Pressure</t>
  </si>
  <si>
    <t>X-axis Level</t>
  </si>
  <si>
    <t>Y-axis Level</t>
  </si>
  <si>
    <t>z6-19948</t>
  </si>
  <si>
    <t>ENAS</t>
  </si>
  <si>
    <t>ENAS Data</t>
  </si>
  <si>
    <t>FTP ENAS DATA</t>
  </si>
  <si>
    <t>FTP</t>
  </si>
  <si>
    <t>DEVICE TYPE</t>
  </si>
  <si>
    <t>ST14</t>
  </si>
  <si>
    <t>Weather station</t>
  </si>
  <si>
    <t>Sensore</t>
  </si>
  <si>
    <t>Rackwireless</t>
  </si>
  <si>
    <t>Seeeds</t>
  </si>
  <si>
    <t>Milesight</t>
  </si>
  <si>
    <t>IQNexus</t>
  </si>
  <si>
    <t>Maddalena</t>
  </si>
  <si>
    <t>Nature4</t>
  </si>
  <si>
    <t>PrimoPrincipio</t>
  </si>
  <si>
    <t>VanWalt</t>
  </si>
  <si>
    <t>No-lora</t>
  </si>
  <si>
    <t>Shangai BOQU</t>
  </si>
  <si>
    <t>RAK7240</t>
  </si>
  <si>
    <t>SenseCAP Soil Moisture and Temperature</t>
  </si>
  <si>
    <t>LoRa_Controlle-UC511</t>
  </si>
  <si>
    <t>SenProbe - 3B-LR12</t>
  </si>
  <si>
    <t>SenPulse-PCT-3A-LR-S</t>
  </si>
  <si>
    <t>Arrow split 2</t>
  </si>
  <si>
    <t>TTCyber</t>
  </si>
  <si>
    <t>Quido - basic module</t>
  </si>
  <si>
    <t>DataHub</t>
  </si>
  <si>
    <t>Weather station - old</t>
  </si>
  <si>
    <t>Weather station - new</t>
  </si>
  <si>
    <t xml:space="preserve">Bulk water meter </t>
  </si>
  <si>
    <t xml:space="preserve">Multi Depth Soil Moisture Sensor </t>
  </si>
  <si>
    <t>Quido - wind module</t>
  </si>
  <si>
    <t>Note</t>
  </si>
  <si>
    <t>Message 1</t>
  </si>
  <si>
    <t>Air_Humidity</t>
  </si>
  <si>
    <t>Soil_Moisture</t>
  </si>
  <si>
    <t>Hmd Field 1</t>
  </si>
  <si>
    <t>Count</t>
  </si>
  <si>
    <t>prev_eod_read</t>
  </si>
  <si>
    <t>battery</t>
  </si>
  <si>
    <t>GatewayEui</t>
  </si>
  <si>
    <t>Air_Temperature</t>
  </si>
  <si>
    <t>Soil_Temperature</t>
  </si>
  <si>
    <t>Hmd Field 2</t>
  </si>
  <si>
    <t>Leak</t>
  </si>
  <si>
    <t>prev_base_read</t>
  </si>
  <si>
    <t>wind_mean</t>
  </si>
  <si>
    <t>DevAddr</t>
  </si>
  <si>
    <t>CO2</t>
  </si>
  <si>
    <t>CRC</t>
  </si>
  <si>
    <t>Hmd Field 3</t>
  </si>
  <si>
    <t>Quarte of Day</t>
  </si>
  <si>
    <t>delta_read_1</t>
  </si>
  <si>
    <t>wind_max</t>
  </si>
  <si>
    <t>DevEui</t>
  </si>
  <si>
    <t>Fport</t>
  </si>
  <si>
    <t>Hmd Field 4</t>
  </si>
  <si>
    <t>System Voltage</t>
  </si>
  <si>
    <t>delta_read_2</t>
  </si>
  <si>
    <t>wind_dir</t>
  </si>
  <si>
    <t>Frequency</t>
  </si>
  <si>
    <t>MType</t>
  </si>
  <si>
    <t>Hmd Field 5</t>
  </si>
  <si>
    <t>Type</t>
  </si>
  <si>
    <t>delta_read_3</t>
  </si>
  <si>
    <t>AirTemperature</t>
  </si>
  <si>
    <t>Mic</t>
  </si>
  <si>
    <t>Hmd Field 6</t>
  </si>
  <si>
    <t>delta_read_4</t>
  </si>
  <si>
    <t>AirHumidity</t>
  </si>
  <si>
    <t>SpreadingFactor</t>
  </si>
  <si>
    <t>Rssi</t>
  </si>
  <si>
    <t>Sistem Voltage</t>
  </si>
  <si>
    <t>delta_read_5</t>
  </si>
  <si>
    <t>TrunkInclination</t>
  </si>
  <si>
    <t>FPort</t>
  </si>
  <si>
    <t>Snr</t>
  </si>
  <si>
    <t>delta_read_6</t>
  </si>
  <si>
    <t>BatteryLevel</t>
  </si>
  <si>
    <t>FCnt</t>
  </si>
  <si>
    <t>delta_read_7</t>
  </si>
  <si>
    <t>CodeRate</t>
  </si>
  <si>
    <t>delta_read_8</t>
  </si>
  <si>
    <t>DataRate</t>
  </si>
  <si>
    <t>delta_read_9</t>
  </si>
  <si>
    <t>Bandwidth</t>
  </si>
  <si>
    <t>delta_read_10</t>
  </si>
  <si>
    <t>delta_read_11</t>
  </si>
  <si>
    <t>Message 2</t>
  </si>
  <si>
    <t>Ambient Tmp</t>
  </si>
  <si>
    <t>Tmp Field 1</t>
  </si>
  <si>
    <t>Tmp Field 2</t>
  </si>
  <si>
    <t>Tmp Field 3</t>
  </si>
  <si>
    <t>Tmp Field 4</t>
  </si>
  <si>
    <t>Tmp Field 5</t>
  </si>
  <si>
    <t>Tmp Field 6</t>
  </si>
  <si>
    <t>Time Stamp</t>
  </si>
  <si>
    <t>Q.ty of measurment</t>
  </si>
  <si>
    <t>Q.ty of devices</t>
  </si>
  <si>
    <t>JORDAN</t>
  </si>
  <si>
    <t>TUNISIA</t>
  </si>
  <si>
    <t>LEBANON</t>
  </si>
  <si>
    <t>Average granularity</t>
  </si>
  <si>
    <t>The amount of moisture or water vapor present in the air, often expressed as a percentage of the maximum amount the air could hold at a given temperature.</t>
  </si>
  <si>
    <t>Percentage</t>
  </si>
  <si>
    <t>%</t>
  </si>
  <si>
    <t>Hourly</t>
  </si>
  <si>
    <t>The measure of the hotness or coldness of the air.</t>
  </si>
  <si>
    <t>Degrees Celsius</t>
  </si>
  <si>
    <t>ºC</t>
  </si>
  <si>
    <t>Daily</t>
  </si>
  <si>
    <t>Altitude</t>
  </si>
  <si>
    <t>The vertical distance of a location above a reference point, typically sea level, measured in meters or feet.</t>
  </si>
  <si>
    <t>Meters</t>
  </si>
  <si>
    <t>m</t>
  </si>
  <si>
    <t>The force exerted by the weight of the air above a given point on Earth's surface, which can vary with changes in weather and altitude.</t>
  </si>
  <si>
    <t>Kilopascal</t>
  </si>
  <si>
    <t>kPa</t>
  </si>
  <si>
    <t>Monthly</t>
  </si>
  <si>
    <t>The percentage of battery level associated to the specific sensor.</t>
  </si>
  <si>
    <t>The electrical potential in a battery, indicating its charge level.</t>
  </si>
  <si>
    <t>Millivolts</t>
  </si>
  <si>
    <t>mV</t>
  </si>
  <si>
    <t>Chain Node</t>
  </si>
  <si>
    <t>A point or device within a blockchain network that validates and records transactions, contributing to the decentralized nature of the technology.</t>
  </si>
  <si>
    <t>The quantity of carbon dioxide gas present in the air, used to assess air quality and monitor environmental conditions.</t>
  </si>
  <si>
    <t>Parts per million</t>
  </si>
  <si>
    <t>ppm</t>
  </si>
  <si>
    <t>DeltaT</t>
  </si>
  <si>
    <t>The difference in time between two events, often used in various scientific contexts.</t>
  </si>
  <si>
    <t>Seconds</t>
  </si>
  <si>
    <t>s</t>
  </si>
  <si>
    <t>The temperature at which air becomes saturated with moisture, leading to the formation of dew or condensation.</t>
  </si>
  <si>
    <t>Measure of the ability of a solution to conduct electricity.</t>
  </si>
  <si>
    <t>Microsiemens per centimeter</t>
  </si>
  <si>
    <t>μS/cm</t>
  </si>
  <si>
    <t>The number of pulses read by flowmeter. Depending on flowmeter configuration it could correspond to a different number of cubic meter of water</t>
  </si>
  <si>
    <t>Number of pulses</t>
  </si>
  <si>
    <t>N/A</t>
  </si>
  <si>
    <t>The depth at which the water table is found beneath the Earth's surface.</t>
  </si>
  <si>
    <t>The maximum sudden burst of wind speed.</t>
  </si>
  <si>
    <t>Meters per second</t>
  </si>
  <si>
    <t>m/s</t>
  </si>
  <si>
    <t>Horizontal dilusion</t>
  </si>
  <si>
    <t>A measure of the spread of GPS satellite signals as they reach a receiver on the Earth's surface, affecting the accuracy of position calculations.</t>
  </si>
  <si>
    <t>Latitude</t>
  </si>
  <si>
    <t>The angular distance of a location north or south of the equator, measured in degrees.</t>
  </si>
  <si>
    <t>Degrees</t>
  </si>
  <si>
    <t>º</t>
  </si>
  <si>
    <t>The presence of moisture on the surface of plant leaves, often indicating favorable conditions for disease development.</t>
  </si>
  <si>
    <t>A warning in case of water leak detected</t>
  </si>
  <si>
    <t>True / False</t>
  </si>
  <si>
    <t>The occurrence of electrical discharges in the atmosphere, typically during thunderstorms.</t>
  </si>
  <si>
    <t>The distance from a location to the nearest lightning strike.</t>
  </si>
  <si>
    <t>Kilometers</t>
  </si>
  <si>
    <t>km</t>
  </si>
  <si>
    <t>The temperature measured by a data logger or recording device.</t>
  </si>
  <si>
    <t>Longitude</t>
  </si>
  <si>
    <t>The angular distance of a location east or west of the prime meridian, measured in degrees.</t>
  </si>
  <si>
    <t>The highest rate at which rain or other forms of precipitation fall in a given period.</t>
  </si>
  <si>
    <t>Millimeters per hour</t>
  </si>
  <si>
    <t>mm/h</t>
  </si>
  <si>
    <t>The point in time at the middle of the night, commonly defined as 12:00 AM.</t>
  </si>
  <si>
    <t>Concentration of ammonia.</t>
  </si>
  <si>
    <t>Milligrams per liter</t>
  </si>
  <si>
    <t>mg/L</t>
  </si>
  <si>
    <t>Concentration of nitrogen.</t>
  </si>
  <si>
    <t>Oxidation and Reduction Potential</t>
  </si>
  <si>
    <t>Measure of the acidity or alkalinity of a solution.</t>
  </si>
  <si>
    <t>Any form of water, liquid or solid, falling from the sky, such as rain, snow, or sleet.</t>
  </si>
  <si>
    <t>Millimeters</t>
  </si>
  <si>
    <t>mm</t>
  </si>
  <si>
    <t>The measure of the amount of water evaporated from a standardized reference surface, often used in agriculture for irrigation management.</t>
  </si>
  <si>
    <t>Millimeters per day</t>
  </si>
  <si>
    <t>mm/day</t>
  </si>
  <si>
    <t>A standard pressure value used as a basis for comparison in meteorology.</t>
  </si>
  <si>
    <t>The temperature at which a relative humidity sensor operates.</t>
  </si>
  <si>
    <t>Serial Number</t>
  </si>
  <si>
    <t>A unique identifier assigned to an individual item, facilitating its tracking and differentiation from others.</t>
  </si>
  <si>
    <t>The amount of moisture present in the soil, often expressed as a percentage of the maximum amount the soil could hold at a given temperature.</t>
  </si>
  <si>
    <t>The measure of temperature of the soil.</t>
  </si>
  <si>
    <t>Solar Panel</t>
  </si>
  <si>
    <t>A device that converts sunlight into electricity by harnessing the photovoltaic effect.</t>
  </si>
  <si>
    <t>Energy from the sun in the form of electromagnetic waves.</t>
  </si>
  <si>
    <t>Watts per square meter</t>
  </si>
  <si>
    <t>W/m²</t>
  </si>
  <si>
    <t>The measure of the hotness or coldness of something.</t>
  </si>
  <si>
    <t>Device used to measure the surface tension of a liquid, typically by observing the height to which the liquid rises in a fine tube against the force of gravity.</t>
  </si>
  <si>
    <t>Newtons per meter</t>
  </si>
  <si>
    <t>N/m</t>
  </si>
  <si>
    <t>Type of the packet received from the sensor (Eg. Start, Data, Error)</t>
  </si>
  <si>
    <t>String</t>
  </si>
  <si>
    <t>The current condition of the valve controlled (opened or closed)</t>
  </si>
  <si>
    <t>ON / OFF</t>
  </si>
  <si>
    <t>The pressure exerted by water vapor in the air.</t>
  </si>
  <si>
    <t>The difference between the amount of moisture in the air and the maximum amount of moisture the air can hold at a given temperature.</t>
  </si>
  <si>
    <t>The continuous movement of water in a particular direction.</t>
  </si>
  <si>
    <t>Cubic meters per second</t>
  </si>
  <si>
    <t>m^3/s</t>
  </si>
  <si>
    <t>Cubic meters per hour</t>
  </si>
  <si>
    <t>m^3/h</t>
  </si>
  <si>
    <t>The compass direction from which the wind is blowing.</t>
  </si>
  <si>
    <t>The rate at which the air is moving horizontally, often measured in miles per hour or meters per second.</t>
  </si>
  <si>
    <t>The position or value along the horizontal axis of a graph or coordinate system.</t>
  </si>
  <si>
    <t>The position or value along the vertical axis of a graph or coordinate system.</t>
  </si>
  <si>
    <t>Chlorophill</t>
  </si>
  <si>
    <t>Several related green pigments found in cyanobacteria and in the chloroplasts of algae and plants.</t>
  </si>
  <si>
    <t>Cumulatime Rainfall.</t>
  </si>
  <si>
    <t>UTC epoch time when the data were collected</t>
  </si>
  <si>
    <t>Normalized Difference Vegetation Index</t>
  </si>
  <si>
    <t>Differential measurement of trunk radial growth</t>
  </si>
  <si>
    <t>Sap velocity</t>
  </si>
  <si>
    <t>Centimeter per Second</t>
  </si>
  <si>
    <t>cm/h</t>
  </si>
  <si>
    <t>Rotation over X axis</t>
  </si>
  <si>
    <t>°</t>
  </si>
  <si>
    <t>Rotation over Y axis</t>
  </si>
  <si>
    <t>Rotation over Z axis</t>
  </si>
  <si>
    <t>Turbidity of water</t>
  </si>
  <si>
    <t>Nephelometric Turbidity Units</t>
  </si>
  <si>
    <t>NTU</t>
  </si>
  <si>
    <t>Incremental counting of water passed by the flowmeter</t>
  </si>
  <si>
    <t>Cubic meters</t>
  </si>
  <si>
    <t>m^3</t>
  </si>
  <si>
    <t>Level transmitter - LT1090</t>
  </si>
  <si>
    <t>Device description</t>
  </si>
  <si>
    <t>A sensor for counting and transmitting the pulse produced by a flowmeter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</si>
</sst>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0000000"/>
    <numFmt numFmtId="166" formatCode="#,##0.000000"/>
  </numFmts>
  <fonts count="44">
    <font>
      <sz val="10"/>
      <color rgb="FF000000"/>
      <name val="Arial"/>
      <scheme val="minor"/>
    </font>
    <font>
      <sz val="11"/>
      <color rgb="FFD5DBDB"/>
      <name val="&quot;Amazon Ember&quot;"/>
    </font>
    <font>
      <b/>
      <sz val="10"/>
      <color theme="1"/>
      <name val="Arial"/>
    </font>
    <font>
      <b/>
      <sz val="10"/>
      <color rgb="FFCCCCCC"/>
      <name val="Arial"/>
    </font>
    <font>
      <b/>
      <sz val="11"/>
      <color theme="1"/>
      <name val="Arial"/>
    </font>
    <font>
      <b/>
      <sz val="13"/>
      <color theme="1"/>
      <name val="Arial"/>
    </font>
    <font>
      <sz val="10"/>
      <name val="Arial"/>
    </font>
    <font>
      <sz val="10"/>
      <color theme="1"/>
      <name val="Arial"/>
      <scheme val="minor"/>
    </font>
    <font>
      <sz val="11"/>
      <color theme="1"/>
      <name val="Arial"/>
    </font>
    <font>
      <sz val="14"/>
      <color theme="1"/>
      <name val="Arial"/>
    </font>
    <font>
      <sz val="11"/>
      <color rgb="FF000000"/>
      <name val="Arial"/>
    </font>
    <font>
      <b/>
      <sz val="12"/>
      <color rgb="FF6AA84F"/>
      <name val="Arial"/>
    </font>
    <font>
      <sz val="10"/>
      <color theme="1"/>
      <name val="Arial"/>
    </font>
    <font>
      <sz val="11"/>
      <color theme="7"/>
      <name val="Arial"/>
    </font>
    <font>
      <sz val="11"/>
      <color rgb="FF34A853"/>
      <name val="Arial"/>
    </font>
    <font>
      <b/>
      <sz val="12"/>
      <color rgb="FFA61C00"/>
      <name val="Arial"/>
    </font>
    <font>
      <b/>
      <sz val="12"/>
      <color theme="1"/>
      <name val="&quot;Times New Roman&quot;"/>
    </font>
    <font>
      <sz val="12"/>
      <color theme="1"/>
      <name val="&quot;Times New Roman&quot;"/>
    </font>
    <font>
      <sz val="12"/>
      <color rgb="FF980000"/>
      <name val="&quot;Times New Roman&quot;"/>
    </font>
    <font>
      <sz val="12"/>
      <color rgb="FFFF9900"/>
      <name val="&quot;Times New Roman&quot;"/>
    </font>
    <font>
      <strike/>
      <sz val="12"/>
      <color theme="1"/>
      <name val="&quot;Times New Roman&quot;"/>
    </font>
    <font>
      <strike/>
      <sz val="12"/>
      <color rgb="FF980000"/>
      <name val="&quot;Times New Roman&quot;"/>
    </font>
    <font>
      <strike/>
      <sz val="12"/>
      <color rgb="FFFF9900"/>
      <name val="&quot;Times New Roman&quot;"/>
    </font>
    <font>
      <strike/>
      <sz val="11"/>
      <color theme="1"/>
      <name val="Arial"/>
    </font>
    <font>
      <strike/>
      <sz val="10"/>
      <color theme="1"/>
      <name val="Arial"/>
    </font>
    <font>
      <strike/>
      <sz val="10"/>
      <color theme="1"/>
      <name val="Arial"/>
      <scheme val="minor"/>
    </font>
    <font>
      <sz val="12"/>
      <color theme="1"/>
      <name val="Arial"/>
      <scheme val="minor"/>
    </font>
    <font>
      <sz val="12"/>
      <color theme="1"/>
      <name val="&quot;Aptos Narrow&quot;"/>
    </font>
    <font>
      <b/>
      <strike/>
      <sz val="12"/>
      <color theme="1"/>
      <name val="&quot;Times New Roman&quot;"/>
    </font>
    <font>
      <sz val="12"/>
      <color rgb="FF0C64C0"/>
      <name val="Arial"/>
    </font>
    <font>
      <sz val="12"/>
      <color rgb="FFFF9900"/>
      <name val="Arial"/>
      <scheme val="minor"/>
    </font>
    <font>
      <sz val="12"/>
      <color rgb="FFFF9900"/>
      <name val="Arial"/>
    </font>
    <font>
      <sz val="11"/>
      <color rgb="FFFFFF00"/>
      <name val="Arial"/>
    </font>
    <font>
      <sz val="11"/>
      <color rgb="FF980000"/>
      <name val="Arial"/>
    </font>
    <font>
      <b/>
      <sz val="12"/>
      <color rgb="FF0000FF"/>
      <name val="Arial"/>
    </font>
    <font>
      <sz val="11"/>
      <color rgb="FF0000FF"/>
      <name val="Arial"/>
    </font>
    <font>
      <b/>
      <sz val="12"/>
      <color rgb="FF783F04"/>
      <name val="Arial"/>
    </font>
    <font>
      <sz val="11"/>
      <color theme="1"/>
      <name val="Arial"/>
      <scheme val="minor"/>
    </font>
    <font>
      <b/>
      <sz val="10"/>
      <color theme="1"/>
      <name val="Arial"/>
      <scheme val="minor"/>
    </font>
    <font>
      <sz val="10"/>
      <color rgb="FF000000"/>
      <name val="Arial"/>
      <scheme val="minor"/>
    </font>
    <font>
      <sz val="10"/>
      <color rgb="FF000000"/>
      <name val="Arial"/>
    </font>
    <font>
      <sz val="11"/>
      <color rgb="FF000000"/>
      <name val="Calibri"/>
    </font>
    <font>
      <sz val="11"/>
      <color rgb="FFD4D4D4"/>
      <name val="Consolas"/>
    </font>
    <font>
      <sz val="11"/>
      <color rgb="FFCE9178"/>
      <name val="Consolas"/>
    </font>
  </fonts>
  <fills count="26">
    <fill>
      <patternFill patternType="none"/>
    </fill>
    <fill>
      <patternFill patternType="gray125"/>
    </fill>
    <fill>
      <patternFill patternType="solid">
        <fgColor rgb="FF2A2E33"/>
        <bgColor rgb="FF2A2E33"/>
      </patternFill>
    </fill>
    <fill>
      <patternFill patternType="solid">
        <fgColor rgb="FFD9D9D9"/>
        <bgColor rgb="FFD9D9D9"/>
      </patternFill>
    </fill>
    <fill>
      <patternFill patternType="solid">
        <fgColor rgb="FF999999"/>
        <bgColor rgb="FF999999"/>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B7E1CD"/>
        <bgColor rgb="FFB7E1CD"/>
      </patternFill>
    </fill>
    <fill>
      <patternFill patternType="solid">
        <fgColor rgb="FFE06666"/>
        <bgColor rgb="FFE06666"/>
      </patternFill>
    </fill>
    <fill>
      <patternFill patternType="solid">
        <fgColor rgb="FFCCCCCC"/>
        <bgColor rgb="FFCCCCCC"/>
      </patternFill>
    </fill>
    <fill>
      <patternFill patternType="solid">
        <fgColor rgb="FFF3F3F3"/>
        <bgColor rgb="FFF3F3F3"/>
      </patternFill>
    </fill>
    <fill>
      <patternFill patternType="solid">
        <fgColor rgb="FFB7B7B7"/>
        <bgColor rgb="FFB7B7B7"/>
      </patternFill>
    </fill>
    <fill>
      <patternFill patternType="solid">
        <fgColor rgb="FFFCE5CD"/>
        <bgColor rgb="FFFCE5CD"/>
      </patternFill>
    </fill>
    <fill>
      <patternFill patternType="solid">
        <fgColor rgb="FFF9CB9C"/>
        <bgColor rgb="FFF9CB9C"/>
      </patternFill>
    </fill>
    <fill>
      <patternFill patternType="solid">
        <fgColor rgb="FFFF9900"/>
        <bgColor rgb="FFFF9900"/>
      </patternFill>
    </fill>
    <fill>
      <patternFill patternType="solid">
        <fgColor rgb="FF00FF00"/>
        <bgColor rgb="FF00FF00"/>
      </patternFill>
    </fill>
    <fill>
      <patternFill patternType="solid">
        <fgColor rgb="FF00FFFF"/>
        <bgColor rgb="FF00FFFF"/>
      </patternFill>
    </fill>
    <fill>
      <patternFill patternType="solid">
        <fgColor rgb="FFFF00FF"/>
        <bgColor rgb="FFFF00FF"/>
      </patternFill>
    </fill>
    <fill>
      <patternFill patternType="solid">
        <fgColor rgb="FF9900FF"/>
        <bgColor rgb="FF9900FF"/>
      </patternFill>
    </fill>
    <fill>
      <patternFill patternType="solid">
        <fgColor rgb="FF0000FF"/>
        <bgColor rgb="FF0000FF"/>
      </patternFill>
    </fill>
    <fill>
      <patternFill patternType="solid">
        <fgColor rgb="FF34A853"/>
        <bgColor rgb="FF34A853"/>
      </patternFill>
    </fill>
    <fill>
      <patternFill patternType="solid">
        <fgColor rgb="FFB45F06"/>
        <bgColor rgb="FFB45F06"/>
      </patternFill>
    </fill>
    <fill>
      <patternFill patternType="solid">
        <fgColor rgb="FFD5A6BD"/>
        <bgColor rgb="FFD5A6BD"/>
      </patternFill>
    </fill>
    <fill>
      <patternFill patternType="solid">
        <fgColor rgb="FFD9EAD3"/>
        <bgColor rgb="FFD9EAD3"/>
      </patternFill>
    </fill>
    <fill>
      <patternFill patternType="solid">
        <fgColor rgb="FFF4CCCC"/>
        <bgColor rgb="FFF4CCCC"/>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250">
    <xf numFmtId="0" fontId="0" fillId="0" borderId="0" xfId="0"/>
    <xf numFmtId="0" fontId="1" fillId="2" borderId="0" xfId="0" applyFont="1" applyFill="1"/>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7" fillId="0" borderId="0" xfId="0" applyFont="1"/>
    <xf numFmtId="0" fontId="2" fillId="0" borderId="4" xfId="0" applyFont="1" applyBorder="1"/>
    <xf numFmtId="0" fontId="2" fillId="0" borderId="4" xfId="0" applyFont="1" applyBorder="1" applyAlignment="1">
      <alignment horizontal="center" wrapText="1"/>
    </xf>
    <xf numFmtId="0" fontId="8" fillId="0" borderId="4" xfId="0" applyFont="1" applyBorder="1" applyAlignment="1">
      <alignment vertical="center"/>
    </xf>
    <xf numFmtId="0" fontId="8" fillId="0" borderId="4" xfId="0" quotePrefix="1" applyFont="1" applyBorder="1" applyAlignment="1">
      <alignment vertical="center"/>
    </xf>
    <xf numFmtId="0" fontId="8" fillId="3" borderId="4" xfId="0" applyFont="1" applyFill="1" applyBorder="1" applyAlignment="1">
      <alignment vertical="center"/>
    </xf>
    <xf numFmtId="0" fontId="9" fillId="0" borderId="5" xfId="0" applyFont="1" applyBorder="1" applyAlignment="1">
      <alignment horizontal="center" vertical="center" textRotation="90"/>
    </xf>
    <xf numFmtId="0" fontId="8" fillId="0" borderId="4" xfId="0" applyFont="1" applyBorder="1" applyAlignment="1">
      <alignment horizontal="left" vertical="center"/>
    </xf>
    <xf numFmtId="0" fontId="8" fillId="4" borderId="4" xfId="0" applyFont="1" applyFill="1" applyBorder="1" applyAlignment="1">
      <alignment horizontal="left" vertical="center"/>
    </xf>
    <xf numFmtId="0" fontId="8" fillId="4" borderId="4" xfId="0" applyFont="1" applyFill="1" applyBorder="1" applyAlignment="1">
      <alignment vertical="center"/>
    </xf>
    <xf numFmtId="0" fontId="9" fillId="0" borderId="6" xfId="0" applyFont="1" applyBorder="1" applyAlignment="1">
      <alignment horizontal="center" vertical="center" textRotation="90"/>
    </xf>
    <xf numFmtId="0" fontId="8" fillId="0" borderId="4" xfId="0" applyFont="1" applyBorder="1" applyAlignment="1">
      <alignment horizontal="center" vertical="center"/>
    </xf>
    <xf numFmtId="0" fontId="8" fillId="4" borderId="4" xfId="0" applyFont="1" applyFill="1" applyBorder="1"/>
    <xf numFmtId="0" fontId="8" fillId="0" borderId="4" xfId="0" applyFont="1" applyBorder="1"/>
    <xf numFmtId="0" fontId="10" fillId="5" borderId="0" xfId="0" applyFont="1" applyFill="1" applyAlignment="1">
      <alignment horizontal="left" vertical="center"/>
    </xf>
    <xf numFmtId="0" fontId="7" fillId="0" borderId="4" xfId="0" applyFont="1" applyBorder="1" applyAlignment="1">
      <alignment vertical="center"/>
    </xf>
    <xf numFmtId="0" fontId="8" fillId="0" borderId="4" xfId="0" quotePrefix="1" applyFont="1" applyBorder="1" applyAlignment="1">
      <alignment horizontal="left" vertical="center"/>
    </xf>
    <xf numFmtId="0" fontId="7" fillId="0" borderId="4" xfId="0" applyFont="1" applyBorder="1"/>
    <xf numFmtId="0" fontId="8" fillId="6" borderId="4" xfId="0" applyFont="1" applyFill="1" applyBorder="1" applyAlignment="1">
      <alignment vertical="center"/>
    </xf>
    <xf numFmtId="0" fontId="9" fillId="6" borderId="6" xfId="0" applyFont="1" applyFill="1" applyBorder="1" applyAlignment="1">
      <alignment horizontal="center" vertical="center" textRotation="90"/>
    </xf>
    <xf numFmtId="0" fontId="8" fillId="6" borderId="4" xfId="0" applyFont="1" applyFill="1" applyBorder="1" applyAlignment="1">
      <alignment horizontal="left" vertical="center"/>
    </xf>
    <xf numFmtId="0" fontId="12" fillId="0" borderId="0" xfId="0" applyFont="1"/>
    <xf numFmtId="0" fontId="7" fillId="0" borderId="0" xfId="0" applyFont="1" applyAlignment="1">
      <alignment vertical="center"/>
    </xf>
    <xf numFmtId="0" fontId="13" fillId="0" borderId="4" xfId="0" applyFont="1" applyBorder="1" applyAlignment="1">
      <alignment vertical="center"/>
    </xf>
    <xf numFmtId="0" fontId="10" fillId="0" borderId="0" xfId="0" applyFont="1" applyAlignment="1">
      <alignment horizontal="right" vertical="center"/>
    </xf>
    <xf numFmtId="0" fontId="8" fillId="7" borderId="4" xfId="0" applyFont="1" applyFill="1" applyBorder="1" applyAlignment="1">
      <alignment vertical="center"/>
    </xf>
    <xf numFmtId="0" fontId="14" fillId="0" borderId="3" xfId="0" applyFont="1" applyBorder="1"/>
    <xf numFmtId="0" fontId="12" fillId="7" borderId="3" xfId="0" applyFont="1" applyFill="1" applyBorder="1"/>
    <xf numFmtId="0" fontId="8" fillId="0" borderId="3" xfId="0" applyFont="1" applyBorder="1"/>
    <xf numFmtId="0" fontId="8" fillId="3" borderId="3" xfId="0" applyFont="1" applyFill="1" applyBorder="1"/>
    <xf numFmtId="0" fontId="12" fillId="0" borderId="7" xfId="0" applyFont="1" applyBorder="1"/>
    <xf numFmtId="0" fontId="12" fillId="4" borderId="3" xfId="0" applyFont="1" applyFill="1" applyBorder="1"/>
    <xf numFmtId="0" fontId="12" fillId="0" borderId="3" xfId="0" applyFont="1" applyBorder="1"/>
    <xf numFmtId="0" fontId="8" fillId="8" borderId="3" xfId="0" applyFont="1" applyFill="1" applyBorder="1" applyAlignment="1">
      <alignment horizontal="center"/>
    </xf>
    <xf numFmtId="0" fontId="8" fillId="0" borderId="8" xfId="0" applyFont="1" applyBorder="1"/>
    <xf numFmtId="0" fontId="14" fillId="0" borderId="9" xfId="0" applyFont="1" applyBorder="1"/>
    <xf numFmtId="0" fontId="12" fillId="7" borderId="9" xfId="0" applyFont="1" applyFill="1" applyBorder="1"/>
    <xf numFmtId="0" fontId="8" fillId="0" borderId="9" xfId="0" applyFont="1" applyBorder="1"/>
    <xf numFmtId="0" fontId="8" fillId="3" borderId="9" xfId="0" applyFont="1" applyFill="1" applyBorder="1"/>
    <xf numFmtId="0" fontId="12" fillId="4" borderId="9" xfId="0" applyFont="1" applyFill="1" applyBorder="1"/>
    <xf numFmtId="0" fontId="12" fillId="0" borderId="9" xfId="0" applyFont="1" applyBorder="1"/>
    <xf numFmtId="0" fontId="8" fillId="8" borderId="9" xfId="0" applyFont="1" applyFill="1" applyBorder="1" applyAlignment="1">
      <alignment horizontal="center"/>
    </xf>
    <xf numFmtId="0" fontId="17" fillId="0" borderId="8" xfId="0" applyFont="1" applyBorder="1" applyAlignment="1">
      <alignment horizontal="center"/>
    </xf>
    <xf numFmtId="0" fontId="18" fillId="0" borderId="9" xfId="0" applyFont="1" applyBorder="1" applyAlignment="1">
      <alignment horizontal="center"/>
    </xf>
    <xf numFmtId="0" fontId="19" fillId="0" borderId="9" xfId="0" applyFont="1" applyBorder="1"/>
    <xf numFmtId="0" fontId="17" fillId="0" borderId="9" xfId="0" applyFont="1" applyBorder="1" applyAlignment="1">
      <alignment horizontal="center"/>
    </xf>
    <xf numFmtId="0" fontId="17" fillId="3" borderId="9" xfId="0" applyFont="1" applyFill="1" applyBorder="1" applyAlignment="1">
      <alignment horizontal="center"/>
    </xf>
    <xf numFmtId="0" fontId="8" fillId="5" borderId="4" xfId="0" applyFont="1" applyFill="1" applyBorder="1" applyAlignment="1">
      <alignment horizontal="left" vertical="center"/>
    </xf>
    <xf numFmtId="0" fontId="17" fillId="0" borderId="10" xfId="0" applyFont="1" applyBorder="1" applyAlignment="1">
      <alignment horizontal="center" wrapText="1"/>
    </xf>
    <xf numFmtId="0" fontId="20" fillId="0" borderId="8" xfId="0" applyFont="1" applyBorder="1" applyAlignment="1">
      <alignment horizontal="center"/>
    </xf>
    <xf numFmtId="0" fontId="21" fillId="0" borderId="9" xfId="0" applyFont="1" applyBorder="1" applyAlignment="1">
      <alignment horizontal="center"/>
    </xf>
    <xf numFmtId="0" fontId="22" fillId="0" borderId="9" xfId="0" applyFont="1" applyBorder="1"/>
    <xf numFmtId="0" fontId="20" fillId="0" borderId="9" xfId="0" applyFont="1" applyBorder="1" applyAlignment="1">
      <alignment horizontal="center"/>
    </xf>
    <xf numFmtId="0" fontId="23" fillId="0" borderId="4" xfId="0" applyFont="1" applyBorder="1" applyAlignment="1">
      <alignment vertical="center"/>
    </xf>
    <xf numFmtId="0" fontId="20" fillId="3" borderId="9" xfId="0" applyFont="1" applyFill="1" applyBorder="1" applyAlignment="1">
      <alignment horizontal="center"/>
    </xf>
    <xf numFmtId="0" fontId="24" fillId="0" borderId="7" xfId="0" applyFont="1" applyBorder="1"/>
    <xf numFmtId="0" fontId="24" fillId="4" borderId="9" xfId="0" applyFont="1" applyFill="1" applyBorder="1"/>
    <xf numFmtId="0" fontId="24" fillId="4" borderId="10" xfId="0" applyFont="1" applyFill="1" applyBorder="1"/>
    <xf numFmtId="0" fontId="20" fillId="0" borderId="10" xfId="0" applyFont="1" applyBorder="1" applyAlignment="1">
      <alignment horizontal="center" wrapText="1"/>
    </xf>
    <xf numFmtId="0" fontId="25" fillId="0" borderId="0" xfId="0" applyFont="1" applyAlignment="1">
      <alignment vertical="center"/>
    </xf>
    <xf numFmtId="0" fontId="26" fillId="0" borderId="0" xfId="0" applyFont="1" applyAlignment="1">
      <alignment horizontal="left"/>
    </xf>
    <xf numFmtId="0" fontId="7" fillId="0" borderId="0" xfId="0" applyFont="1" applyAlignment="1">
      <alignment horizontal="left"/>
    </xf>
    <xf numFmtId="0" fontId="27" fillId="5" borderId="0" xfId="0" applyFont="1" applyFill="1" applyAlignment="1">
      <alignment horizontal="left"/>
    </xf>
    <xf numFmtId="0" fontId="8" fillId="0" borderId="0" xfId="0" applyFont="1" applyAlignment="1">
      <alignment horizontal="left" vertical="center"/>
    </xf>
    <xf numFmtId="0" fontId="12" fillId="4" borderId="10" xfId="0" applyFont="1" applyFill="1" applyBorder="1"/>
    <xf numFmtId="0" fontId="12" fillId="0" borderId="4" xfId="0" applyFont="1" applyBorder="1"/>
    <xf numFmtId="0" fontId="10" fillId="5" borderId="0" xfId="0" applyFont="1" applyFill="1" applyAlignment="1">
      <alignment horizontal="left"/>
    </xf>
    <xf numFmtId="0" fontId="23" fillId="0" borderId="4" xfId="0" applyFont="1" applyBorder="1" applyAlignment="1">
      <alignment horizontal="left" vertical="center"/>
    </xf>
    <xf numFmtId="0" fontId="23" fillId="4" borderId="4" xfId="0" applyFont="1" applyFill="1" applyBorder="1" applyAlignment="1">
      <alignment horizontal="left" vertical="center"/>
    </xf>
    <xf numFmtId="0" fontId="24" fillId="0" borderId="4" xfId="0" applyFont="1" applyBorder="1"/>
    <xf numFmtId="0" fontId="23" fillId="0" borderId="4" xfId="0" applyFont="1" applyBorder="1" applyAlignment="1">
      <alignment horizontal="center" vertical="center"/>
    </xf>
    <xf numFmtId="0" fontId="23" fillId="0" borderId="4" xfId="0" applyFont="1" applyBorder="1"/>
    <xf numFmtId="0" fontId="24" fillId="0" borderId="9" xfId="0" applyFont="1" applyBorder="1"/>
    <xf numFmtId="0" fontId="25" fillId="0" borderId="0" xfId="0" applyFont="1"/>
    <xf numFmtId="0" fontId="8" fillId="0" borderId="0" xfId="0" applyFont="1" applyAlignment="1">
      <alignment horizontal="left"/>
    </xf>
    <xf numFmtId="0" fontId="8" fillId="0" borderId="0" xfId="0" applyFont="1"/>
    <xf numFmtId="0" fontId="17" fillId="9" borderId="8" xfId="0" applyFont="1" applyFill="1" applyBorder="1" applyAlignment="1">
      <alignment horizontal="center"/>
    </xf>
    <xf numFmtId="0" fontId="18" fillId="9" borderId="9" xfId="0" applyFont="1" applyFill="1" applyBorder="1" applyAlignment="1">
      <alignment horizontal="center"/>
    </xf>
    <xf numFmtId="0" fontId="19" fillId="9" borderId="9" xfId="0" applyFont="1" applyFill="1" applyBorder="1"/>
    <xf numFmtId="0" fontId="17" fillId="9" borderId="9" xfId="0" applyFont="1" applyFill="1" applyBorder="1" applyAlignment="1">
      <alignment horizontal="center"/>
    </xf>
    <xf numFmtId="0" fontId="8" fillId="9" borderId="4" xfId="0" applyFont="1" applyFill="1" applyBorder="1" applyAlignment="1">
      <alignment vertical="center"/>
    </xf>
    <xf numFmtId="0" fontId="12" fillId="9" borderId="7" xfId="0" applyFont="1" applyFill="1" applyBorder="1"/>
    <xf numFmtId="0" fontId="29" fillId="9" borderId="0" xfId="0" applyFont="1" applyFill="1" applyAlignment="1">
      <alignment horizontal="left"/>
    </xf>
    <xf numFmtId="0" fontId="8" fillId="9" borderId="4" xfId="0" applyFont="1" applyFill="1" applyBorder="1" applyAlignment="1">
      <alignment horizontal="left" vertical="center"/>
    </xf>
    <xf numFmtId="0" fontId="12" fillId="9" borderId="4" xfId="0" applyFont="1" applyFill="1" applyBorder="1"/>
    <xf numFmtId="0" fontId="8" fillId="9" borderId="4" xfId="0" applyFont="1" applyFill="1" applyBorder="1" applyAlignment="1">
      <alignment horizontal="center" vertical="center"/>
    </xf>
    <xf numFmtId="0" fontId="12" fillId="9" borderId="9" xfId="0" applyFont="1" applyFill="1" applyBorder="1"/>
    <xf numFmtId="0" fontId="8" fillId="9" borderId="9" xfId="0" applyFont="1" applyFill="1" applyBorder="1"/>
    <xf numFmtId="0" fontId="7" fillId="9" borderId="0" xfId="0" applyFont="1" applyFill="1"/>
    <xf numFmtId="0" fontId="22" fillId="0" borderId="9" xfId="0" applyFont="1" applyBorder="1" applyAlignment="1">
      <alignment horizontal="center"/>
    </xf>
    <xf numFmtId="0" fontId="23" fillId="5" borderId="4" xfId="0" applyFont="1" applyFill="1" applyBorder="1" applyAlignment="1">
      <alignment horizontal="left" vertical="center"/>
    </xf>
    <xf numFmtId="0" fontId="20" fillId="0" borderId="10" xfId="0" applyFont="1" applyBorder="1" applyAlignment="1">
      <alignment horizontal="center"/>
    </xf>
    <xf numFmtId="0" fontId="9" fillId="0" borderId="7" xfId="0" applyFont="1" applyBorder="1" applyAlignment="1">
      <alignment horizontal="center" vertical="center" textRotation="90"/>
    </xf>
    <xf numFmtId="0" fontId="8" fillId="0" borderId="10" xfId="0" applyFont="1" applyBorder="1"/>
    <xf numFmtId="0" fontId="7" fillId="0" borderId="10" xfId="0" applyFont="1" applyBorder="1"/>
    <xf numFmtId="0" fontId="30" fillId="0" borderId="0" xfId="0" applyFont="1" applyAlignment="1">
      <alignment horizontal="center"/>
    </xf>
    <xf numFmtId="0" fontId="8" fillId="10" borderId="4" xfId="0" applyFont="1" applyFill="1" applyBorder="1"/>
    <xf numFmtId="0" fontId="8" fillId="5" borderId="4" xfId="0" applyFont="1" applyFill="1" applyBorder="1"/>
    <xf numFmtId="0" fontId="8" fillId="10" borderId="4" xfId="0" applyFont="1" applyFill="1" applyBorder="1" applyAlignment="1">
      <alignment vertical="center"/>
    </xf>
    <xf numFmtId="0" fontId="17" fillId="7" borderId="8" xfId="0" applyFont="1" applyFill="1" applyBorder="1" applyAlignment="1">
      <alignment horizontal="center"/>
    </xf>
    <xf numFmtId="0" fontId="31" fillId="5" borderId="4" xfId="0" applyFont="1" applyFill="1" applyBorder="1" applyAlignment="1">
      <alignment horizontal="center"/>
    </xf>
    <xf numFmtId="0" fontId="8" fillId="11" borderId="4" xfId="0" applyFont="1" applyFill="1" applyBorder="1"/>
    <xf numFmtId="0" fontId="8" fillId="12" borderId="4" xfId="0" applyFont="1" applyFill="1" applyBorder="1" applyAlignment="1">
      <alignment vertical="center"/>
    </xf>
    <xf numFmtId="0" fontId="8" fillId="5" borderId="4" xfId="0" applyFont="1" applyFill="1" applyBorder="1" applyAlignment="1">
      <alignment vertical="center"/>
    </xf>
    <xf numFmtId="0" fontId="32" fillId="7" borderId="4" xfId="0" applyFont="1" applyFill="1" applyBorder="1" applyAlignment="1">
      <alignment horizontal="left" vertical="center"/>
    </xf>
    <xf numFmtId="0" fontId="7" fillId="4" borderId="0" xfId="0" applyFont="1" applyFill="1"/>
    <xf numFmtId="0" fontId="26" fillId="0" borderId="0" xfId="0" applyFont="1" applyAlignment="1">
      <alignment horizontal="center"/>
    </xf>
    <xf numFmtId="0" fontId="33" fillId="0" borderId="4" xfId="0" applyFont="1" applyBorder="1" applyAlignment="1">
      <alignment vertical="center"/>
    </xf>
    <xf numFmtId="0" fontId="10" fillId="5" borderId="0" xfId="0" applyFont="1" applyFill="1"/>
    <xf numFmtId="0" fontId="35" fillId="0" borderId="4" xfId="0" applyFont="1" applyBorder="1"/>
    <xf numFmtId="0" fontId="8" fillId="13" borderId="4" xfId="0" applyFont="1" applyFill="1" applyBorder="1"/>
    <xf numFmtId="0" fontId="8" fillId="14" borderId="4" xfId="0" applyFont="1" applyFill="1" applyBorder="1"/>
    <xf numFmtId="0" fontId="9" fillId="0" borderId="8" xfId="0" applyFont="1" applyBorder="1" applyAlignment="1">
      <alignment horizontal="center" vertical="center" textRotation="90"/>
    </xf>
    <xf numFmtId="0" fontId="8" fillId="15" borderId="4" xfId="0" applyFont="1" applyFill="1" applyBorder="1" applyAlignment="1">
      <alignment wrapText="1"/>
    </xf>
    <xf numFmtId="0" fontId="8" fillId="15" borderId="3" xfId="0" applyFont="1" applyFill="1" applyBorder="1" applyAlignment="1">
      <alignment wrapText="1"/>
    </xf>
    <xf numFmtId="49" fontId="8" fillId="15" borderId="3" xfId="0" applyNumberFormat="1" applyFont="1" applyFill="1" applyBorder="1" applyAlignment="1">
      <alignment wrapText="1"/>
    </xf>
    <xf numFmtId="0" fontId="12" fillId="15" borderId="3" xfId="0" applyFont="1" applyFill="1" applyBorder="1"/>
    <xf numFmtId="0" fontId="37" fillId="0" borderId="0" xfId="0" applyFont="1"/>
    <xf numFmtId="0" fontId="8" fillId="15" borderId="8" xfId="0" applyFont="1" applyFill="1" applyBorder="1" applyAlignment="1">
      <alignment wrapText="1"/>
    </xf>
    <xf numFmtId="0" fontId="8" fillId="15" borderId="9" xfId="0" applyFont="1" applyFill="1" applyBorder="1" applyAlignment="1">
      <alignment wrapText="1"/>
    </xf>
    <xf numFmtId="49" fontId="8" fillId="15" borderId="9" xfId="0" applyNumberFormat="1" applyFont="1" applyFill="1" applyBorder="1" applyAlignment="1">
      <alignment wrapText="1"/>
    </xf>
    <xf numFmtId="0" fontId="12" fillId="15" borderId="9" xfId="0" applyFont="1" applyFill="1" applyBorder="1"/>
    <xf numFmtId="0" fontId="8" fillId="15" borderId="3" xfId="0" applyFont="1" applyFill="1" applyBorder="1"/>
    <xf numFmtId="0" fontId="8" fillId="15" borderId="9" xfId="0" applyFont="1" applyFill="1" applyBorder="1"/>
    <xf numFmtId="0" fontId="8" fillId="7" borderId="8" xfId="0" applyFont="1" applyFill="1" applyBorder="1" applyAlignment="1">
      <alignment wrapText="1"/>
    </xf>
    <xf numFmtId="0" fontId="8" fillId="7" borderId="9" xfId="0" applyFont="1" applyFill="1" applyBorder="1" applyAlignment="1">
      <alignment wrapText="1"/>
    </xf>
    <xf numFmtId="49" fontId="8" fillId="7" borderId="9" xfId="0" applyNumberFormat="1" applyFont="1" applyFill="1" applyBorder="1" applyAlignment="1">
      <alignment wrapText="1"/>
    </xf>
    <xf numFmtId="0" fontId="8" fillId="7" borderId="9" xfId="0" applyFont="1" applyFill="1" applyBorder="1"/>
    <xf numFmtId="0" fontId="8" fillId="7" borderId="4" xfId="0" applyFont="1" applyFill="1" applyBorder="1" applyAlignment="1">
      <alignment wrapText="1"/>
    </xf>
    <xf numFmtId="0" fontId="8" fillId="7" borderId="3" xfId="0" applyFont="1" applyFill="1" applyBorder="1" applyAlignment="1">
      <alignment wrapText="1"/>
    </xf>
    <xf numFmtId="49" fontId="8" fillId="7" borderId="3" xfId="0" applyNumberFormat="1" applyFont="1" applyFill="1" applyBorder="1" applyAlignment="1">
      <alignment wrapText="1"/>
    </xf>
    <xf numFmtId="0" fontId="8" fillId="7" borderId="3" xfId="0" applyFont="1" applyFill="1" applyBorder="1"/>
    <xf numFmtId="0" fontId="8" fillId="16" borderId="8" xfId="0" applyFont="1" applyFill="1" applyBorder="1" applyAlignment="1">
      <alignment wrapText="1"/>
    </xf>
    <xf numFmtId="0" fontId="8" fillId="16" borderId="9" xfId="0" applyFont="1" applyFill="1" applyBorder="1" applyAlignment="1">
      <alignment wrapText="1"/>
    </xf>
    <xf numFmtId="49" fontId="8" fillId="16" borderId="9" xfId="0" applyNumberFormat="1" applyFont="1" applyFill="1" applyBorder="1" applyAlignment="1">
      <alignment wrapText="1"/>
    </xf>
    <xf numFmtId="0" fontId="12" fillId="16" borderId="9" xfId="0" applyFont="1" applyFill="1" applyBorder="1"/>
    <xf numFmtId="0" fontId="8" fillId="16" borderId="9" xfId="0" applyFont="1" applyFill="1" applyBorder="1"/>
    <xf numFmtId="0" fontId="8" fillId="17" borderId="8" xfId="0" applyFont="1" applyFill="1" applyBorder="1" applyAlignment="1">
      <alignment wrapText="1"/>
    </xf>
    <xf numFmtId="0" fontId="8" fillId="17" borderId="9" xfId="0" applyFont="1" applyFill="1" applyBorder="1" applyAlignment="1">
      <alignment wrapText="1"/>
    </xf>
    <xf numFmtId="49" fontId="8" fillId="17" borderId="9" xfId="0" applyNumberFormat="1" applyFont="1" applyFill="1" applyBorder="1" applyAlignment="1">
      <alignment wrapText="1"/>
    </xf>
    <xf numFmtId="0" fontId="12" fillId="17" borderId="9" xfId="0" applyFont="1" applyFill="1" applyBorder="1"/>
    <xf numFmtId="0" fontId="8" fillId="17" borderId="9" xfId="0" applyFont="1" applyFill="1" applyBorder="1"/>
    <xf numFmtId="0" fontId="8" fillId="6" borderId="8" xfId="0" applyFont="1" applyFill="1" applyBorder="1" applyAlignment="1">
      <alignment wrapText="1"/>
    </xf>
    <xf numFmtId="0" fontId="8" fillId="6" borderId="9" xfId="0" applyFont="1" applyFill="1" applyBorder="1" applyAlignment="1">
      <alignment wrapText="1"/>
    </xf>
    <xf numFmtId="49" fontId="8" fillId="6" borderId="9" xfId="0" applyNumberFormat="1" applyFont="1" applyFill="1" applyBorder="1" applyAlignment="1">
      <alignment wrapText="1"/>
    </xf>
    <xf numFmtId="0" fontId="12" fillId="6" borderId="9" xfId="0" applyFont="1" applyFill="1" applyBorder="1"/>
    <xf numFmtId="0" fontId="8" fillId="6" borderId="9" xfId="0" applyFont="1" applyFill="1" applyBorder="1"/>
    <xf numFmtId="0" fontId="8" fillId="18" borderId="8" xfId="0" applyFont="1" applyFill="1" applyBorder="1" applyAlignment="1">
      <alignment wrapText="1"/>
    </xf>
    <xf numFmtId="0" fontId="8" fillId="18" borderId="9" xfId="0" applyFont="1" applyFill="1" applyBorder="1" applyAlignment="1">
      <alignment wrapText="1"/>
    </xf>
    <xf numFmtId="49" fontId="8" fillId="18" borderId="9" xfId="0" applyNumberFormat="1" applyFont="1" applyFill="1" applyBorder="1" applyAlignment="1">
      <alignment wrapText="1"/>
    </xf>
    <xf numFmtId="0" fontId="12" fillId="18" borderId="9" xfId="0" applyFont="1" applyFill="1" applyBorder="1"/>
    <xf numFmtId="0" fontId="8" fillId="18" borderId="9" xfId="0" applyFont="1" applyFill="1" applyBorder="1"/>
    <xf numFmtId="0" fontId="8" fillId="19" borderId="8" xfId="0" applyFont="1" applyFill="1" applyBorder="1" applyAlignment="1">
      <alignment wrapText="1"/>
    </xf>
    <xf numFmtId="0" fontId="8" fillId="19" borderId="9" xfId="0" applyFont="1" applyFill="1" applyBorder="1" applyAlignment="1">
      <alignment wrapText="1"/>
    </xf>
    <xf numFmtId="49" fontId="8" fillId="19" borderId="9" xfId="0" applyNumberFormat="1" applyFont="1" applyFill="1" applyBorder="1" applyAlignment="1">
      <alignment wrapText="1"/>
    </xf>
    <xf numFmtId="0" fontId="12" fillId="19" borderId="9" xfId="0" applyFont="1" applyFill="1" applyBorder="1"/>
    <xf numFmtId="0" fontId="8" fillId="19" borderId="9" xfId="0" applyFont="1" applyFill="1" applyBorder="1"/>
    <xf numFmtId="0" fontId="8" fillId="20" borderId="8" xfId="0" applyFont="1" applyFill="1" applyBorder="1" applyAlignment="1">
      <alignment wrapText="1"/>
    </xf>
    <xf numFmtId="0" fontId="8" fillId="20" borderId="9" xfId="0" applyFont="1" applyFill="1" applyBorder="1" applyAlignment="1">
      <alignment wrapText="1"/>
    </xf>
    <xf numFmtId="49" fontId="8" fillId="20" borderId="9" xfId="0" applyNumberFormat="1" applyFont="1" applyFill="1" applyBorder="1" applyAlignment="1">
      <alignment wrapText="1"/>
    </xf>
    <xf numFmtId="0" fontId="12" fillId="20" borderId="9" xfId="0" applyFont="1" applyFill="1" applyBorder="1"/>
    <xf numFmtId="0" fontId="8" fillId="20" borderId="9" xfId="0" applyFont="1" applyFill="1" applyBorder="1"/>
    <xf numFmtId="0" fontId="8" fillId="12" borderId="8" xfId="0" applyFont="1" applyFill="1" applyBorder="1" applyAlignment="1">
      <alignment wrapText="1"/>
    </xf>
    <xf numFmtId="0" fontId="8" fillId="12" borderId="9" xfId="0" applyFont="1" applyFill="1" applyBorder="1" applyAlignment="1">
      <alignment wrapText="1"/>
    </xf>
    <xf numFmtId="49" fontId="8" fillId="12" borderId="9" xfId="0" applyNumberFormat="1" applyFont="1" applyFill="1" applyBorder="1" applyAlignment="1">
      <alignment wrapText="1"/>
    </xf>
    <xf numFmtId="0" fontId="12" fillId="12" borderId="9" xfId="0" applyFont="1" applyFill="1" applyBorder="1"/>
    <xf numFmtId="0" fontId="8" fillId="12" borderId="9" xfId="0" applyFont="1" applyFill="1" applyBorder="1"/>
    <xf numFmtId="0" fontId="8" fillId="21" borderId="8" xfId="0" applyFont="1" applyFill="1" applyBorder="1" applyAlignment="1">
      <alignment wrapText="1"/>
    </xf>
    <xf numFmtId="0" fontId="8" fillId="21" borderId="9" xfId="0" applyFont="1" applyFill="1" applyBorder="1" applyAlignment="1">
      <alignment wrapText="1"/>
    </xf>
    <xf numFmtId="49" fontId="8" fillId="21" borderId="9" xfId="0" applyNumberFormat="1" applyFont="1" applyFill="1" applyBorder="1" applyAlignment="1">
      <alignment wrapText="1"/>
    </xf>
    <xf numFmtId="0" fontId="12" fillId="21" borderId="9" xfId="0" applyFont="1" applyFill="1" applyBorder="1"/>
    <xf numFmtId="0" fontId="8" fillId="21" borderId="9" xfId="0" applyFont="1" applyFill="1" applyBorder="1"/>
    <xf numFmtId="0" fontId="8" fillId="0" borderId="8" xfId="0" applyFont="1" applyBorder="1" applyAlignment="1">
      <alignment wrapText="1"/>
    </xf>
    <xf numFmtId="0" fontId="8" fillId="0" borderId="9" xfId="0" applyFont="1" applyBorder="1" applyAlignment="1">
      <alignment wrapText="1"/>
    </xf>
    <xf numFmtId="49" fontId="8" fillId="0" borderId="9" xfId="0" applyNumberFormat="1" applyFont="1" applyBorder="1" applyAlignment="1">
      <alignment wrapText="1"/>
    </xf>
    <xf numFmtId="0" fontId="8" fillId="5" borderId="9" xfId="0" applyFont="1" applyFill="1" applyBorder="1" applyAlignment="1">
      <alignment wrapText="1"/>
    </xf>
    <xf numFmtId="0" fontId="12" fillId="5" borderId="9" xfId="0" applyFont="1" applyFill="1" applyBorder="1"/>
    <xf numFmtId="0" fontId="8" fillId="5" borderId="9" xfId="0" applyFont="1" applyFill="1" applyBorder="1"/>
    <xf numFmtId="0" fontId="8" fillId="22" borderId="8" xfId="0" applyFont="1" applyFill="1" applyBorder="1" applyAlignment="1">
      <alignment wrapText="1"/>
    </xf>
    <xf numFmtId="0" fontId="8" fillId="22" borderId="9" xfId="0" applyFont="1" applyFill="1" applyBorder="1" applyAlignment="1">
      <alignment wrapText="1"/>
    </xf>
    <xf numFmtId="49" fontId="8" fillId="22" borderId="9" xfId="0" applyNumberFormat="1" applyFont="1" applyFill="1" applyBorder="1" applyAlignment="1">
      <alignment wrapText="1"/>
    </xf>
    <xf numFmtId="0" fontId="12" fillId="22" borderId="9" xfId="0" applyFont="1" applyFill="1" applyBorder="1"/>
    <xf numFmtId="0" fontId="8" fillId="22" borderId="9" xfId="0" applyFont="1" applyFill="1" applyBorder="1"/>
    <xf numFmtId="0" fontId="8" fillId="23" borderId="8" xfId="0" applyFont="1" applyFill="1" applyBorder="1" applyAlignment="1">
      <alignment wrapText="1"/>
    </xf>
    <xf numFmtId="0" fontId="8" fillId="23" borderId="9" xfId="0" applyFont="1" applyFill="1" applyBorder="1" applyAlignment="1">
      <alignment wrapText="1"/>
    </xf>
    <xf numFmtId="49" fontId="8" fillId="23" borderId="9" xfId="0" applyNumberFormat="1" applyFont="1" applyFill="1" applyBorder="1" applyAlignment="1">
      <alignment wrapText="1"/>
    </xf>
    <xf numFmtId="0" fontId="12" fillId="23" borderId="9" xfId="0" applyFont="1" applyFill="1" applyBorder="1"/>
    <xf numFmtId="0" fontId="8" fillId="23" borderId="9" xfId="0" applyFont="1" applyFill="1" applyBorder="1"/>
    <xf numFmtId="0" fontId="38" fillId="0" borderId="0" xfId="0" applyFont="1"/>
    <xf numFmtId="164" fontId="7" fillId="0" borderId="0" xfId="0" applyNumberFormat="1" applyFont="1"/>
    <xf numFmtId="49" fontId="7" fillId="0" borderId="0" xfId="0" applyNumberFormat="1" applyFont="1"/>
    <xf numFmtId="0" fontId="39" fillId="0" borderId="0" xfId="0" applyFont="1"/>
    <xf numFmtId="164" fontId="39" fillId="0" borderId="0" xfId="0" applyNumberFormat="1" applyFont="1"/>
    <xf numFmtId="165" fontId="40" fillId="5" borderId="0" xfId="0" applyNumberFormat="1" applyFont="1" applyFill="1" applyAlignment="1">
      <alignment horizontal="right"/>
    </xf>
    <xf numFmtId="0" fontId="12" fillId="24" borderId="0" xfId="0" applyFont="1" applyFill="1"/>
    <xf numFmtId="0" fontId="0" fillId="5" borderId="0" xfId="0" applyFill="1" applyAlignment="1">
      <alignment horizontal="left"/>
    </xf>
    <xf numFmtId="0" fontId="7" fillId="7" borderId="0" xfId="0" applyFont="1" applyFill="1"/>
    <xf numFmtId="165" fontId="40" fillId="0" borderId="0" xfId="0" applyNumberFormat="1" applyFont="1" applyAlignment="1">
      <alignment horizontal="right"/>
    </xf>
    <xf numFmtId="0" fontId="0" fillId="5" borderId="0" xfId="0" applyFill="1"/>
    <xf numFmtId="0" fontId="41" fillId="0" borderId="0" xfId="0" applyFont="1"/>
    <xf numFmtId="166" fontId="40" fillId="0" borderId="0" xfId="0" applyNumberFormat="1" applyFont="1" applyAlignment="1">
      <alignment horizontal="right"/>
    </xf>
    <xf numFmtId="0" fontId="41" fillId="13" borderId="0" xfId="0" applyFont="1" applyFill="1"/>
    <xf numFmtId="0" fontId="41" fillId="7" borderId="0" xfId="0" applyFont="1" applyFill="1"/>
    <xf numFmtId="49" fontId="41" fillId="0" borderId="0" xfId="0" applyNumberFormat="1" applyFont="1"/>
    <xf numFmtId="0" fontId="40" fillId="0" borderId="0" xfId="0" applyFont="1"/>
    <xf numFmtId="49" fontId="40" fillId="0" borderId="0" xfId="0" applyNumberFormat="1" applyFont="1"/>
    <xf numFmtId="0" fontId="40" fillId="5" borderId="0" xfId="0" applyFont="1" applyFill="1" applyAlignment="1">
      <alignment horizontal="left"/>
    </xf>
    <xf numFmtId="0" fontId="12" fillId="5" borderId="0" xfId="0" applyFont="1" applyFill="1"/>
    <xf numFmtId="166" fontId="7" fillId="0" borderId="0" xfId="0" applyNumberFormat="1" applyFont="1"/>
    <xf numFmtId="0" fontId="12" fillId="13" borderId="0" xfId="0" applyFont="1" applyFill="1"/>
    <xf numFmtId="166" fontId="12" fillId="0" borderId="0" xfId="0" applyNumberFormat="1" applyFont="1" applyAlignment="1">
      <alignment horizontal="right"/>
    </xf>
    <xf numFmtId="166" fontId="12" fillId="0" borderId="0" xfId="0" applyNumberFormat="1" applyFont="1"/>
    <xf numFmtId="0" fontId="12" fillId="25" borderId="0" xfId="0" applyFont="1" applyFill="1"/>
    <xf numFmtId="0" fontId="12" fillId="0" borderId="0" xfId="0" applyFont="1" applyAlignment="1">
      <alignment horizontal="right"/>
    </xf>
    <xf numFmtId="0" fontId="38" fillId="0" borderId="4" xfId="0" applyFont="1" applyBorder="1"/>
    <xf numFmtId="0" fontId="41" fillId="0" borderId="4" xfId="0" applyFont="1" applyBorder="1"/>
    <xf numFmtId="0" fontId="41" fillId="0" borderId="5" xfId="0" applyFont="1" applyBorder="1"/>
    <xf numFmtId="0" fontId="7" fillId="7" borderId="5" xfId="0" applyFont="1" applyFill="1" applyBorder="1"/>
    <xf numFmtId="0" fontId="41" fillId="0" borderId="6" xfId="0" applyFont="1" applyBorder="1"/>
    <xf numFmtId="0" fontId="41" fillId="7" borderId="6" xfId="0" applyFont="1" applyFill="1" applyBorder="1"/>
    <xf numFmtId="0" fontId="41" fillId="0" borderId="8" xfId="0" applyFont="1" applyBorder="1"/>
    <xf numFmtId="0" fontId="41" fillId="0" borderId="0" xfId="0" applyFont="1" applyAlignment="1">
      <alignment horizontal="center"/>
    </xf>
    <xf numFmtId="0" fontId="7" fillId="0" borderId="4" xfId="0" applyFont="1" applyBorder="1" applyAlignment="1">
      <alignment horizontal="left" vertical="center"/>
    </xf>
    <xf numFmtId="0" fontId="41" fillId="7" borderId="5" xfId="0" applyFont="1" applyFill="1" applyBorder="1"/>
    <xf numFmtId="0" fontId="41" fillId="5" borderId="5" xfId="0" applyFont="1" applyFill="1" applyBorder="1"/>
    <xf numFmtId="0" fontId="41" fillId="5" borderId="6" xfId="0" applyFont="1" applyFill="1" applyBorder="1"/>
    <xf numFmtId="0" fontId="42" fillId="0" borderId="0" xfId="0" applyFont="1"/>
    <xf numFmtId="0" fontId="43" fillId="0" borderId="0" xfId="0" applyFont="1"/>
    <xf numFmtId="0" fontId="8" fillId="0" borderId="1" xfId="0" applyFont="1" applyBorder="1" applyAlignment="1">
      <alignment horizontal="left" vertical="center"/>
    </xf>
    <xf numFmtId="0" fontId="6" fillId="0" borderId="2" xfId="0" applyFont="1" applyBorder="1"/>
    <xf numFmtId="0" fontId="6" fillId="0" borderId="3" xfId="0" applyFont="1" applyBorder="1"/>
    <xf numFmtId="0" fontId="12" fillId="0" borderId="2" xfId="0" applyFont="1" applyBorder="1"/>
    <xf numFmtId="0" fontId="16" fillId="0" borderId="1" xfId="0" applyFont="1" applyBorder="1" applyAlignment="1">
      <alignment vertical="center"/>
    </xf>
    <xf numFmtId="0" fontId="5" fillId="0" borderId="1" xfId="0" applyFont="1" applyBorder="1" applyAlignment="1">
      <alignment horizontal="center"/>
    </xf>
    <xf numFmtId="0" fontId="5" fillId="0" borderId="1" xfId="0" applyFont="1" applyBorder="1" applyAlignment="1">
      <alignment horizontal="center" vertical="center"/>
    </xf>
    <xf numFmtId="0" fontId="11" fillId="0" borderId="1" xfId="0" applyFont="1" applyBorder="1" applyAlignment="1">
      <alignment horizontal="center" vertical="center"/>
    </xf>
    <xf numFmtId="0" fontId="15" fillId="0" borderId="1" xfId="0" applyFont="1" applyBorder="1" applyAlignment="1">
      <alignment horizontal="center" vertical="center"/>
    </xf>
    <xf numFmtId="0" fontId="23" fillId="0" borderId="1" xfId="0" applyFont="1" applyBorder="1" applyAlignment="1">
      <alignment horizontal="left" vertical="center"/>
    </xf>
    <xf numFmtId="0" fontId="24" fillId="0" borderId="2" xfId="0" applyFont="1" applyBorder="1"/>
    <xf numFmtId="0" fontId="28" fillId="0" borderId="1" xfId="0" applyFont="1" applyBorder="1" applyAlignment="1">
      <alignment vertical="center"/>
    </xf>
    <xf numFmtId="0" fontId="34" fillId="0" borderId="1" xfId="0" applyFont="1" applyBorder="1" applyAlignment="1">
      <alignment horizontal="center" vertical="center"/>
    </xf>
    <xf numFmtId="0" fontId="36" fillId="0" borderId="1" xfId="0" applyFont="1" applyBorder="1" applyAlignment="1">
      <alignment horizontal="center" vertical="center"/>
    </xf>
    <xf numFmtId="0" fontId="7" fillId="0" borderId="5" xfId="0" applyFont="1" applyBorder="1" applyAlignment="1">
      <alignment horizontal="center" vertical="center" textRotation="90"/>
    </xf>
    <xf numFmtId="0" fontId="6" fillId="0" borderId="6" xfId="0" applyFont="1" applyBorder="1"/>
    <xf numFmtId="0" fontId="6" fillId="0" borderId="8" xfId="0" applyFont="1" applyBorder="1"/>
  </cellXfs>
  <cellStyles count="1">
    <cellStyle name="Normal" xfId="0" builtinId="0"/>
  </cellStyles>
  <dxfs count="11">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C9DAF8"/>
          <bgColor rgb="FFC9DAF8"/>
        </patternFill>
      </fill>
    </dxf>
    <dxf>
      <fill>
        <patternFill patternType="solid">
          <fgColor rgb="FFFFF2CC"/>
          <bgColor rgb="FFFFF2CC"/>
        </patternFill>
      </fill>
    </dxf>
    <dxf>
      <fill>
        <patternFill patternType="solid">
          <fgColor rgb="FFFCE5CD"/>
          <bgColor rgb="FFFCE5CD"/>
        </patternFill>
      </fill>
    </dxf>
    <dxf>
      <fill>
        <patternFill patternType="solid">
          <fgColor rgb="FFF4CCCC"/>
          <bgColor rgb="FFF4CCCC"/>
        </patternFill>
      </fill>
    </dxf>
    <dxf>
      <fill>
        <patternFill patternType="solid">
          <fgColor rgb="FFD9EAD3"/>
          <bgColor rgb="FFD9EAD3"/>
        </patternFill>
      </fill>
    </dxf>
    <dxf>
      <fill>
        <patternFill patternType="solid">
          <fgColor rgb="FFC9DAF8"/>
          <bgColor rgb="FFC9DAF8"/>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W1119"/>
  <sheetViews>
    <sheetView workbookViewId="0">
      <pane ySplit="2" topLeftCell="A3" activePane="bottomLeft" state="frozen"/>
      <selection pane="bottomLeft" activeCell="B4" sqref="B4"/>
    </sheetView>
  </sheetViews>
  <sheetFormatPr defaultColWidth="12.5703125" defaultRowHeight="15.75" customHeight="1" outlineLevelCol="1"/>
  <cols>
    <col min="1" max="1" width="7.42578125" customWidth="1"/>
    <col min="2" max="2" width="9.7109375" customWidth="1"/>
    <col min="3" max="3" width="35.7109375" customWidth="1"/>
    <col min="4" max="6" width="10.5703125" customWidth="1"/>
    <col min="7" max="7" width="9.5703125" customWidth="1"/>
    <col min="8" max="8" width="13.85546875" customWidth="1"/>
    <col min="9" max="9" width="21.5703125" customWidth="1"/>
    <col min="10" max="10" width="4.28515625" customWidth="1"/>
    <col min="11" max="11" width="20.42578125" customWidth="1" outlineLevel="1"/>
    <col min="12" max="12" width="23.140625" customWidth="1" outlineLevel="1"/>
    <col min="13" max="13" width="37.42578125" customWidth="1" outlineLevel="1"/>
    <col min="14" max="14" width="21.85546875" customWidth="1" outlineLevel="1"/>
    <col min="15" max="16" width="36.28515625" customWidth="1" outlineLevel="1"/>
    <col min="17" max="17" width="21.85546875" customWidth="1" outlineLevel="1"/>
    <col min="18" max="18" width="14" customWidth="1"/>
    <col min="19" max="19" width="12.42578125" customWidth="1"/>
    <col min="20" max="20" width="3.42578125" customWidth="1" collapsed="1"/>
    <col min="21" max="21" width="15.85546875" hidden="1" customWidth="1" outlineLevel="1"/>
    <col min="22" max="25" width="12.42578125" hidden="1" customWidth="1" outlineLevel="1"/>
    <col min="26" max="27" width="12.42578125" customWidth="1"/>
    <col min="28" max="28" width="40.42578125" customWidth="1"/>
    <col min="29" max="29" width="43.7109375" customWidth="1"/>
  </cols>
  <sheetData>
    <row r="1" spans="1:49" ht="16.5">
      <c r="A1" s="1" t="s">
        <v>0</v>
      </c>
      <c r="B1" s="2"/>
      <c r="C1" s="2"/>
      <c r="D1" s="2"/>
      <c r="E1" s="2"/>
      <c r="F1" s="2"/>
      <c r="G1" s="3">
        <v>1</v>
      </c>
      <c r="H1" s="3">
        <v>2</v>
      </c>
      <c r="I1" s="3">
        <v>3</v>
      </c>
      <c r="J1" s="4"/>
      <c r="K1" s="238" t="s">
        <v>1</v>
      </c>
      <c r="L1" s="234"/>
      <c r="M1" s="234"/>
      <c r="N1" s="234"/>
      <c r="O1" s="234"/>
      <c r="P1" s="234"/>
      <c r="Q1" s="234"/>
      <c r="R1" s="234"/>
      <c r="S1" s="235"/>
      <c r="T1" s="2"/>
      <c r="U1" s="239" t="s">
        <v>2</v>
      </c>
      <c r="V1" s="234"/>
      <c r="W1" s="234"/>
      <c r="X1" s="234"/>
      <c r="Y1" s="234"/>
      <c r="Z1" s="234"/>
      <c r="AA1" s="235"/>
      <c r="AB1" s="2"/>
      <c r="AC1" s="2"/>
      <c r="AD1" s="5"/>
    </row>
    <row r="2" spans="1:49" ht="31.5" customHeight="1">
      <c r="A2" s="6" t="s">
        <v>3</v>
      </c>
      <c r="B2" s="6" t="s">
        <v>4</v>
      </c>
      <c r="C2" s="6" t="s">
        <v>5</v>
      </c>
      <c r="D2" s="6" t="s">
        <v>6</v>
      </c>
      <c r="E2" s="6" t="s">
        <v>7</v>
      </c>
      <c r="F2" s="6" t="s">
        <v>8</v>
      </c>
      <c r="G2" s="6" t="s">
        <v>9</v>
      </c>
      <c r="H2" s="6" t="s">
        <v>10</v>
      </c>
      <c r="I2" s="6" t="s">
        <v>11</v>
      </c>
      <c r="J2" s="6"/>
      <c r="K2" s="6" t="s">
        <v>12</v>
      </c>
      <c r="L2" s="6" t="s">
        <v>13</v>
      </c>
      <c r="M2" s="6" t="s">
        <v>14</v>
      </c>
      <c r="N2" s="6" t="s">
        <v>15</v>
      </c>
      <c r="O2" s="6" t="s">
        <v>16</v>
      </c>
      <c r="P2" s="6" t="s">
        <v>17</v>
      </c>
      <c r="Q2" s="6" t="s">
        <v>18</v>
      </c>
      <c r="R2" s="7" t="s">
        <v>19</v>
      </c>
      <c r="S2" s="7" t="s">
        <v>20</v>
      </c>
      <c r="T2" s="6"/>
      <c r="U2" s="6" t="s">
        <v>21</v>
      </c>
      <c r="V2" s="6" t="s">
        <v>22</v>
      </c>
      <c r="W2" s="6" t="s">
        <v>23</v>
      </c>
      <c r="X2" s="6" t="s">
        <v>24</v>
      </c>
      <c r="Y2" s="6" t="s">
        <v>25</v>
      </c>
      <c r="Z2" s="7" t="s">
        <v>19</v>
      </c>
      <c r="AA2" s="7" t="s">
        <v>20</v>
      </c>
      <c r="AB2" s="6" t="s">
        <v>26</v>
      </c>
      <c r="AC2" s="6" t="s">
        <v>27</v>
      </c>
      <c r="AD2" s="5" t="s">
        <v>28</v>
      </c>
    </row>
    <row r="3" spans="1:49" ht="30.75" customHeight="1">
      <c r="A3" s="8" t="s">
        <v>29</v>
      </c>
      <c r="B3" s="8" t="s">
        <v>30</v>
      </c>
      <c r="C3" s="8" t="s">
        <v>31</v>
      </c>
      <c r="D3" s="9" t="s">
        <v>32</v>
      </c>
      <c r="E3" s="9" t="s">
        <v>33</v>
      </c>
      <c r="F3" s="8" t="s">
        <v>34</v>
      </c>
      <c r="G3" s="10" t="str">
        <f>HLOOKUP($F3,'Sensor Type Details'!$B$1:$R$4,G$1+1)</f>
        <v>Gateway</v>
      </c>
      <c r="H3" s="10" t="str">
        <f>HLOOKUP($F3,'Sensor Type Details'!$B$1:$R$4,H$1+1)</f>
        <v>Rackwireless</v>
      </c>
      <c r="I3" s="10" t="str">
        <f>HLOOKUP($F3,'Sensor Type Details'!$B$1:$R$4,I$1+1)</f>
        <v>RAK7240</v>
      </c>
      <c r="J3" s="11" t="str">
        <f>K1</f>
        <v>LoRaWAN and test codes</v>
      </c>
      <c r="K3" s="12" t="s">
        <v>35</v>
      </c>
      <c r="L3" s="12" t="s">
        <v>36</v>
      </c>
      <c r="M3" s="13"/>
      <c r="N3" s="13"/>
      <c r="O3" s="13"/>
      <c r="P3" s="13"/>
      <c r="Q3" s="13"/>
      <c r="R3" s="13"/>
      <c r="S3" s="13"/>
      <c r="T3" s="11" t="str">
        <f>U1</f>
        <v>All Other connection Reference</v>
      </c>
      <c r="U3" s="14"/>
      <c r="V3" s="14"/>
      <c r="W3" s="14"/>
      <c r="X3" s="14"/>
      <c r="Y3" s="14"/>
      <c r="Z3" s="14"/>
      <c r="AA3" s="14"/>
      <c r="AB3" s="14"/>
      <c r="AC3" s="8"/>
    </row>
    <row r="4" spans="1:49" ht="30.75" customHeight="1">
      <c r="A4" s="8" t="s">
        <v>37</v>
      </c>
      <c r="B4" s="8" t="s">
        <v>30</v>
      </c>
      <c r="C4" s="8" t="s">
        <v>38</v>
      </c>
      <c r="D4" s="9" t="s">
        <v>32</v>
      </c>
      <c r="E4" s="9" t="s">
        <v>33</v>
      </c>
      <c r="F4" s="8" t="s">
        <v>39</v>
      </c>
      <c r="G4" s="10" t="str">
        <f>HLOOKUP($F4,'Sensor Type Details'!$B$1:$R$4,G$1+1)</f>
        <v>Sensor</v>
      </c>
      <c r="H4" s="10" t="str">
        <f>HLOOKUP($F4,'Sensor Type Details'!$B$1:$R$4,H$1+1)</f>
        <v>Seeeds</v>
      </c>
      <c r="I4" s="10" t="str">
        <f>HLOOKUP($F4,'Sensor Type Details'!$B$1:$R$4,I$1+1)</f>
        <v>SenseCAPS2103</v>
      </c>
      <c r="J4" s="15"/>
      <c r="K4" s="12" t="s">
        <v>40</v>
      </c>
      <c r="L4" s="12" t="s">
        <v>41</v>
      </c>
      <c r="M4" s="12" t="s">
        <v>42</v>
      </c>
      <c r="N4" s="13"/>
      <c r="O4" s="13"/>
      <c r="P4" s="13"/>
      <c r="Q4" s="12" t="s">
        <v>43</v>
      </c>
      <c r="R4" s="16" t="s">
        <v>44</v>
      </c>
      <c r="S4" s="16" t="s">
        <v>44</v>
      </c>
      <c r="T4" s="15"/>
      <c r="U4" s="14"/>
      <c r="V4" s="14"/>
      <c r="W4" s="14"/>
      <c r="X4" s="14"/>
      <c r="Y4" s="14"/>
      <c r="Z4" s="14"/>
      <c r="AA4" s="14"/>
      <c r="AB4" s="8" t="s">
        <v>45</v>
      </c>
      <c r="AC4" s="8"/>
    </row>
    <row r="5" spans="1:49" ht="30.75" customHeight="1">
      <c r="A5" s="8" t="s">
        <v>46</v>
      </c>
      <c r="B5" s="8" t="s">
        <v>30</v>
      </c>
      <c r="C5" s="8" t="s">
        <v>47</v>
      </c>
      <c r="D5" s="9" t="s">
        <v>32</v>
      </c>
      <c r="E5" s="9" t="s">
        <v>33</v>
      </c>
      <c r="F5" s="8" t="s">
        <v>48</v>
      </c>
      <c r="G5" s="10" t="str">
        <f>HLOOKUP($F5,'Sensor Type Details'!$B$1:$R$4,G$1+1)</f>
        <v>Sensor</v>
      </c>
      <c r="H5" s="10" t="str">
        <f>HLOOKUP($F5,'Sensor Type Details'!$B$1:$R$4,H$1+1)</f>
        <v>Seeeds</v>
      </c>
      <c r="I5" s="10" t="str">
        <f>HLOOKUP($F5,'Sensor Type Details'!$B$1:$R$4,I$1+1)</f>
        <v>SenseCAP Soil Moisture and Temperature</v>
      </c>
      <c r="J5" s="15"/>
      <c r="K5" s="12" t="s">
        <v>49</v>
      </c>
      <c r="L5" s="12" t="s">
        <v>50</v>
      </c>
      <c r="M5" s="12" t="s">
        <v>51</v>
      </c>
      <c r="N5" s="13"/>
      <c r="O5" s="13"/>
      <c r="P5" s="13"/>
      <c r="Q5" s="12" t="s">
        <v>52</v>
      </c>
      <c r="R5" s="16" t="s">
        <v>44</v>
      </c>
      <c r="S5" s="16" t="s">
        <v>44</v>
      </c>
      <c r="T5" s="15"/>
      <c r="U5" s="17"/>
      <c r="V5" s="17"/>
      <c r="W5" s="17"/>
      <c r="X5" s="17"/>
      <c r="Y5" s="17"/>
      <c r="Z5" s="17"/>
      <c r="AA5" s="17"/>
      <c r="AB5" s="18" t="s">
        <v>53</v>
      </c>
      <c r="AC5" s="8"/>
    </row>
    <row r="6" spans="1:49" ht="30.75" customHeight="1">
      <c r="A6" s="8" t="s">
        <v>54</v>
      </c>
      <c r="B6" s="8" t="s">
        <v>30</v>
      </c>
      <c r="C6" s="8" t="s">
        <v>55</v>
      </c>
      <c r="D6" s="9" t="s">
        <v>32</v>
      </c>
      <c r="E6" s="9" t="s">
        <v>33</v>
      </c>
      <c r="F6" s="8" t="s">
        <v>56</v>
      </c>
      <c r="G6" s="10" t="str">
        <f>HLOOKUP($F6,'Sensor Type Details'!$B$1:$R$4,G$1+1)</f>
        <v>Sensor</v>
      </c>
      <c r="H6" s="10" t="str">
        <f>HLOOKUP($F6,'Sensor Type Details'!$B$1:$R$4,H$1+1)</f>
        <v>Milesight</v>
      </c>
      <c r="I6" s="10" t="str">
        <f>HLOOKUP($F6,'Sensor Type Details'!$B$1:$R$4,I$1+1)</f>
        <v>LoRa_Controlle-UC511</v>
      </c>
      <c r="J6" s="15"/>
      <c r="K6" s="12" t="s">
        <v>57</v>
      </c>
      <c r="L6" s="12" t="s">
        <v>58</v>
      </c>
      <c r="M6" s="12" t="s">
        <v>59</v>
      </c>
      <c r="N6" s="13"/>
      <c r="O6" s="13"/>
      <c r="P6" s="13"/>
      <c r="Q6" s="19" t="s">
        <v>60</v>
      </c>
      <c r="R6" s="16" t="s">
        <v>44</v>
      </c>
      <c r="S6" s="16" t="s">
        <v>44</v>
      </c>
      <c r="T6" s="15"/>
      <c r="U6" s="17"/>
      <c r="V6" s="17"/>
      <c r="W6" s="17"/>
      <c r="X6" s="17"/>
      <c r="Y6" s="17"/>
      <c r="Z6" s="17"/>
      <c r="AA6" s="17"/>
      <c r="AB6" s="8" t="s">
        <v>61</v>
      </c>
      <c r="AC6" s="20"/>
    </row>
    <row r="7" spans="1:49" ht="30.75" customHeight="1">
      <c r="A7" s="8" t="s">
        <v>62</v>
      </c>
      <c r="B7" s="8" t="s">
        <v>30</v>
      </c>
      <c r="C7" s="8" t="s">
        <v>63</v>
      </c>
      <c r="D7" s="9" t="s">
        <v>32</v>
      </c>
      <c r="E7" s="9" t="s">
        <v>33</v>
      </c>
      <c r="F7" s="8" t="s">
        <v>64</v>
      </c>
      <c r="G7" s="10" t="str">
        <f>HLOOKUP($F7,'Sensor Type Details'!$B$1:$R$4,G$1+1)</f>
        <v>Sensor</v>
      </c>
      <c r="H7" s="10" t="str">
        <f>HLOOKUP($F7,'Sensor Type Details'!$B$1:$R$4,H$1+1)</f>
        <v>IQNexus</v>
      </c>
      <c r="I7" s="10" t="str">
        <f>HLOOKUP($F7,'Sensor Type Details'!$B$1:$R$4,I$1+1)</f>
        <v>SenProbe - 3B-LR12</v>
      </c>
      <c r="J7" s="15"/>
      <c r="K7" s="12" t="s">
        <v>65</v>
      </c>
      <c r="L7" s="21" t="s">
        <v>66</v>
      </c>
      <c r="M7" s="12" t="s">
        <v>67</v>
      </c>
      <c r="N7" s="13"/>
      <c r="O7" s="13"/>
      <c r="P7" s="13"/>
      <c r="Q7" s="12" t="s">
        <v>68</v>
      </c>
      <c r="R7" s="16" t="s">
        <v>44</v>
      </c>
      <c r="S7" s="16" t="s">
        <v>44</v>
      </c>
      <c r="T7" s="15"/>
      <c r="U7" s="17"/>
      <c r="V7" s="17"/>
      <c r="W7" s="17"/>
      <c r="X7" s="17"/>
      <c r="Y7" s="17"/>
      <c r="Z7" s="17"/>
      <c r="AA7" s="17"/>
      <c r="AB7" s="18" t="s">
        <v>69</v>
      </c>
      <c r="AC7" s="22"/>
    </row>
    <row r="8" spans="1:49" ht="30.75" customHeight="1">
      <c r="A8" s="8" t="s">
        <v>70</v>
      </c>
      <c r="B8" s="8" t="s">
        <v>30</v>
      </c>
      <c r="C8" s="8" t="s">
        <v>71</v>
      </c>
      <c r="D8" s="9" t="s">
        <v>32</v>
      </c>
      <c r="E8" s="9" t="s">
        <v>33</v>
      </c>
      <c r="F8" s="8" t="s">
        <v>72</v>
      </c>
      <c r="G8" s="10" t="str">
        <f>HLOOKUP($F8,'Sensor Type Details'!$B$1:$R$4,G$1+1)</f>
        <v>Sensor</v>
      </c>
      <c r="H8" s="10" t="str">
        <f>HLOOKUP($F8,'Sensor Type Details'!$B$1:$R$4,H$1+1)</f>
        <v>IQNexus</v>
      </c>
      <c r="I8" s="10" t="str">
        <f>HLOOKUP($F8,'Sensor Type Details'!$B$1:$R$4,I$1+1)</f>
        <v>SenPulse-PCT-3A-LR-S</v>
      </c>
      <c r="J8" s="15"/>
      <c r="K8" s="12" t="s">
        <v>73</v>
      </c>
      <c r="L8" s="12" t="s">
        <v>74</v>
      </c>
      <c r="M8" s="12" t="s">
        <v>75</v>
      </c>
      <c r="N8" s="13"/>
      <c r="O8" s="13"/>
      <c r="P8" s="13"/>
      <c r="Q8" s="12" t="s">
        <v>76</v>
      </c>
      <c r="R8" s="16" t="s">
        <v>44</v>
      </c>
      <c r="S8" s="16" t="s">
        <v>44</v>
      </c>
      <c r="T8" s="15"/>
      <c r="U8" s="17"/>
      <c r="V8" s="17"/>
      <c r="W8" s="17"/>
      <c r="X8" s="17"/>
      <c r="Y8" s="17"/>
      <c r="Z8" s="17"/>
      <c r="AA8" s="17"/>
      <c r="AB8" s="18" t="s">
        <v>77</v>
      </c>
      <c r="AC8" s="18"/>
    </row>
    <row r="9" spans="1:49" ht="30.75" customHeight="1">
      <c r="A9" s="23"/>
      <c r="B9" s="23"/>
      <c r="C9" s="23"/>
      <c r="D9" s="23"/>
      <c r="E9" s="23"/>
      <c r="F9" s="23"/>
      <c r="G9" s="23"/>
      <c r="H9" s="23"/>
      <c r="I9" s="23"/>
      <c r="J9" s="24"/>
      <c r="K9" s="25"/>
      <c r="L9" s="25">
        <v>101010101010101</v>
      </c>
      <c r="M9" s="25"/>
      <c r="N9" s="13"/>
      <c r="O9" s="13"/>
      <c r="P9" s="13"/>
      <c r="Q9" s="12"/>
      <c r="R9" s="16"/>
      <c r="S9" s="16"/>
      <c r="T9" s="15"/>
      <c r="U9" s="17"/>
      <c r="V9" s="17"/>
      <c r="W9" s="17"/>
      <c r="X9" s="17"/>
      <c r="Y9" s="17"/>
      <c r="Z9" s="17"/>
      <c r="AA9" s="17"/>
      <c r="AB9" s="18"/>
      <c r="AC9" s="18"/>
    </row>
    <row r="10" spans="1:49" ht="30.75" customHeight="1">
      <c r="A10" s="240" t="s">
        <v>78</v>
      </c>
      <c r="B10" s="234"/>
      <c r="C10" s="234"/>
      <c r="D10" s="234"/>
      <c r="E10" s="234"/>
      <c r="F10" s="234"/>
      <c r="G10" s="234"/>
      <c r="H10" s="234"/>
      <c r="I10" s="234"/>
      <c r="J10" s="234"/>
      <c r="K10" s="234"/>
      <c r="L10" s="234"/>
      <c r="M10" s="234"/>
      <c r="N10" s="234"/>
      <c r="O10" s="234"/>
      <c r="P10" s="234"/>
      <c r="Q10" s="234"/>
      <c r="R10" s="234"/>
      <c r="S10" s="234"/>
      <c r="T10" s="234"/>
      <c r="U10" s="234"/>
      <c r="V10" s="234"/>
      <c r="W10" s="234"/>
      <c r="X10" s="234"/>
      <c r="Y10" s="234"/>
      <c r="Z10" s="234"/>
      <c r="AA10" s="234"/>
      <c r="AB10" s="234"/>
      <c r="AC10" s="235"/>
      <c r="AD10" s="26"/>
      <c r="AE10" s="26"/>
      <c r="AF10" s="26"/>
      <c r="AG10" s="26"/>
      <c r="AH10" s="26"/>
      <c r="AI10" s="26"/>
      <c r="AJ10" s="26"/>
      <c r="AK10" s="26"/>
      <c r="AL10" s="26"/>
      <c r="AM10" s="26"/>
      <c r="AN10" s="26"/>
      <c r="AO10" s="26"/>
      <c r="AP10" s="26"/>
      <c r="AQ10" s="26"/>
      <c r="AR10" s="26"/>
      <c r="AS10" s="26"/>
      <c r="AT10" s="26"/>
      <c r="AU10" s="26"/>
      <c r="AV10" s="27"/>
      <c r="AW10" s="27"/>
    </row>
    <row r="11" spans="1:49" ht="30.75" customHeight="1">
      <c r="A11" s="8" t="s">
        <v>79</v>
      </c>
      <c r="B11" s="28" t="s">
        <v>80</v>
      </c>
      <c r="C11" s="8" t="s">
        <v>81</v>
      </c>
      <c r="D11" s="8">
        <v>8.6995000000000005</v>
      </c>
      <c r="E11" s="8">
        <v>39.9437</v>
      </c>
      <c r="F11" s="8" t="s">
        <v>34</v>
      </c>
      <c r="G11" s="10" t="str">
        <f>HLOOKUP($F11,'Sensor Type Details'!$B$1:$R$4,G$1+1)</f>
        <v>Gateway</v>
      </c>
      <c r="H11" s="10" t="str">
        <f>HLOOKUP($F11,'Sensor Type Details'!$B$1:$R$4,H$1+1)</f>
        <v>Rackwireless</v>
      </c>
      <c r="I11" s="10" t="str">
        <f>HLOOKUP($F11,'Sensor Type Details'!$B$1:$R$4,I$1+1)</f>
        <v>RAK7240</v>
      </c>
      <c r="J11" s="15"/>
      <c r="K11" s="12" t="s">
        <v>82</v>
      </c>
      <c r="L11" s="12" t="s">
        <v>83</v>
      </c>
      <c r="M11" s="13"/>
      <c r="N11" s="13"/>
      <c r="O11" s="13"/>
      <c r="P11" s="13"/>
      <c r="Q11" s="13"/>
      <c r="R11" s="13"/>
      <c r="S11" s="13"/>
      <c r="T11" s="15"/>
      <c r="U11" s="14"/>
      <c r="V11" s="14"/>
      <c r="W11" s="14"/>
      <c r="X11" s="14"/>
      <c r="Y11" s="14"/>
      <c r="Z11" s="14"/>
      <c r="AA11" s="14"/>
      <c r="AB11" s="14"/>
      <c r="AC11" s="20"/>
      <c r="AD11" s="27"/>
      <c r="AE11" s="27"/>
      <c r="AF11" s="27"/>
      <c r="AG11" s="27"/>
      <c r="AH11" s="27"/>
      <c r="AI11" s="27"/>
      <c r="AJ11" s="27"/>
      <c r="AK11" s="27"/>
      <c r="AL11" s="27"/>
      <c r="AM11" s="27"/>
      <c r="AN11" s="27"/>
      <c r="AO11" s="27"/>
      <c r="AP11" s="27"/>
      <c r="AQ11" s="27"/>
      <c r="AR11" s="27"/>
      <c r="AS11" s="27"/>
      <c r="AT11" s="27"/>
      <c r="AU11" s="27"/>
      <c r="AV11" s="27"/>
      <c r="AW11" s="27"/>
    </row>
    <row r="12" spans="1:49" ht="30.75" customHeight="1">
      <c r="A12" s="8" t="s">
        <v>84</v>
      </c>
      <c r="B12" s="28" t="s">
        <v>80</v>
      </c>
      <c r="C12" s="8" t="s">
        <v>85</v>
      </c>
      <c r="D12" s="8">
        <v>8.5534999999999997</v>
      </c>
      <c r="E12" s="29">
        <v>39.778799999999997</v>
      </c>
      <c r="F12" s="8" t="s">
        <v>34</v>
      </c>
      <c r="G12" s="10" t="str">
        <f>HLOOKUP($F12,'Sensor Type Details'!$B$1:$R$4,G$1+1)</f>
        <v>Gateway</v>
      </c>
      <c r="H12" s="10" t="str">
        <f>HLOOKUP($F12,'Sensor Type Details'!$B$1:$R$4,H$1+1)</f>
        <v>Rackwireless</v>
      </c>
      <c r="I12" s="10" t="str">
        <f>HLOOKUP($F12,'Sensor Type Details'!$B$1:$R$4,I$1+1)</f>
        <v>RAK7240</v>
      </c>
      <c r="J12" s="15"/>
      <c r="K12" s="12" t="s">
        <v>86</v>
      </c>
      <c r="L12" s="12" t="s">
        <v>87</v>
      </c>
      <c r="M12" s="13"/>
      <c r="N12" s="13"/>
      <c r="O12" s="13"/>
      <c r="P12" s="13"/>
      <c r="Q12" s="13"/>
      <c r="R12" s="13"/>
      <c r="S12" s="13"/>
      <c r="T12" s="15"/>
      <c r="U12" s="14"/>
      <c r="V12" s="14"/>
      <c r="W12" s="14"/>
      <c r="X12" s="14"/>
      <c r="Y12" s="14"/>
      <c r="Z12" s="14"/>
      <c r="AA12" s="14"/>
      <c r="AB12" s="14"/>
      <c r="AC12" s="20"/>
      <c r="AD12" s="27"/>
      <c r="AE12" s="27"/>
      <c r="AF12" s="27"/>
      <c r="AG12" s="27"/>
      <c r="AH12" s="27"/>
      <c r="AI12" s="27"/>
      <c r="AJ12" s="27"/>
      <c r="AK12" s="27"/>
      <c r="AL12" s="27"/>
      <c r="AM12" s="27"/>
      <c r="AN12" s="27"/>
      <c r="AO12" s="27"/>
      <c r="AP12" s="27"/>
      <c r="AQ12" s="27"/>
      <c r="AR12" s="27"/>
      <c r="AS12" s="27"/>
      <c r="AT12" s="27"/>
      <c r="AU12" s="27"/>
      <c r="AV12" s="27"/>
      <c r="AW12" s="27"/>
    </row>
    <row r="13" spans="1:49" ht="30.75" customHeight="1">
      <c r="A13" s="8" t="s">
        <v>88</v>
      </c>
      <c r="B13" s="28" t="s">
        <v>80</v>
      </c>
      <c r="C13" s="8" t="s">
        <v>89</v>
      </c>
      <c r="D13" s="8">
        <v>8.5490300000000001</v>
      </c>
      <c r="E13" s="8">
        <v>39.775970000000001</v>
      </c>
      <c r="F13" s="8" t="s">
        <v>64</v>
      </c>
      <c r="G13" s="10" t="str">
        <f>HLOOKUP($F13,'Sensor Type Details'!$B$1:$R$4,G$1+1)</f>
        <v>Sensor</v>
      </c>
      <c r="H13" s="10" t="str">
        <f>HLOOKUP($F13,'Sensor Type Details'!$B$1:$R$4,H$1+1)</f>
        <v>IQNexus</v>
      </c>
      <c r="I13" s="10" t="str">
        <f>HLOOKUP($F13,'Sensor Type Details'!$B$1:$R$4,I$1+1)</f>
        <v>SenProbe - 3B-LR12</v>
      </c>
      <c r="J13" s="15"/>
      <c r="K13" s="12" t="s">
        <v>90</v>
      </c>
      <c r="L13" s="21" t="s">
        <v>66</v>
      </c>
      <c r="M13" s="12" t="s">
        <v>67</v>
      </c>
      <c r="N13" s="13"/>
      <c r="O13" s="13"/>
      <c r="P13" s="13"/>
      <c r="Q13" s="13"/>
      <c r="R13" s="16" t="s">
        <v>44</v>
      </c>
      <c r="S13" s="16"/>
      <c r="T13" s="15"/>
      <c r="U13" s="14"/>
      <c r="V13" s="14"/>
      <c r="W13" s="14"/>
      <c r="X13" s="14"/>
      <c r="Y13" s="14"/>
      <c r="Z13" s="14"/>
      <c r="AA13" s="14"/>
      <c r="AB13" s="18" t="s">
        <v>69</v>
      </c>
      <c r="AC13" s="20"/>
      <c r="AD13" s="27"/>
      <c r="AE13" s="27"/>
      <c r="AF13" s="27"/>
      <c r="AG13" s="27"/>
      <c r="AH13" s="27"/>
      <c r="AI13" s="27"/>
      <c r="AJ13" s="27"/>
      <c r="AK13" s="27"/>
      <c r="AL13" s="27"/>
      <c r="AM13" s="27"/>
      <c r="AN13" s="27"/>
      <c r="AO13" s="27"/>
      <c r="AP13" s="27"/>
      <c r="AQ13" s="27"/>
      <c r="AR13" s="27"/>
      <c r="AS13" s="27"/>
      <c r="AT13" s="27"/>
      <c r="AU13" s="27"/>
      <c r="AV13" s="27"/>
      <c r="AW13" s="27"/>
    </row>
    <row r="14" spans="1:49" ht="30.75" customHeight="1">
      <c r="A14" s="8" t="s">
        <v>91</v>
      </c>
      <c r="B14" s="28" t="s">
        <v>80</v>
      </c>
      <c r="C14" s="8" t="s">
        <v>92</v>
      </c>
      <c r="D14" s="8">
        <v>8.5485000000000007</v>
      </c>
      <c r="E14" s="8">
        <v>39.776139999999998</v>
      </c>
      <c r="F14" s="8" t="s">
        <v>64</v>
      </c>
      <c r="G14" s="10" t="str">
        <f>HLOOKUP($F14,'Sensor Type Details'!$B$1:$R$4,G$1+1)</f>
        <v>Sensor</v>
      </c>
      <c r="H14" s="10" t="str">
        <f>HLOOKUP($F14,'Sensor Type Details'!$B$1:$R$4,H$1+1)</f>
        <v>IQNexus</v>
      </c>
      <c r="I14" s="10" t="str">
        <f>HLOOKUP($F14,'Sensor Type Details'!$B$1:$R$4,I$1+1)</f>
        <v>SenProbe - 3B-LR12</v>
      </c>
      <c r="J14" s="15"/>
      <c r="K14" s="12" t="s">
        <v>93</v>
      </c>
      <c r="L14" s="21" t="s">
        <v>66</v>
      </c>
      <c r="M14" s="12" t="s">
        <v>67</v>
      </c>
      <c r="N14" s="13"/>
      <c r="O14" s="13"/>
      <c r="P14" s="13"/>
      <c r="Q14" s="13"/>
      <c r="R14" s="16" t="s">
        <v>44</v>
      </c>
      <c r="S14" s="16"/>
      <c r="T14" s="15"/>
      <c r="U14" s="14"/>
      <c r="V14" s="14"/>
      <c r="W14" s="14"/>
      <c r="X14" s="14"/>
      <c r="Y14" s="14"/>
      <c r="Z14" s="14"/>
      <c r="AA14" s="14"/>
      <c r="AB14" s="18" t="s">
        <v>69</v>
      </c>
      <c r="AC14" s="20"/>
      <c r="AD14" s="27"/>
      <c r="AE14" s="27"/>
      <c r="AF14" s="27"/>
      <c r="AG14" s="27"/>
      <c r="AH14" s="27"/>
      <c r="AI14" s="27"/>
      <c r="AJ14" s="27"/>
      <c r="AK14" s="27"/>
      <c r="AL14" s="27"/>
      <c r="AM14" s="27"/>
      <c r="AN14" s="27"/>
      <c r="AO14" s="27"/>
      <c r="AP14" s="27"/>
      <c r="AQ14" s="27"/>
      <c r="AR14" s="27"/>
      <c r="AS14" s="27"/>
      <c r="AT14" s="27"/>
      <c r="AU14" s="27"/>
      <c r="AV14" s="27"/>
      <c r="AW14" s="27"/>
    </row>
    <row r="15" spans="1:49" ht="30.75" customHeight="1">
      <c r="A15" s="8" t="s">
        <v>94</v>
      </c>
      <c r="B15" s="28" t="s">
        <v>80</v>
      </c>
      <c r="C15" s="8" t="s">
        <v>95</v>
      </c>
      <c r="D15" s="8">
        <v>8.5806939999999994</v>
      </c>
      <c r="E15" s="8">
        <v>39.761029999999998</v>
      </c>
      <c r="F15" s="8" t="s">
        <v>64</v>
      </c>
      <c r="G15" s="10" t="str">
        <f>HLOOKUP($F15,'Sensor Type Details'!$B$1:$R$4,G$1+1)</f>
        <v>Sensor</v>
      </c>
      <c r="H15" s="10" t="str">
        <f>HLOOKUP($F15,'Sensor Type Details'!$B$1:$R$4,H$1+1)</f>
        <v>IQNexus</v>
      </c>
      <c r="I15" s="10" t="str">
        <f>HLOOKUP($F15,'Sensor Type Details'!$B$1:$R$4,I$1+1)</f>
        <v>SenProbe - 3B-LR12</v>
      </c>
      <c r="J15" s="15"/>
      <c r="K15" s="12" t="s">
        <v>96</v>
      </c>
      <c r="L15" s="21" t="s">
        <v>66</v>
      </c>
      <c r="M15" s="12" t="s">
        <v>67</v>
      </c>
      <c r="N15" s="13"/>
      <c r="O15" s="13"/>
      <c r="P15" s="13"/>
      <c r="Q15" s="13"/>
      <c r="R15" s="16" t="s">
        <v>44</v>
      </c>
      <c r="S15" s="16"/>
      <c r="T15" s="15"/>
      <c r="U15" s="14"/>
      <c r="V15" s="14"/>
      <c r="W15" s="14"/>
      <c r="X15" s="14"/>
      <c r="Y15" s="14"/>
      <c r="Z15" s="14"/>
      <c r="AA15" s="14"/>
      <c r="AB15" s="18" t="s">
        <v>69</v>
      </c>
      <c r="AC15" s="20"/>
      <c r="AD15" s="27"/>
      <c r="AE15" s="27"/>
      <c r="AF15" s="27"/>
      <c r="AG15" s="27"/>
      <c r="AH15" s="27"/>
      <c r="AI15" s="27"/>
      <c r="AJ15" s="27"/>
      <c r="AK15" s="27"/>
      <c r="AL15" s="27"/>
      <c r="AM15" s="27"/>
      <c r="AN15" s="27"/>
      <c r="AO15" s="27"/>
      <c r="AP15" s="27"/>
      <c r="AQ15" s="27"/>
      <c r="AR15" s="27"/>
      <c r="AS15" s="27"/>
      <c r="AT15" s="27"/>
      <c r="AU15" s="27"/>
      <c r="AV15" s="27"/>
      <c r="AW15" s="27"/>
    </row>
    <row r="16" spans="1:49" ht="30.75" customHeight="1">
      <c r="A16" s="8" t="s">
        <v>97</v>
      </c>
      <c r="B16" s="28" t="s">
        <v>80</v>
      </c>
      <c r="C16" s="8" t="s">
        <v>98</v>
      </c>
      <c r="D16" s="8">
        <v>8.5815000000000001</v>
      </c>
      <c r="E16" s="8">
        <v>39.761389999999999</v>
      </c>
      <c r="F16" s="8" t="s">
        <v>64</v>
      </c>
      <c r="G16" s="10" t="str">
        <f>HLOOKUP($F16,'Sensor Type Details'!$B$1:$R$4,G$1+1)</f>
        <v>Sensor</v>
      </c>
      <c r="H16" s="10" t="str">
        <f>HLOOKUP($F16,'Sensor Type Details'!$B$1:$R$4,H$1+1)</f>
        <v>IQNexus</v>
      </c>
      <c r="I16" s="10" t="str">
        <f>HLOOKUP($F16,'Sensor Type Details'!$B$1:$R$4,I$1+1)</f>
        <v>SenProbe - 3B-LR12</v>
      </c>
      <c r="J16" s="15"/>
      <c r="K16" s="12" t="s">
        <v>99</v>
      </c>
      <c r="L16" s="21" t="s">
        <v>66</v>
      </c>
      <c r="M16" s="12" t="s">
        <v>67</v>
      </c>
      <c r="N16" s="13"/>
      <c r="O16" s="13"/>
      <c r="P16" s="13"/>
      <c r="Q16" s="13"/>
      <c r="R16" s="16" t="s">
        <v>44</v>
      </c>
      <c r="S16" s="16"/>
      <c r="T16" s="15"/>
      <c r="U16" s="14"/>
      <c r="V16" s="14"/>
      <c r="W16" s="14"/>
      <c r="X16" s="14"/>
      <c r="Y16" s="14"/>
      <c r="Z16" s="14"/>
      <c r="AA16" s="14"/>
      <c r="AB16" s="18" t="s">
        <v>69</v>
      </c>
      <c r="AC16" s="20"/>
      <c r="AD16" s="27"/>
      <c r="AE16" s="27"/>
      <c r="AF16" s="27"/>
      <c r="AG16" s="27"/>
      <c r="AH16" s="27"/>
      <c r="AI16" s="27"/>
      <c r="AJ16" s="27"/>
      <c r="AK16" s="27"/>
      <c r="AL16" s="27"/>
      <c r="AM16" s="27"/>
      <c r="AN16" s="27"/>
      <c r="AO16" s="27"/>
      <c r="AP16" s="27"/>
      <c r="AQ16" s="27"/>
      <c r="AR16" s="27"/>
      <c r="AS16" s="27"/>
      <c r="AT16" s="27"/>
      <c r="AU16" s="27"/>
      <c r="AV16" s="27"/>
      <c r="AW16" s="27"/>
    </row>
    <row r="17" spans="1:49" ht="30.75" customHeight="1">
      <c r="A17" s="8" t="s">
        <v>100</v>
      </c>
      <c r="B17" s="28" t="s">
        <v>80</v>
      </c>
      <c r="C17" s="8" t="s">
        <v>101</v>
      </c>
      <c r="D17" s="8">
        <v>8.6972500000000004</v>
      </c>
      <c r="E17" s="8">
        <v>39.944890000000001</v>
      </c>
      <c r="F17" s="8" t="s">
        <v>64</v>
      </c>
      <c r="G17" s="10" t="str">
        <f>HLOOKUP($F17,'Sensor Type Details'!$B$1:$R$4,G$1+1)</f>
        <v>Sensor</v>
      </c>
      <c r="H17" s="10" t="str">
        <f>HLOOKUP($F17,'Sensor Type Details'!$B$1:$R$4,H$1+1)</f>
        <v>IQNexus</v>
      </c>
      <c r="I17" s="10" t="str">
        <f>HLOOKUP($F17,'Sensor Type Details'!$B$1:$R$4,I$1+1)</f>
        <v>SenProbe - 3B-LR12</v>
      </c>
      <c r="J17" s="15"/>
      <c r="K17" s="12" t="s">
        <v>102</v>
      </c>
      <c r="L17" s="21" t="s">
        <v>66</v>
      </c>
      <c r="M17" s="12" t="s">
        <v>67</v>
      </c>
      <c r="N17" s="13"/>
      <c r="O17" s="13"/>
      <c r="P17" s="13"/>
      <c r="Q17" s="13"/>
      <c r="R17" s="16" t="s">
        <v>44</v>
      </c>
      <c r="S17" s="16"/>
      <c r="T17" s="15"/>
      <c r="U17" s="14"/>
      <c r="V17" s="14"/>
      <c r="W17" s="14"/>
      <c r="X17" s="14"/>
      <c r="Y17" s="14"/>
      <c r="Z17" s="14"/>
      <c r="AA17" s="14"/>
      <c r="AB17" s="18" t="s">
        <v>69</v>
      </c>
      <c r="AC17" s="20"/>
      <c r="AD17" s="27"/>
      <c r="AE17" s="27"/>
      <c r="AF17" s="27"/>
      <c r="AG17" s="27"/>
      <c r="AH17" s="27"/>
      <c r="AI17" s="27"/>
      <c r="AJ17" s="27"/>
      <c r="AK17" s="27"/>
      <c r="AL17" s="27"/>
      <c r="AM17" s="27"/>
      <c r="AN17" s="27"/>
      <c r="AO17" s="27"/>
      <c r="AP17" s="27"/>
      <c r="AQ17" s="27"/>
      <c r="AR17" s="27"/>
      <c r="AS17" s="27"/>
      <c r="AT17" s="27"/>
      <c r="AU17" s="27"/>
      <c r="AV17" s="27"/>
      <c r="AW17" s="27"/>
    </row>
    <row r="18" spans="1:49" ht="30.75" customHeight="1">
      <c r="A18" s="8" t="s">
        <v>103</v>
      </c>
      <c r="B18" s="28" t="s">
        <v>80</v>
      </c>
      <c r="C18" s="8" t="s">
        <v>104</v>
      </c>
      <c r="D18" s="8">
        <v>8.7036390000000008</v>
      </c>
      <c r="E18" s="8">
        <v>39.948329999999999</v>
      </c>
      <c r="F18" s="8" t="s">
        <v>64</v>
      </c>
      <c r="G18" s="10" t="str">
        <f>HLOOKUP($F18,'Sensor Type Details'!$B$1:$R$4,G$1+1)</f>
        <v>Sensor</v>
      </c>
      <c r="H18" s="10" t="str">
        <f>HLOOKUP($F18,'Sensor Type Details'!$B$1:$R$4,H$1+1)</f>
        <v>IQNexus</v>
      </c>
      <c r="I18" s="10" t="str">
        <f>HLOOKUP($F18,'Sensor Type Details'!$B$1:$R$4,I$1+1)</f>
        <v>SenProbe - 3B-LR12</v>
      </c>
      <c r="J18" s="15"/>
      <c r="K18" s="12" t="s">
        <v>105</v>
      </c>
      <c r="L18" s="21" t="s">
        <v>66</v>
      </c>
      <c r="M18" s="12" t="s">
        <v>67</v>
      </c>
      <c r="N18" s="13"/>
      <c r="O18" s="13"/>
      <c r="P18" s="13"/>
      <c r="Q18" s="13"/>
      <c r="R18" s="16" t="s">
        <v>44</v>
      </c>
      <c r="S18" s="16"/>
      <c r="T18" s="15"/>
      <c r="U18" s="14"/>
      <c r="V18" s="14"/>
      <c r="W18" s="14"/>
      <c r="X18" s="14"/>
      <c r="Y18" s="14"/>
      <c r="Z18" s="14"/>
      <c r="AA18" s="14"/>
      <c r="AB18" s="18" t="s">
        <v>69</v>
      </c>
      <c r="AC18" s="20"/>
      <c r="AD18" s="27"/>
      <c r="AE18" s="27"/>
      <c r="AF18" s="27"/>
      <c r="AG18" s="27"/>
      <c r="AH18" s="27"/>
      <c r="AI18" s="27"/>
      <c r="AJ18" s="27"/>
      <c r="AK18" s="27"/>
      <c r="AL18" s="27"/>
      <c r="AM18" s="27"/>
      <c r="AN18" s="27"/>
      <c r="AO18" s="27"/>
      <c r="AP18" s="27"/>
      <c r="AQ18" s="27"/>
      <c r="AR18" s="27"/>
      <c r="AS18" s="27"/>
      <c r="AT18" s="27"/>
      <c r="AU18" s="27"/>
      <c r="AV18" s="27"/>
      <c r="AW18" s="27"/>
    </row>
    <row r="19" spans="1:49" ht="30.75" customHeight="1">
      <c r="A19" s="8" t="s">
        <v>106</v>
      </c>
      <c r="B19" s="28" t="s">
        <v>80</v>
      </c>
      <c r="C19" s="8" t="s">
        <v>107</v>
      </c>
      <c r="D19" s="8">
        <v>8.6819199999999999</v>
      </c>
      <c r="E19" s="8">
        <v>39.948529999999998</v>
      </c>
      <c r="F19" s="8" t="s">
        <v>64</v>
      </c>
      <c r="G19" s="10" t="str">
        <f>HLOOKUP($F19,'Sensor Type Details'!$B$1:$R$4,G$1+1)</f>
        <v>Sensor</v>
      </c>
      <c r="H19" s="10" t="str">
        <f>HLOOKUP($F19,'Sensor Type Details'!$B$1:$R$4,H$1+1)</f>
        <v>IQNexus</v>
      </c>
      <c r="I19" s="10" t="str">
        <f>HLOOKUP($F19,'Sensor Type Details'!$B$1:$R$4,I$1+1)</f>
        <v>SenProbe - 3B-LR12</v>
      </c>
      <c r="J19" s="15"/>
      <c r="K19" s="12" t="s">
        <v>108</v>
      </c>
      <c r="L19" s="21" t="s">
        <v>66</v>
      </c>
      <c r="M19" s="12" t="s">
        <v>67</v>
      </c>
      <c r="N19" s="13"/>
      <c r="O19" s="13"/>
      <c r="P19" s="13"/>
      <c r="Q19" s="13"/>
      <c r="R19" s="16" t="s">
        <v>44</v>
      </c>
      <c r="S19" s="16"/>
      <c r="T19" s="15"/>
      <c r="U19" s="14"/>
      <c r="V19" s="14"/>
      <c r="W19" s="14"/>
      <c r="X19" s="14"/>
      <c r="Y19" s="14"/>
      <c r="Z19" s="14"/>
      <c r="AA19" s="14"/>
      <c r="AB19" s="18" t="s">
        <v>69</v>
      </c>
      <c r="AC19" s="20"/>
      <c r="AD19" s="27"/>
      <c r="AE19" s="27"/>
      <c r="AF19" s="27"/>
      <c r="AG19" s="27"/>
      <c r="AH19" s="27"/>
      <c r="AI19" s="27"/>
      <c r="AJ19" s="27"/>
      <c r="AK19" s="27"/>
      <c r="AL19" s="27"/>
      <c r="AM19" s="27"/>
      <c r="AN19" s="27"/>
      <c r="AO19" s="27"/>
      <c r="AP19" s="27"/>
      <c r="AQ19" s="27"/>
      <c r="AR19" s="27"/>
      <c r="AS19" s="27"/>
      <c r="AT19" s="27"/>
      <c r="AU19" s="27"/>
      <c r="AV19" s="27"/>
      <c r="AW19" s="27"/>
    </row>
    <row r="20" spans="1:49" ht="30.75" customHeight="1">
      <c r="A20" s="8" t="s">
        <v>109</v>
      </c>
      <c r="B20" s="28" t="s">
        <v>80</v>
      </c>
      <c r="C20" s="8" t="s">
        <v>110</v>
      </c>
      <c r="D20" s="8">
        <v>8.6801940000000002</v>
      </c>
      <c r="E20" s="8">
        <v>39.948689999999999</v>
      </c>
      <c r="F20" s="8" t="s">
        <v>64</v>
      </c>
      <c r="G20" s="10" t="str">
        <f>HLOOKUP($F20,'Sensor Type Details'!$B$1:$R$4,G$1+1)</f>
        <v>Sensor</v>
      </c>
      <c r="H20" s="10" t="str">
        <f>HLOOKUP($F20,'Sensor Type Details'!$B$1:$R$4,H$1+1)</f>
        <v>IQNexus</v>
      </c>
      <c r="I20" s="10" t="str">
        <f>HLOOKUP($F20,'Sensor Type Details'!$B$1:$R$4,I$1+1)</f>
        <v>SenProbe - 3B-LR12</v>
      </c>
      <c r="J20" s="15"/>
      <c r="K20" s="12" t="s">
        <v>111</v>
      </c>
      <c r="L20" s="21" t="s">
        <v>66</v>
      </c>
      <c r="M20" s="12" t="s">
        <v>67</v>
      </c>
      <c r="N20" s="13"/>
      <c r="O20" s="13"/>
      <c r="P20" s="13"/>
      <c r="Q20" s="13"/>
      <c r="R20" s="16" t="s">
        <v>44</v>
      </c>
      <c r="S20" s="16"/>
      <c r="T20" s="15"/>
      <c r="U20" s="14"/>
      <c r="V20" s="14"/>
      <c r="W20" s="14"/>
      <c r="X20" s="14"/>
      <c r="Y20" s="14"/>
      <c r="Z20" s="14"/>
      <c r="AA20" s="14"/>
      <c r="AB20" s="18" t="s">
        <v>69</v>
      </c>
      <c r="AC20" s="20"/>
      <c r="AD20" s="27"/>
      <c r="AE20" s="27"/>
      <c r="AF20" s="27"/>
      <c r="AG20" s="27"/>
      <c r="AH20" s="27"/>
      <c r="AI20" s="27"/>
      <c r="AJ20" s="27"/>
      <c r="AK20" s="27"/>
      <c r="AL20" s="27"/>
      <c r="AM20" s="27"/>
      <c r="AN20" s="27"/>
      <c r="AO20" s="27"/>
      <c r="AP20" s="27"/>
      <c r="AQ20" s="27"/>
      <c r="AR20" s="27"/>
      <c r="AS20" s="27"/>
      <c r="AT20" s="27"/>
      <c r="AU20" s="27"/>
      <c r="AV20" s="27"/>
      <c r="AW20" s="27"/>
    </row>
    <row r="21" spans="1:49" ht="30.75" customHeight="1">
      <c r="A21" s="8" t="s">
        <v>112</v>
      </c>
      <c r="B21" s="28" t="s">
        <v>80</v>
      </c>
      <c r="C21" s="8" t="s">
        <v>113</v>
      </c>
      <c r="D21" s="8">
        <v>8.5353300000000001</v>
      </c>
      <c r="E21" s="8">
        <v>39.71772</v>
      </c>
      <c r="F21" s="8" t="s">
        <v>64</v>
      </c>
      <c r="G21" s="10" t="str">
        <f>HLOOKUP($F21,'Sensor Type Details'!$B$1:$R$4,G$1+1)</f>
        <v>Sensor</v>
      </c>
      <c r="H21" s="10" t="str">
        <f>HLOOKUP($F21,'Sensor Type Details'!$B$1:$R$4,H$1+1)</f>
        <v>IQNexus</v>
      </c>
      <c r="I21" s="10" t="str">
        <f>HLOOKUP($F21,'Sensor Type Details'!$B$1:$R$4,I$1+1)</f>
        <v>SenProbe - 3B-LR12</v>
      </c>
      <c r="J21" s="15"/>
      <c r="K21" s="12" t="s">
        <v>114</v>
      </c>
      <c r="L21" s="21" t="s">
        <v>66</v>
      </c>
      <c r="M21" s="12" t="s">
        <v>67</v>
      </c>
      <c r="N21" s="13"/>
      <c r="O21" s="13"/>
      <c r="P21" s="13"/>
      <c r="Q21" s="13"/>
      <c r="R21" s="16"/>
      <c r="S21" s="16"/>
      <c r="T21" s="15"/>
      <c r="U21" s="14"/>
      <c r="V21" s="14"/>
      <c r="W21" s="14"/>
      <c r="X21" s="14"/>
      <c r="Y21" s="14"/>
      <c r="Z21" s="14"/>
      <c r="AA21" s="14"/>
      <c r="AB21" s="18" t="s">
        <v>69</v>
      </c>
      <c r="AC21" s="20"/>
      <c r="AD21" s="27"/>
      <c r="AE21" s="27"/>
      <c r="AF21" s="27"/>
      <c r="AG21" s="27"/>
      <c r="AH21" s="27"/>
      <c r="AI21" s="27"/>
      <c r="AJ21" s="27"/>
      <c r="AK21" s="27"/>
      <c r="AL21" s="27"/>
      <c r="AM21" s="27"/>
      <c r="AN21" s="27"/>
      <c r="AO21" s="27"/>
      <c r="AP21" s="27"/>
      <c r="AQ21" s="27"/>
      <c r="AR21" s="27"/>
      <c r="AS21" s="27"/>
      <c r="AT21" s="27"/>
      <c r="AU21" s="27"/>
      <c r="AV21" s="27"/>
      <c r="AW21" s="27"/>
    </row>
    <row r="22" spans="1:49" ht="30.75" customHeight="1">
      <c r="A22" s="8" t="s">
        <v>115</v>
      </c>
      <c r="B22" s="28" t="s">
        <v>80</v>
      </c>
      <c r="C22" s="8" t="s">
        <v>116</v>
      </c>
      <c r="D22" s="8">
        <v>8.5353100000000008</v>
      </c>
      <c r="E22" s="8">
        <v>39.718470000000003</v>
      </c>
      <c r="F22" s="8" t="s">
        <v>64</v>
      </c>
      <c r="G22" s="10" t="str">
        <f>HLOOKUP($F22,'Sensor Type Details'!$B$1:$R$4,G$1+1)</f>
        <v>Sensor</v>
      </c>
      <c r="H22" s="10" t="str">
        <f>HLOOKUP($F22,'Sensor Type Details'!$B$1:$R$4,H$1+1)</f>
        <v>IQNexus</v>
      </c>
      <c r="I22" s="10" t="str">
        <f>HLOOKUP($F22,'Sensor Type Details'!$B$1:$R$4,I$1+1)</f>
        <v>SenProbe - 3B-LR12</v>
      </c>
      <c r="J22" s="15"/>
      <c r="K22" s="12" t="s">
        <v>117</v>
      </c>
      <c r="L22" s="21" t="s">
        <v>66</v>
      </c>
      <c r="M22" s="12" t="s">
        <v>67</v>
      </c>
      <c r="N22" s="13"/>
      <c r="O22" s="13"/>
      <c r="P22" s="13"/>
      <c r="Q22" s="13"/>
      <c r="R22" s="16"/>
      <c r="S22" s="16"/>
      <c r="T22" s="15"/>
      <c r="U22" s="14"/>
      <c r="V22" s="14"/>
      <c r="W22" s="14"/>
      <c r="X22" s="14"/>
      <c r="Y22" s="14"/>
      <c r="Z22" s="14"/>
      <c r="AA22" s="14"/>
      <c r="AB22" s="18" t="s">
        <v>69</v>
      </c>
      <c r="AC22" s="20"/>
      <c r="AD22" s="27"/>
      <c r="AE22" s="27"/>
      <c r="AF22" s="27"/>
      <c r="AG22" s="27"/>
      <c r="AH22" s="27"/>
      <c r="AI22" s="27"/>
      <c r="AJ22" s="27"/>
      <c r="AK22" s="27"/>
      <c r="AL22" s="27"/>
      <c r="AM22" s="27"/>
      <c r="AN22" s="27"/>
      <c r="AO22" s="27"/>
      <c r="AP22" s="27"/>
      <c r="AQ22" s="27"/>
      <c r="AR22" s="27"/>
      <c r="AS22" s="27"/>
      <c r="AT22" s="27"/>
      <c r="AU22" s="27"/>
      <c r="AV22" s="27"/>
      <c r="AW22" s="27"/>
    </row>
    <row r="23" spans="1:49" ht="30.75" customHeight="1">
      <c r="A23" s="8" t="s">
        <v>118</v>
      </c>
      <c r="B23" s="28" t="s">
        <v>80</v>
      </c>
      <c r="C23" s="8" t="s">
        <v>119</v>
      </c>
      <c r="D23" s="8">
        <v>8.6972500000000004</v>
      </c>
      <c r="E23" s="8">
        <v>39.944890000000001</v>
      </c>
      <c r="F23" s="8" t="s">
        <v>120</v>
      </c>
      <c r="G23" s="10" t="str">
        <f>HLOOKUP($F23,'Sensor Type Details'!$B$1:$R$4,G$1+1)</f>
        <v>Sensor</v>
      </c>
      <c r="H23" s="10" t="str">
        <f>HLOOKUP($F23,'Sensor Type Details'!$B$1:$R$4,H$1+1)</f>
        <v>Maddalena</v>
      </c>
      <c r="I23" s="10" t="str">
        <f>HLOOKUP($F23,'Sensor Type Details'!$B$1:$R$4,I$1+1)</f>
        <v>Arrow split 2</v>
      </c>
      <c r="J23" s="15"/>
      <c r="K23" s="12" t="s">
        <v>121</v>
      </c>
      <c r="L23" s="21" t="s">
        <v>66</v>
      </c>
      <c r="M23" s="12" t="s">
        <v>122</v>
      </c>
      <c r="N23" s="13"/>
      <c r="O23" s="13"/>
      <c r="P23" s="13"/>
      <c r="Q23" s="13"/>
      <c r="R23" s="16" t="s">
        <v>44</v>
      </c>
      <c r="S23" s="16" t="s">
        <v>44</v>
      </c>
      <c r="T23" s="15"/>
      <c r="U23" s="14"/>
      <c r="V23" s="14"/>
      <c r="W23" s="14"/>
      <c r="X23" s="14"/>
      <c r="Y23" s="14"/>
      <c r="Z23" s="14"/>
      <c r="AA23" s="14"/>
      <c r="AB23" s="8" t="s">
        <v>123</v>
      </c>
      <c r="AC23" s="20"/>
      <c r="AD23" s="27"/>
      <c r="AE23" s="27"/>
      <c r="AF23" s="27"/>
      <c r="AG23" s="27"/>
      <c r="AH23" s="27"/>
      <c r="AI23" s="27"/>
      <c r="AJ23" s="27"/>
      <c r="AK23" s="27"/>
      <c r="AL23" s="27"/>
      <c r="AM23" s="27"/>
      <c r="AN23" s="27"/>
      <c r="AO23" s="27"/>
      <c r="AP23" s="27"/>
      <c r="AQ23" s="27"/>
      <c r="AR23" s="27"/>
      <c r="AS23" s="27"/>
      <c r="AT23" s="27"/>
      <c r="AU23" s="27"/>
      <c r="AV23" s="27"/>
      <c r="AW23" s="27"/>
    </row>
    <row r="24" spans="1:49" ht="30.75" customHeight="1">
      <c r="A24" s="8" t="s">
        <v>124</v>
      </c>
      <c r="B24" s="28" t="s">
        <v>80</v>
      </c>
      <c r="C24" s="8" t="s">
        <v>125</v>
      </c>
      <c r="D24" s="30"/>
      <c r="E24" s="30"/>
      <c r="F24" s="8" t="s">
        <v>120</v>
      </c>
      <c r="G24" s="10" t="str">
        <f>HLOOKUP($F24,'Sensor Type Details'!$B$1:$R$4,G$1+1)</f>
        <v>Sensor</v>
      </c>
      <c r="H24" s="10" t="str">
        <f>HLOOKUP($F24,'Sensor Type Details'!$B$1:$R$4,H$1+1)</f>
        <v>Maddalena</v>
      </c>
      <c r="I24" s="10" t="str">
        <f>HLOOKUP($F24,'Sensor Type Details'!$B$1:$R$4,I$1+1)</f>
        <v>Arrow split 2</v>
      </c>
      <c r="J24" s="15"/>
      <c r="K24" s="12" t="s">
        <v>126</v>
      </c>
      <c r="L24" s="21" t="s">
        <v>66</v>
      </c>
      <c r="M24" s="12" t="s">
        <v>127</v>
      </c>
      <c r="N24" s="13"/>
      <c r="O24" s="13"/>
      <c r="P24" s="13"/>
      <c r="Q24" s="13"/>
      <c r="R24" s="16"/>
      <c r="S24" s="16" t="s">
        <v>44</v>
      </c>
      <c r="T24" s="15"/>
      <c r="U24" s="14"/>
      <c r="V24" s="14"/>
      <c r="W24" s="14"/>
      <c r="X24" s="14"/>
      <c r="Y24" s="14"/>
      <c r="Z24" s="14"/>
      <c r="AA24" s="14"/>
      <c r="AB24" s="8" t="s">
        <v>123</v>
      </c>
      <c r="AC24" s="20"/>
      <c r="AD24" s="27"/>
      <c r="AE24" s="27"/>
      <c r="AF24" s="27"/>
      <c r="AG24" s="27"/>
      <c r="AH24" s="27"/>
      <c r="AI24" s="27"/>
      <c r="AJ24" s="27"/>
      <c r="AK24" s="27"/>
      <c r="AL24" s="27"/>
      <c r="AM24" s="27"/>
      <c r="AN24" s="27"/>
      <c r="AO24" s="27"/>
      <c r="AP24" s="27"/>
      <c r="AQ24" s="27"/>
      <c r="AR24" s="27"/>
      <c r="AS24" s="27"/>
      <c r="AT24" s="27"/>
      <c r="AU24" s="27"/>
      <c r="AV24" s="27"/>
      <c r="AW24" s="27"/>
    </row>
    <row r="25" spans="1:49" ht="30.75" customHeight="1">
      <c r="A25" s="8" t="s">
        <v>128</v>
      </c>
      <c r="B25" s="28" t="s">
        <v>80</v>
      </c>
      <c r="C25" s="8" t="s">
        <v>129</v>
      </c>
      <c r="D25" s="8">
        <v>8.6801940000000002</v>
      </c>
      <c r="E25" s="8">
        <v>39.948689999999999</v>
      </c>
      <c r="F25" s="8" t="s">
        <v>120</v>
      </c>
      <c r="G25" s="10" t="str">
        <f>HLOOKUP($F25,'Sensor Type Details'!$B$1:$R$4,G$1+1)</f>
        <v>Sensor</v>
      </c>
      <c r="H25" s="10" t="str">
        <f>HLOOKUP($F25,'Sensor Type Details'!$B$1:$R$4,H$1+1)</f>
        <v>Maddalena</v>
      </c>
      <c r="I25" s="10" t="str">
        <f>HLOOKUP($F25,'Sensor Type Details'!$B$1:$R$4,I$1+1)</f>
        <v>Arrow split 2</v>
      </c>
      <c r="J25" s="15"/>
      <c r="K25" s="12" t="s">
        <v>130</v>
      </c>
      <c r="L25" s="21" t="s">
        <v>66</v>
      </c>
      <c r="M25" s="12" t="s">
        <v>131</v>
      </c>
      <c r="N25" s="13"/>
      <c r="O25" s="13"/>
      <c r="P25" s="13"/>
      <c r="Q25" s="13"/>
      <c r="R25" s="16"/>
      <c r="S25" s="16" t="s">
        <v>44</v>
      </c>
      <c r="T25" s="15"/>
      <c r="U25" s="14"/>
      <c r="V25" s="14"/>
      <c r="W25" s="14"/>
      <c r="X25" s="14"/>
      <c r="Y25" s="14"/>
      <c r="Z25" s="14"/>
      <c r="AA25" s="14"/>
      <c r="AB25" s="8" t="s">
        <v>123</v>
      </c>
      <c r="AC25" s="20"/>
      <c r="AD25" s="27"/>
      <c r="AE25" s="27"/>
      <c r="AF25" s="27"/>
      <c r="AG25" s="27"/>
      <c r="AH25" s="27"/>
      <c r="AI25" s="27"/>
      <c r="AJ25" s="27"/>
      <c r="AK25" s="27"/>
      <c r="AL25" s="27"/>
      <c r="AM25" s="27"/>
      <c r="AN25" s="27"/>
      <c r="AO25" s="27"/>
      <c r="AP25" s="27"/>
      <c r="AQ25" s="27"/>
      <c r="AR25" s="27"/>
      <c r="AS25" s="27"/>
      <c r="AT25" s="27"/>
      <c r="AU25" s="27"/>
      <c r="AV25" s="27"/>
      <c r="AW25" s="27"/>
    </row>
    <row r="26" spans="1:49" ht="30.75" customHeight="1">
      <c r="A26" s="8" t="s">
        <v>132</v>
      </c>
      <c r="B26" s="28" t="s">
        <v>80</v>
      </c>
      <c r="C26" s="8" t="s">
        <v>133</v>
      </c>
      <c r="D26" s="8">
        <v>8.6819199999999999</v>
      </c>
      <c r="E26" s="8">
        <v>39.948529999999998</v>
      </c>
      <c r="F26" s="8" t="s">
        <v>120</v>
      </c>
      <c r="G26" s="10" t="str">
        <f>HLOOKUP($F26,'Sensor Type Details'!$B$1:$R$4,G$1+1)</f>
        <v>Sensor</v>
      </c>
      <c r="H26" s="10" t="str">
        <f>HLOOKUP($F26,'Sensor Type Details'!$B$1:$R$4,H$1+1)</f>
        <v>Maddalena</v>
      </c>
      <c r="I26" s="10" t="str">
        <f>HLOOKUP($F26,'Sensor Type Details'!$B$1:$R$4,I$1+1)</f>
        <v>Arrow split 2</v>
      </c>
      <c r="J26" s="15"/>
      <c r="K26" s="12" t="s">
        <v>134</v>
      </c>
      <c r="L26" s="21" t="s">
        <v>66</v>
      </c>
      <c r="M26" s="12" t="s">
        <v>135</v>
      </c>
      <c r="N26" s="13"/>
      <c r="O26" s="13"/>
      <c r="P26" s="13"/>
      <c r="Q26" s="13"/>
      <c r="R26" s="16"/>
      <c r="S26" s="16" t="s">
        <v>44</v>
      </c>
      <c r="T26" s="15"/>
      <c r="U26" s="14"/>
      <c r="V26" s="14"/>
      <c r="W26" s="14"/>
      <c r="X26" s="14"/>
      <c r="Y26" s="14"/>
      <c r="Z26" s="14"/>
      <c r="AA26" s="14"/>
      <c r="AB26" s="8" t="s">
        <v>123</v>
      </c>
      <c r="AC26" s="20"/>
      <c r="AD26" s="27"/>
      <c r="AE26" s="27"/>
      <c r="AF26" s="27"/>
      <c r="AG26" s="27"/>
      <c r="AH26" s="27"/>
      <c r="AI26" s="27"/>
      <c r="AJ26" s="27"/>
      <c r="AK26" s="27"/>
      <c r="AL26" s="27"/>
      <c r="AM26" s="27"/>
      <c r="AN26" s="27"/>
      <c r="AO26" s="27"/>
      <c r="AP26" s="27"/>
      <c r="AQ26" s="27"/>
      <c r="AR26" s="27"/>
      <c r="AS26" s="27"/>
      <c r="AT26" s="27"/>
      <c r="AU26" s="27"/>
      <c r="AV26" s="27"/>
      <c r="AW26" s="27"/>
    </row>
    <row r="27" spans="1:49" ht="30.75" customHeight="1">
      <c r="A27" s="8" t="s">
        <v>136</v>
      </c>
      <c r="B27" s="28" t="s">
        <v>80</v>
      </c>
      <c r="C27" s="8" t="s">
        <v>137</v>
      </c>
      <c r="D27" s="8">
        <v>8.5490300000000001</v>
      </c>
      <c r="E27" s="8">
        <v>39.775970000000001</v>
      </c>
      <c r="F27" s="8" t="s">
        <v>120</v>
      </c>
      <c r="G27" s="10" t="str">
        <f>HLOOKUP($F27,'Sensor Type Details'!$B$1:$R$4,G$1+1)</f>
        <v>Sensor</v>
      </c>
      <c r="H27" s="10" t="str">
        <f>HLOOKUP($F27,'Sensor Type Details'!$B$1:$R$4,H$1+1)</f>
        <v>Maddalena</v>
      </c>
      <c r="I27" s="10" t="str">
        <f>HLOOKUP($F27,'Sensor Type Details'!$B$1:$R$4,I$1+1)</f>
        <v>Arrow split 2</v>
      </c>
      <c r="J27" s="15"/>
      <c r="K27" s="12" t="s">
        <v>138</v>
      </c>
      <c r="L27" s="21" t="s">
        <v>66</v>
      </c>
      <c r="M27" s="12" t="s">
        <v>139</v>
      </c>
      <c r="N27" s="13"/>
      <c r="O27" s="13"/>
      <c r="P27" s="13"/>
      <c r="Q27" s="13"/>
      <c r="R27" s="16"/>
      <c r="S27" s="16" t="s">
        <v>44</v>
      </c>
      <c r="T27" s="15"/>
      <c r="U27" s="14"/>
      <c r="V27" s="14"/>
      <c r="W27" s="14"/>
      <c r="X27" s="14"/>
      <c r="Y27" s="14"/>
      <c r="Z27" s="14"/>
      <c r="AA27" s="14"/>
      <c r="AB27" s="8" t="s">
        <v>123</v>
      </c>
      <c r="AC27" s="20"/>
      <c r="AD27" s="27"/>
      <c r="AE27" s="27"/>
      <c r="AF27" s="27"/>
      <c r="AG27" s="27"/>
      <c r="AH27" s="27"/>
      <c r="AI27" s="27"/>
      <c r="AJ27" s="27"/>
      <c r="AK27" s="27"/>
      <c r="AL27" s="27"/>
      <c r="AM27" s="27"/>
      <c r="AN27" s="27"/>
      <c r="AO27" s="27"/>
      <c r="AP27" s="27"/>
      <c r="AQ27" s="27"/>
      <c r="AR27" s="27"/>
      <c r="AS27" s="27"/>
      <c r="AT27" s="27"/>
      <c r="AU27" s="27"/>
      <c r="AV27" s="27"/>
      <c r="AW27" s="27"/>
    </row>
    <row r="28" spans="1:49" ht="30.75" customHeight="1">
      <c r="A28" s="8" t="s">
        <v>140</v>
      </c>
      <c r="B28" s="28" t="s">
        <v>80</v>
      </c>
      <c r="C28" s="8" t="s">
        <v>141</v>
      </c>
      <c r="D28" s="8">
        <v>8.5485000000000007</v>
      </c>
      <c r="E28" s="8">
        <v>39.776139999999998</v>
      </c>
      <c r="F28" s="8" t="s">
        <v>120</v>
      </c>
      <c r="G28" s="10" t="str">
        <f>HLOOKUP($F28,'Sensor Type Details'!$B$1:$R$4,G$1+1)</f>
        <v>Sensor</v>
      </c>
      <c r="H28" s="10" t="str">
        <f>HLOOKUP($F28,'Sensor Type Details'!$B$1:$R$4,H$1+1)</f>
        <v>Maddalena</v>
      </c>
      <c r="I28" s="10" t="str">
        <f>HLOOKUP($F28,'Sensor Type Details'!$B$1:$R$4,I$1+1)</f>
        <v>Arrow split 2</v>
      </c>
      <c r="J28" s="15"/>
      <c r="K28" s="12" t="s">
        <v>142</v>
      </c>
      <c r="L28" s="21" t="s">
        <v>66</v>
      </c>
      <c r="M28" s="12" t="s">
        <v>143</v>
      </c>
      <c r="N28" s="13"/>
      <c r="O28" s="13"/>
      <c r="P28" s="13"/>
      <c r="Q28" s="13"/>
      <c r="R28" s="16"/>
      <c r="S28" s="16" t="s">
        <v>44</v>
      </c>
      <c r="T28" s="15"/>
      <c r="U28" s="14"/>
      <c r="V28" s="14"/>
      <c r="W28" s="14"/>
      <c r="X28" s="14"/>
      <c r="Y28" s="14"/>
      <c r="Z28" s="14"/>
      <c r="AA28" s="14"/>
      <c r="AB28" s="8" t="s">
        <v>123</v>
      </c>
      <c r="AC28" s="20"/>
      <c r="AD28" s="27"/>
      <c r="AE28" s="27"/>
      <c r="AF28" s="27"/>
      <c r="AG28" s="27"/>
      <c r="AH28" s="27"/>
      <c r="AI28" s="27"/>
      <c r="AJ28" s="27"/>
      <c r="AK28" s="27"/>
      <c r="AL28" s="27"/>
      <c r="AM28" s="27"/>
      <c r="AN28" s="27"/>
      <c r="AO28" s="27"/>
      <c r="AP28" s="27"/>
      <c r="AQ28" s="27"/>
      <c r="AR28" s="27"/>
      <c r="AS28" s="27"/>
      <c r="AT28" s="27"/>
      <c r="AU28" s="27"/>
      <c r="AV28" s="27"/>
      <c r="AW28" s="27"/>
    </row>
    <row r="29" spans="1:49" ht="30.75" customHeight="1">
      <c r="A29" s="8" t="s">
        <v>144</v>
      </c>
      <c r="B29" s="28" t="s">
        <v>80</v>
      </c>
      <c r="C29" s="8" t="s">
        <v>145</v>
      </c>
      <c r="D29" s="8">
        <v>8.5806939999999994</v>
      </c>
      <c r="E29" s="8">
        <v>39.761029999999998</v>
      </c>
      <c r="F29" s="8" t="s">
        <v>120</v>
      </c>
      <c r="G29" s="10" t="str">
        <f>HLOOKUP($F29,'Sensor Type Details'!$B$1:$R$4,G$1+1)</f>
        <v>Sensor</v>
      </c>
      <c r="H29" s="10" t="str">
        <f>HLOOKUP($F29,'Sensor Type Details'!$B$1:$R$4,H$1+1)</f>
        <v>Maddalena</v>
      </c>
      <c r="I29" s="10" t="str">
        <f>HLOOKUP($F29,'Sensor Type Details'!$B$1:$R$4,I$1+1)</f>
        <v>Arrow split 2</v>
      </c>
      <c r="J29" s="15"/>
      <c r="K29" s="12" t="s">
        <v>146</v>
      </c>
      <c r="L29" s="21" t="s">
        <v>66</v>
      </c>
      <c r="M29" s="12" t="s">
        <v>147</v>
      </c>
      <c r="N29" s="13"/>
      <c r="O29" s="13"/>
      <c r="P29" s="13"/>
      <c r="Q29" s="13"/>
      <c r="R29" s="16"/>
      <c r="S29" s="16" t="s">
        <v>44</v>
      </c>
      <c r="T29" s="15"/>
      <c r="U29" s="14"/>
      <c r="V29" s="14"/>
      <c r="W29" s="14"/>
      <c r="X29" s="14"/>
      <c r="Y29" s="14"/>
      <c r="Z29" s="14"/>
      <c r="AA29" s="14"/>
      <c r="AB29" s="8" t="s">
        <v>123</v>
      </c>
      <c r="AC29" s="20"/>
      <c r="AD29" s="27"/>
      <c r="AE29" s="27"/>
      <c r="AF29" s="27"/>
      <c r="AG29" s="27"/>
      <c r="AH29" s="27"/>
      <c r="AI29" s="27"/>
      <c r="AJ29" s="27"/>
      <c r="AK29" s="27"/>
      <c r="AL29" s="27"/>
      <c r="AM29" s="27"/>
      <c r="AN29" s="27"/>
      <c r="AO29" s="27"/>
      <c r="AP29" s="27"/>
      <c r="AQ29" s="27"/>
      <c r="AR29" s="27"/>
      <c r="AS29" s="27"/>
      <c r="AT29" s="27"/>
      <c r="AU29" s="27"/>
      <c r="AV29" s="27"/>
      <c r="AW29" s="27"/>
    </row>
    <row r="30" spans="1:49" ht="30.75" customHeight="1">
      <c r="A30" s="8" t="s">
        <v>148</v>
      </c>
      <c r="B30" s="28" t="s">
        <v>80</v>
      </c>
      <c r="C30" s="8" t="s">
        <v>149</v>
      </c>
      <c r="D30" s="8">
        <v>8.5815000000000001</v>
      </c>
      <c r="E30" s="8">
        <v>39.761389999999999</v>
      </c>
      <c r="F30" s="8" t="s">
        <v>120</v>
      </c>
      <c r="G30" s="10" t="str">
        <f>HLOOKUP($F30,'Sensor Type Details'!$B$1:$R$4,G$1+1)</f>
        <v>Sensor</v>
      </c>
      <c r="H30" s="10" t="str">
        <f>HLOOKUP($F30,'Sensor Type Details'!$B$1:$R$4,H$1+1)</f>
        <v>Maddalena</v>
      </c>
      <c r="I30" s="10" t="str">
        <f>HLOOKUP($F30,'Sensor Type Details'!$B$1:$R$4,I$1+1)</f>
        <v>Arrow split 2</v>
      </c>
      <c r="J30" s="15"/>
      <c r="K30" s="12" t="s">
        <v>150</v>
      </c>
      <c r="L30" s="21" t="s">
        <v>66</v>
      </c>
      <c r="M30" s="12" t="s">
        <v>151</v>
      </c>
      <c r="N30" s="13"/>
      <c r="O30" s="13"/>
      <c r="P30" s="13"/>
      <c r="Q30" s="13"/>
      <c r="R30" s="16"/>
      <c r="S30" s="16" t="s">
        <v>44</v>
      </c>
      <c r="T30" s="15"/>
      <c r="U30" s="14"/>
      <c r="V30" s="14"/>
      <c r="W30" s="14"/>
      <c r="X30" s="14"/>
      <c r="Y30" s="14"/>
      <c r="Z30" s="14"/>
      <c r="AA30" s="14"/>
      <c r="AB30" s="8" t="s">
        <v>123</v>
      </c>
      <c r="AC30" s="20"/>
      <c r="AD30" s="27"/>
      <c r="AE30" s="27"/>
      <c r="AF30" s="27"/>
      <c r="AG30" s="27"/>
      <c r="AH30" s="27"/>
      <c r="AI30" s="27"/>
      <c r="AJ30" s="27"/>
      <c r="AK30" s="27"/>
      <c r="AL30" s="27"/>
      <c r="AM30" s="27"/>
      <c r="AN30" s="27"/>
      <c r="AO30" s="27"/>
      <c r="AP30" s="27"/>
      <c r="AQ30" s="27"/>
      <c r="AR30" s="27"/>
      <c r="AS30" s="27"/>
      <c r="AT30" s="27"/>
      <c r="AU30" s="27"/>
      <c r="AV30" s="27"/>
      <c r="AW30" s="27"/>
    </row>
    <row r="31" spans="1:49" ht="30.75" customHeight="1">
      <c r="A31" s="8" t="s">
        <v>152</v>
      </c>
      <c r="B31" s="28" t="s">
        <v>80</v>
      </c>
      <c r="C31" s="8" t="s">
        <v>153</v>
      </c>
      <c r="D31" s="8">
        <v>8.5353300000000001</v>
      </c>
      <c r="E31" s="8">
        <v>39.71772</v>
      </c>
      <c r="F31" s="8" t="s">
        <v>120</v>
      </c>
      <c r="G31" s="10" t="str">
        <f>HLOOKUP($F31,'Sensor Type Details'!$B$1:$R$4,G$1+1)</f>
        <v>Sensor</v>
      </c>
      <c r="H31" s="10" t="str">
        <f>HLOOKUP($F31,'Sensor Type Details'!$B$1:$R$4,H$1+1)</f>
        <v>Maddalena</v>
      </c>
      <c r="I31" s="10" t="str">
        <f>HLOOKUP($F31,'Sensor Type Details'!$B$1:$R$4,I$1+1)</f>
        <v>Arrow split 2</v>
      </c>
      <c r="J31" s="15"/>
      <c r="K31" s="12" t="s">
        <v>154</v>
      </c>
      <c r="L31" s="21" t="s">
        <v>66</v>
      </c>
      <c r="M31" s="12" t="s">
        <v>155</v>
      </c>
      <c r="N31" s="13"/>
      <c r="O31" s="13"/>
      <c r="P31" s="13"/>
      <c r="Q31" s="13"/>
      <c r="R31" s="16"/>
      <c r="S31" s="16" t="s">
        <v>44</v>
      </c>
      <c r="T31" s="15"/>
      <c r="U31" s="14"/>
      <c r="V31" s="14"/>
      <c r="W31" s="14"/>
      <c r="X31" s="14"/>
      <c r="Y31" s="14"/>
      <c r="Z31" s="14"/>
      <c r="AA31" s="14"/>
      <c r="AB31" s="8" t="s">
        <v>123</v>
      </c>
      <c r="AC31" s="20"/>
      <c r="AD31" s="27"/>
      <c r="AE31" s="27"/>
      <c r="AF31" s="27"/>
      <c r="AG31" s="27"/>
      <c r="AH31" s="27"/>
      <c r="AI31" s="27"/>
      <c r="AJ31" s="27"/>
      <c r="AK31" s="27"/>
      <c r="AL31" s="27"/>
      <c r="AM31" s="27"/>
      <c r="AN31" s="27"/>
      <c r="AO31" s="27"/>
      <c r="AP31" s="27"/>
      <c r="AQ31" s="27"/>
      <c r="AR31" s="27"/>
      <c r="AS31" s="27"/>
      <c r="AT31" s="27"/>
      <c r="AU31" s="27"/>
      <c r="AV31" s="27"/>
      <c r="AW31" s="27"/>
    </row>
    <row r="32" spans="1:49" ht="30.75" customHeight="1">
      <c r="A32" s="8" t="s">
        <v>156</v>
      </c>
      <c r="B32" s="28" t="s">
        <v>80</v>
      </c>
      <c r="C32" s="8" t="s">
        <v>157</v>
      </c>
      <c r="D32" s="8">
        <v>8.5353100000000008</v>
      </c>
      <c r="E32" s="8">
        <v>39.718470000000003</v>
      </c>
      <c r="F32" s="8" t="s">
        <v>120</v>
      </c>
      <c r="G32" s="10" t="str">
        <f>HLOOKUP($F32,'Sensor Type Details'!$B$1:$R$4,G$1+1)</f>
        <v>Sensor</v>
      </c>
      <c r="H32" s="10" t="str">
        <f>HLOOKUP($F32,'Sensor Type Details'!$B$1:$R$4,H$1+1)</f>
        <v>Maddalena</v>
      </c>
      <c r="I32" s="10" t="str">
        <f>HLOOKUP($F32,'Sensor Type Details'!$B$1:$R$4,I$1+1)</f>
        <v>Arrow split 2</v>
      </c>
      <c r="J32" s="15"/>
      <c r="K32" s="12" t="s">
        <v>158</v>
      </c>
      <c r="L32" s="21" t="s">
        <v>66</v>
      </c>
      <c r="M32" s="12" t="s">
        <v>159</v>
      </c>
      <c r="N32" s="13"/>
      <c r="O32" s="13"/>
      <c r="P32" s="13"/>
      <c r="Q32" s="13"/>
      <c r="R32" s="16"/>
      <c r="S32" s="16" t="s">
        <v>44</v>
      </c>
      <c r="T32" s="15"/>
      <c r="U32" s="14"/>
      <c r="V32" s="14"/>
      <c r="W32" s="14"/>
      <c r="X32" s="14"/>
      <c r="Y32" s="14"/>
      <c r="Z32" s="14"/>
      <c r="AA32" s="14"/>
      <c r="AB32" s="8" t="s">
        <v>123</v>
      </c>
      <c r="AC32" s="20"/>
      <c r="AD32" s="27"/>
      <c r="AE32" s="27"/>
      <c r="AF32" s="27"/>
      <c r="AG32" s="27"/>
      <c r="AH32" s="27"/>
      <c r="AI32" s="27"/>
      <c r="AJ32" s="27"/>
      <c r="AK32" s="27"/>
      <c r="AL32" s="27"/>
      <c r="AM32" s="27"/>
      <c r="AN32" s="27"/>
      <c r="AO32" s="27"/>
      <c r="AP32" s="27"/>
      <c r="AQ32" s="27"/>
      <c r="AR32" s="27"/>
      <c r="AS32" s="27"/>
      <c r="AT32" s="27"/>
      <c r="AU32" s="27"/>
      <c r="AV32" s="27"/>
      <c r="AW32" s="27"/>
    </row>
    <row r="33" spans="1:49" ht="30.75" customHeight="1">
      <c r="A33" s="18" t="s">
        <v>160</v>
      </c>
      <c r="B33" s="31" t="s">
        <v>80</v>
      </c>
      <c r="C33" s="8" t="s">
        <v>161</v>
      </c>
      <c r="D33" s="32"/>
      <c r="E33" s="32"/>
      <c r="F33" s="33" t="s">
        <v>120</v>
      </c>
      <c r="G33" s="34" t="str">
        <f>HLOOKUP($F33,'Sensor Type Details'!$B$1:$R$4,G$1+1)</f>
        <v>Sensor</v>
      </c>
      <c r="H33" s="34" t="str">
        <f>HLOOKUP($F33,'Sensor Type Details'!$B$1:$R$4,H$1+1)</f>
        <v>Maddalena</v>
      </c>
      <c r="I33" s="10" t="str">
        <f>HLOOKUP($F33,'Sensor Type Details'!$B$1:$R$4,I$1+1)</f>
        <v>Arrow split 2</v>
      </c>
      <c r="J33" s="35"/>
      <c r="K33" s="12" t="s">
        <v>162</v>
      </c>
      <c r="L33" s="21" t="s">
        <v>66</v>
      </c>
      <c r="M33" s="12" t="s">
        <v>163</v>
      </c>
      <c r="N33" s="36"/>
      <c r="O33" s="36"/>
      <c r="P33" s="36"/>
      <c r="Q33" s="36"/>
      <c r="R33" s="37"/>
      <c r="S33" s="38" t="s">
        <v>44</v>
      </c>
      <c r="T33" s="35"/>
      <c r="U33" s="36"/>
      <c r="V33" s="36"/>
      <c r="W33" s="36"/>
      <c r="X33" s="36"/>
      <c r="Y33" s="36"/>
      <c r="Z33" s="36"/>
      <c r="AA33" s="36"/>
      <c r="AB33" s="33" t="s">
        <v>123</v>
      </c>
      <c r="AC33" s="37"/>
      <c r="AD33" s="26"/>
      <c r="AE33" s="26"/>
      <c r="AF33" s="26"/>
      <c r="AG33" s="26"/>
      <c r="AH33" s="26"/>
      <c r="AI33" s="26"/>
      <c r="AJ33" s="26"/>
      <c r="AK33" s="26"/>
      <c r="AL33" s="26"/>
      <c r="AM33" s="26"/>
      <c r="AN33" s="26"/>
      <c r="AO33" s="26"/>
      <c r="AP33" s="26"/>
      <c r="AQ33" s="26"/>
      <c r="AR33" s="26"/>
      <c r="AS33" s="26"/>
      <c r="AT33" s="26"/>
      <c r="AU33" s="26"/>
      <c r="AV33" s="26"/>
      <c r="AW33" s="26"/>
    </row>
    <row r="34" spans="1:49" ht="30.75" customHeight="1">
      <c r="A34" s="39" t="s">
        <v>164</v>
      </c>
      <c r="B34" s="40" t="s">
        <v>80</v>
      </c>
      <c r="C34" s="8" t="s">
        <v>165</v>
      </c>
      <c r="D34" s="41"/>
      <c r="E34" s="41"/>
      <c r="F34" s="42" t="s">
        <v>120</v>
      </c>
      <c r="G34" s="43" t="str">
        <f>HLOOKUP($F34,'Sensor Type Details'!$B$1:$R$4,G$1+1)</f>
        <v>Sensor</v>
      </c>
      <c r="H34" s="43" t="str">
        <f>HLOOKUP($F34,'Sensor Type Details'!$B$1:$R$4,H$1+1)</f>
        <v>Maddalena</v>
      </c>
      <c r="I34" s="10" t="str">
        <f>HLOOKUP($F34,'Sensor Type Details'!$B$1:$R$4,I$1+1)</f>
        <v>Arrow split 2</v>
      </c>
      <c r="J34" s="35"/>
      <c r="K34" s="12" t="s">
        <v>166</v>
      </c>
      <c r="L34" s="21" t="s">
        <v>66</v>
      </c>
      <c r="M34" s="12" t="s">
        <v>167</v>
      </c>
      <c r="N34" s="44"/>
      <c r="O34" s="44"/>
      <c r="P34" s="44"/>
      <c r="Q34" s="44"/>
      <c r="R34" s="45"/>
      <c r="S34" s="46" t="s">
        <v>44</v>
      </c>
      <c r="T34" s="35"/>
      <c r="U34" s="44"/>
      <c r="V34" s="44"/>
      <c r="W34" s="44"/>
      <c r="X34" s="44"/>
      <c r="Y34" s="44"/>
      <c r="Z34" s="44"/>
      <c r="AA34" s="44"/>
      <c r="AB34" s="42" t="s">
        <v>123</v>
      </c>
      <c r="AC34" s="45"/>
      <c r="AD34" s="26"/>
      <c r="AE34" s="26"/>
      <c r="AF34" s="26"/>
      <c r="AG34" s="26"/>
      <c r="AH34" s="26"/>
      <c r="AI34" s="26"/>
      <c r="AJ34" s="26"/>
      <c r="AK34" s="26"/>
      <c r="AL34" s="26"/>
      <c r="AM34" s="26"/>
      <c r="AN34" s="26"/>
      <c r="AO34" s="26"/>
      <c r="AP34" s="26"/>
      <c r="AQ34" s="26"/>
      <c r="AR34" s="26"/>
      <c r="AS34" s="26"/>
      <c r="AT34" s="26"/>
      <c r="AU34" s="26"/>
      <c r="AV34" s="26"/>
      <c r="AW34" s="26"/>
    </row>
    <row r="35" spans="1:49" ht="33.75" customHeight="1">
      <c r="A35" s="8" t="s">
        <v>168</v>
      </c>
      <c r="B35" s="28" t="s">
        <v>80</v>
      </c>
      <c r="C35" s="8" t="s">
        <v>169</v>
      </c>
      <c r="D35" s="8">
        <v>8.7036069999999999</v>
      </c>
      <c r="E35" s="8">
        <v>39.948300000000003</v>
      </c>
      <c r="F35" s="8" t="s">
        <v>170</v>
      </c>
      <c r="G35" s="10" t="str">
        <f>HLOOKUP($F35,'Sensor Type Details'!$B$1:$R$4,G$1+1)</f>
        <v>Sensor</v>
      </c>
      <c r="H35" s="10" t="str">
        <f>HLOOKUP($F35,'Sensor Type Details'!$B$1:$R$4,H$1+1)</f>
        <v>Nature4</v>
      </c>
      <c r="I35" s="10" t="str">
        <f>HLOOKUP($F35,'Sensor Type Details'!$B$1:$R$4,I$1+1)</f>
        <v>TTCyber</v>
      </c>
      <c r="J35" s="15"/>
      <c r="K35" s="13"/>
      <c r="L35" s="13"/>
      <c r="M35" s="13"/>
      <c r="N35" s="13"/>
      <c r="O35" s="13"/>
      <c r="P35" s="13"/>
      <c r="Q35" s="13"/>
      <c r="R35" s="14"/>
      <c r="S35" s="14"/>
      <c r="T35" s="15"/>
      <c r="U35" s="8"/>
      <c r="V35" s="8"/>
      <c r="W35" s="8"/>
      <c r="X35" s="8"/>
      <c r="Y35" s="8"/>
      <c r="Z35" s="8"/>
      <c r="AA35" s="8"/>
      <c r="AB35" s="8" t="s">
        <v>171</v>
      </c>
      <c r="AC35" s="20"/>
      <c r="AD35" s="27"/>
      <c r="AE35" s="27"/>
      <c r="AF35" s="27"/>
      <c r="AG35" s="27"/>
      <c r="AH35" s="27"/>
      <c r="AI35" s="27"/>
      <c r="AJ35" s="27"/>
      <c r="AK35" s="27"/>
      <c r="AL35" s="27"/>
      <c r="AM35" s="27"/>
      <c r="AN35" s="27"/>
      <c r="AO35" s="27"/>
      <c r="AP35" s="27"/>
      <c r="AQ35" s="27"/>
      <c r="AR35" s="27"/>
      <c r="AS35" s="27"/>
      <c r="AT35" s="27"/>
      <c r="AU35" s="27"/>
      <c r="AV35" s="27"/>
      <c r="AW35" s="27"/>
    </row>
    <row r="36" spans="1:49" ht="18.75" customHeight="1">
      <c r="A36" s="8" t="s">
        <v>172</v>
      </c>
      <c r="B36" s="28" t="s">
        <v>80</v>
      </c>
      <c r="C36" s="8" t="s">
        <v>173</v>
      </c>
      <c r="D36" s="8">
        <v>8.7036069999999999</v>
      </c>
      <c r="E36" s="8">
        <v>39.948300000000003</v>
      </c>
      <c r="F36" s="8" t="s">
        <v>170</v>
      </c>
      <c r="G36" s="10" t="str">
        <f>HLOOKUP($F36,'Sensor Type Details'!$B$1:$R$4,G$1+1)</f>
        <v>Sensor</v>
      </c>
      <c r="H36" s="10" t="str">
        <f>HLOOKUP($F36,'Sensor Type Details'!$B$1:$R$4,H$1+1)</f>
        <v>Nature4</v>
      </c>
      <c r="I36" s="10" t="str">
        <f>HLOOKUP($F36,'Sensor Type Details'!$B$1:$R$4,I$1+1)</f>
        <v>TTCyber</v>
      </c>
      <c r="J36" s="15"/>
      <c r="K36" s="13"/>
      <c r="L36" s="13"/>
      <c r="M36" s="13"/>
      <c r="N36" s="12"/>
      <c r="O36" s="12"/>
      <c r="P36" s="12"/>
      <c r="Q36" s="13"/>
      <c r="R36" s="16"/>
      <c r="S36" s="16"/>
      <c r="T36" s="15"/>
      <c r="U36" s="14"/>
      <c r="V36" s="14"/>
      <c r="W36" s="14"/>
      <c r="X36" s="14"/>
      <c r="Y36" s="14"/>
      <c r="Z36" s="14"/>
      <c r="AA36" s="14"/>
      <c r="AB36" s="8" t="s">
        <v>171</v>
      </c>
      <c r="AC36" s="20"/>
      <c r="AD36" s="27"/>
      <c r="AE36" s="27"/>
      <c r="AF36" s="27"/>
      <c r="AG36" s="27"/>
      <c r="AH36" s="27"/>
      <c r="AI36" s="27"/>
      <c r="AJ36" s="27"/>
      <c r="AK36" s="27"/>
      <c r="AL36" s="27"/>
      <c r="AM36" s="27"/>
      <c r="AN36" s="27"/>
      <c r="AO36" s="27"/>
      <c r="AP36" s="27"/>
      <c r="AQ36" s="27"/>
      <c r="AR36" s="27"/>
      <c r="AS36" s="27"/>
      <c r="AT36" s="27"/>
      <c r="AU36" s="27"/>
      <c r="AV36" s="27"/>
      <c r="AW36" s="27"/>
    </row>
    <row r="37" spans="1:49" ht="18.75" customHeight="1">
      <c r="A37" s="8" t="s">
        <v>174</v>
      </c>
      <c r="B37" s="28" t="s">
        <v>80</v>
      </c>
      <c r="C37" s="8" t="s">
        <v>175</v>
      </c>
      <c r="D37" s="8">
        <v>8.7036069999999999</v>
      </c>
      <c r="E37" s="8">
        <v>39.948300000000003</v>
      </c>
      <c r="F37" s="8" t="s">
        <v>170</v>
      </c>
      <c r="G37" s="10" t="str">
        <f>HLOOKUP($F37,'Sensor Type Details'!$B$1:$R$4,G$1+1)</f>
        <v>Sensor</v>
      </c>
      <c r="H37" s="10" t="str">
        <f>HLOOKUP($F37,'Sensor Type Details'!$B$1:$R$4,H$1+1)</f>
        <v>Nature4</v>
      </c>
      <c r="I37" s="10" t="str">
        <f>HLOOKUP($F37,'Sensor Type Details'!$B$1:$R$4,I$1+1)</f>
        <v>TTCyber</v>
      </c>
      <c r="J37" s="15"/>
      <c r="K37" s="13"/>
      <c r="L37" s="13"/>
      <c r="M37" s="13"/>
      <c r="N37" s="12"/>
      <c r="O37" s="12"/>
      <c r="P37" s="12"/>
      <c r="Q37" s="13"/>
      <c r="R37" s="16"/>
      <c r="S37" s="16"/>
      <c r="T37" s="15"/>
      <c r="U37" s="14"/>
      <c r="V37" s="14"/>
      <c r="W37" s="14"/>
      <c r="X37" s="14"/>
      <c r="Y37" s="14"/>
      <c r="Z37" s="14"/>
      <c r="AA37" s="14"/>
      <c r="AB37" s="8" t="s">
        <v>171</v>
      </c>
      <c r="AC37" s="20"/>
      <c r="AD37" s="27"/>
      <c r="AE37" s="27"/>
      <c r="AF37" s="27"/>
      <c r="AG37" s="27"/>
      <c r="AH37" s="27"/>
      <c r="AI37" s="27"/>
      <c r="AJ37" s="27"/>
      <c r="AK37" s="27"/>
      <c r="AL37" s="27"/>
      <c r="AM37" s="27"/>
      <c r="AN37" s="27"/>
      <c r="AO37" s="27"/>
      <c r="AP37" s="27"/>
      <c r="AQ37" s="27"/>
      <c r="AR37" s="27"/>
      <c r="AS37" s="27"/>
      <c r="AT37" s="27"/>
      <c r="AU37" s="27"/>
      <c r="AV37" s="27"/>
      <c r="AW37" s="27"/>
    </row>
    <row r="38" spans="1:49" ht="18.75" customHeight="1">
      <c r="A38" s="8" t="s">
        <v>176</v>
      </c>
      <c r="B38" s="28" t="s">
        <v>80</v>
      </c>
      <c r="C38" s="8" t="s">
        <v>177</v>
      </c>
      <c r="D38" s="8">
        <v>8.7036069999999999</v>
      </c>
      <c r="E38" s="8">
        <v>39.948300000000003</v>
      </c>
      <c r="F38" s="8" t="s">
        <v>170</v>
      </c>
      <c r="G38" s="10" t="str">
        <f>HLOOKUP($F38,'Sensor Type Details'!$B$1:$R$4,G$1+1)</f>
        <v>Sensor</v>
      </c>
      <c r="H38" s="10" t="str">
        <f>HLOOKUP($F38,'Sensor Type Details'!$B$1:$R$4,H$1+1)</f>
        <v>Nature4</v>
      </c>
      <c r="I38" s="10" t="str">
        <f>HLOOKUP($F38,'Sensor Type Details'!$B$1:$R$4,I$1+1)</f>
        <v>TTCyber</v>
      </c>
      <c r="J38" s="15"/>
      <c r="K38" s="13"/>
      <c r="L38" s="13"/>
      <c r="M38" s="13"/>
      <c r="N38" s="12"/>
      <c r="O38" s="12"/>
      <c r="P38" s="12"/>
      <c r="Q38" s="13"/>
      <c r="R38" s="16"/>
      <c r="S38" s="16"/>
      <c r="T38" s="15"/>
      <c r="U38" s="14"/>
      <c r="V38" s="14"/>
      <c r="W38" s="14"/>
      <c r="X38" s="14"/>
      <c r="Y38" s="14"/>
      <c r="Z38" s="14"/>
      <c r="AA38" s="14"/>
      <c r="AB38" s="8" t="s">
        <v>171</v>
      </c>
      <c r="AC38" s="20"/>
      <c r="AD38" s="27"/>
      <c r="AE38" s="27"/>
      <c r="AF38" s="27"/>
      <c r="AG38" s="27"/>
      <c r="AH38" s="27"/>
      <c r="AI38" s="27"/>
      <c r="AJ38" s="27"/>
      <c r="AK38" s="27"/>
      <c r="AL38" s="27"/>
      <c r="AM38" s="27"/>
      <c r="AN38" s="27"/>
      <c r="AO38" s="27"/>
      <c r="AP38" s="27"/>
      <c r="AQ38" s="27"/>
      <c r="AR38" s="27"/>
      <c r="AS38" s="27"/>
      <c r="AT38" s="27"/>
      <c r="AU38" s="27"/>
      <c r="AV38" s="27"/>
      <c r="AW38" s="27"/>
    </row>
    <row r="39" spans="1:49" ht="18.75" customHeight="1">
      <c r="A39" s="8" t="s">
        <v>178</v>
      </c>
      <c r="B39" s="28" t="s">
        <v>80</v>
      </c>
      <c r="C39" s="8" t="s">
        <v>179</v>
      </c>
      <c r="D39" s="8">
        <v>8.7036069999999999</v>
      </c>
      <c r="E39" s="8">
        <v>39.948300000000003</v>
      </c>
      <c r="F39" s="8" t="s">
        <v>170</v>
      </c>
      <c r="G39" s="10" t="str">
        <f>HLOOKUP($F39,'Sensor Type Details'!$B$1:$R$4,G$1+1)</f>
        <v>Sensor</v>
      </c>
      <c r="H39" s="10" t="str">
        <f>HLOOKUP($F39,'Sensor Type Details'!$B$1:$R$4,H$1+1)</f>
        <v>Nature4</v>
      </c>
      <c r="I39" s="10" t="str">
        <f>HLOOKUP($F39,'Sensor Type Details'!$B$1:$R$4,I$1+1)</f>
        <v>TTCyber</v>
      </c>
      <c r="J39" s="15"/>
      <c r="K39" s="13"/>
      <c r="L39" s="13"/>
      <c r="M39" s="13"/>
      <c r="N39" s="12"/>
      <c r="O39" s="12"/>
      <c r="P39" s="12"/>
      <c r="Q39" s="13"/>
      <c r="R39" s="16"/>
      <c r="S39" s="16"/>
      <c r="T39" s="15"/>
      <c r="U39" s="14"/>
      <c r="V39" s="14"/>
      <c r="W39" s="14"/>
      <c r="X39" s="14"/>
      <c r="Y39" s="14"/>
      <c r="Z39" s="14"/>
      <c r="AA39" s="14"/>
      <c r="AB39" s="8" t="s">
        <v>171</v>
      </c>
      <c r="AC39" s="20"/>
      <c r="AD39" s="27"/>
      <c r="AE39" s="27"/>
      <c r="AF39" s="27"/>
      <c r="AG39" s="27"/>
      <c r="AH39" s="27"/>
      <c r="AI39" s="27"/>
      <c r="AJ39" s="27"/>
      <c r="AK39" s="27"/>
      <c r="AL39" s="27"/>
      <c r="AM39" s="27"/>
      <c r="AN39" s="27"/>
      <c r="AO39" s="27"/>
      <c r="AP39" s="27"/>
      <c r="AQ39" s="27"/>
      <c r="AR39" s="27"/>
      <c r="AS39" s="27"/>
      <c r="AT39" s="27"/>
      <c r="AU39" s="27"/>
      <c r="AV39" s="27"/>
      <c r="AW39" s="27"/>
    </row>
    <row r="40" spans="1:49" ht="18.75" customHeight="1">
      <c r="A40" s="8" t="s">
        <v>180</v>
      </c>
      <c r="B40" s="28" t="s">
        <v>80</v>
      </c>
      <c r="C40" s="8" t="s">
        <v>181</v>
      </c>
      <c r="D40" s="8">
        <v>8.7036069999999999</v>
      </c>
      <c r="E40" s="8">
        <v>39.948300000000003</v>
      </c>
      <c r="F40" s="8" t="s">
        <v>170</v>
      </c>
      <c r="G40" s="10" t="str">
        <f>HLOOKUP($F40,'Sensor Type Details'!$B$1:$R$4,G$1+1)</f>
        <v>Sensor</v>
      </c>
      <c r="H40" s="10" t="str">
        <f>HLOOKUP($F40,'Sensor Type Details'!$B$1:$R$4,H$1+1)</f>
        <v>Nature4</v>
      </c>
      <c r="I40" s="10" t="str">
        <f>HLOOKUP($F40,'Sensor Type Details'!$B$1:$R$4,I$1+1)</f>
        <v>TTCyber</v>
      </c>
      <c r="J40" s="15"/>
      <c r="K40" s="13"/>
      <c r="L40" s="13"/>
      <c r="M40" s="13"/>
      <c r="N40" s="12"/>
      <c r="O40" s="12"/>
      <c r="P40" s="12"/>
      <c r="Q40" s="13"/>
      <c r="R40" s="16"/>
      <c r="S40" s="16"/>
      <c r="T40" s="15"/>
      <c r="U40" s="14"/>
      <c r="V40" s="14"/>
      <c r="W40" s="14"/>
      <c r="X40" s="14"/>
      <c r="Y40" s="14"/>
      <c r="Z40" s="14"/>
      <c r="AA40" s="14"/>
      <c r="AB40" s="8" t="s">
        <v>171</v>
      </c>
      <c r="AC40" s="20"/>
      <c r="AD40" s="27"/>
      <c r="AE40" s="27"/>
      <c r="AF40" s="27"/>
      <c r="AG40" s="27"/>
      <c r="AH40" s="27"/>
      <c r="AI40" s="27"/>
      <c r="AJ40" s="27"/>
      <c r="AK40" s="27"/>
      <c r="AL40" s="27"/>
      <c r="AM40" s="27"/>
      <c r="AN40" s="27"/>
      <c r="AO40" s="27"/>
      <c r="AP40" s="27"/>
      <c r="AQ40" s="27"/>
      <c r="AR40" s="27"/>
      <c r="AS40" s="27"/>
      <c r="AT40" s="27"/>
      <c r="AU40" s="27"/>
      <c r="AV40" s="27"/>
      <c r="AW40" s="27"/>
    </row>
    <row r="41" spans="1:49" ht="18.75" customHeight="1">
      <c r="A41" s="8" t="s">
        <v>182</v>
      </c>
      <c r="B41" s="28" t="s">
        <v>80</v>
      </c>
      <c r="C41" s="8" t="s">
        <v>183</v>
      </c>
      <c r="D41" s="8">
        <v>8.7036049999999996</v>
      </c>
      <c r="E41" s="8">
        <v>39.948298000000001</v>
      </c>
      <c r="F41" s="8" t="s">
        <v>170</v>
      </c>
      <c r="G41" s="10" t="str">
        <f>HLOOKUP($F41,'Sensor Type Details'!$B$1:$R$4,G$1+1)</f>
        <v>Sensor</v>
      </c>
      <c r="H41" s="10" t="str">
        <f>HLOOKUP($F41,'Sensor Type Details'!$B$1:$R$4,H$1+1)</f>
        <v>Nature4</v>
      </c>
      <c r="I41" s="10" t="str">
        <f>HLOOKUP($F41,'Sensor Type Details'!$B$1:$R$4,I$1+1)</f>
        <v>TTCyber</v>
      </c>
      <c r="J41" s="15"/>
      <c r="K41" s="13"/>
      <c r="L41" s="13"/>
      <c r="M41" s="13"/>
      <c r="N41" s="12"/>
      <c r="O41" s="12"/>
      <c r="P41" s="12"/>
      <c r="Q41" s="13"/>
      <c r="R41" s="16"/>
      <c r="S41" s="16"/>
      <c r="T41" s="15"/>
      <c r="U41" s="14"/>
      <c r="V41" s="14"/>
      <c r="W41" s="14"/>
      <c r="X41" s="14"/>
      <c r="Y41" s="14"/>
      <c r="Z41" s="14"/>
      <c r="AA41" s="14"/>
      <c r="AB41" s="8" t="s">
        <v>171</v>
      </c>
      <c r="AC41" s="20"/>
      <c r="AD41" s="27"/>
      <c r="AE41" s="27"/>
      <c r="AF41" s="27"/>
      <c r="AG41" s="27"/>
      <c r="AH41" s="27"/>
      <c r="AI41" s="27"/>
      <c r="AJ41" s="27"/>
      <c r="AK41" s="27"/>
      <c r="AL41" s="27"/>
      <c r="AM41" s="27"/>
      <c r="AN41" s="27"/>
      <c r="AO41" s="27"/>
      <c r="AP41" s="27"/>
      <c r="AQ41" s="27"/>
      <c r="AR41" s="27"/>
      <c r="AS41" s="27"/>
      <c r="AT41" s="27"/>
      <c r="AU41" s="27"/>
      <c r="AV41" s="27"/>
      <c r="AW41" s="27"/>
    </row>
    <row r="42" spans="1:49" ht="18.75" customHeight="1">
      <c r="A42" s="8" t="s">
        <v>184</v>
      </c>
      <c r="B42" s="28" t="s">
        <v>80</v>
      </c>
      <c r="C42" s="8" t="s">
        <v>185</v>
      </c>
      <c r="D42" s="8">
        <v>8.7036470000000001</v>
      </c>
      <c r="E42" s="8">
        <v>39.948334000000003</v>
      </c>
      <c r="F42" s="8" t="s">
        <v>170</v>
      </c>
      <c r="G42" s="10" t="str">
        <f>HLOOKUP($F42,'Sensor Type Details'!$B$1:$R$4,G$1+1)</f>
        <v>Sensor</v>
      </c>
      <c r="H42" s="10" t="str">
        <f>HLOOKUP($F42,'Sensor Type Details'!$B$1:$R$4,H$1+1)</f>
        <v>Nature4</v>
      </c>
      <c r="I42" s="10" t="str">
        <f>HLOOKUP($F42,'Sensor Type Details'!$B$1:$R$4,I$1+1)</f>
        <v>TTCyber</v>
      </c>
      <c r="J42" s="15"/>
      <c r="K42" s="13"/>
      <c r="L42" s="13"/>
      <c r="M42" s="13"/>
      <c r="N42" s="12"/>
      <c r="O42" s="12"/>
      <c r="P42" s="12"/>
      <c r="Q42" s="13"/>
      <c r="R42" s="16"/>
      <c r="S42" s="16"/>
      <c r="T42" s="15"/>
      <c r="U42" s="14"/>
      <c r="V42" s="14"/>
      <c r="W42" s="14"/>
      <c r="X42" s="14"/>
      <c r="Y42" s="14"/>
      <c r="Z42" s="14"/>
      <c r="AA42" s="14"/>
      <c r="AB42" s="8" t="s">
        <v>171</v>
      </c>
      <c r="AC42" s="20"/>
      <c r="AD42" s="27"/>
      <c r="AE42" s="27"/>
      <c r="AF42" s="27"/>
      <c r="AG42" s="27"/>
      <c r="AH42" s="27"/>
      <c r="AI42" s="27"/>
      <c r="AJ42" s="27"/>
      <c r="AK42" s="27"/>
      <c r="AL42" s="27"/>
      <c r="AM42" s="27"/>
      <c r="AN42" s="27"/>
      <c r="AO42" s="27"/>
      <c r="AP42" s="27"/>
      <c r="AQ42" s="27"/>
      <c r="AR42" s="27"/>
      <c r="AS42" s="27"/>
      <c r="AT42" s="27"/>
      <c r="AU42" s="27"/>
      <c r="AV42" s="27"/>
      <c r="AW42" s="27"/>
    </row>
    <row r="43" spans="1:49" ht="18.75" customHeight="1">
      <c r="A43" s="8" t="s">
        <v>186</v>
      </c>
      <c r="B43" s="28" t="s">
        <v>80</v>
      </c>
      <c r="C43" s="8" t="s">
        <v>187</v>
      </c>
      <c r="D43" s="8">
        <v>8.7036470000000001</v>
      </c>
      <c r="E43" s="8">
        <v>39.948334000000003</v>
      </c>
      <c r="F43" s="8" t="s">
        <v>170</v>
      </c>
      <c r="G43" s="10" t="str">
        <f>HLOOKUP($F43,'Sensor Type Details'!$B$1:$R$4,G$1+1)</f>
        <v>Sensor</v>
      </c>
      <c r="H43" s="10" t="str">
        <f>HLOOKUP($F43,'Sensor Type Details'!$B$1:$R$4,H$1+1)</f>
        <v>Nature4</v>
      </c>
      <c r="I43" s="10" t="str">
        <f>HLOOKUP($F43,'Sensor Type Details'!$B$1:$R$4,I$1+1)</f>
        <v>TTCyber</v>
      </c>
      <c r="J43" s="15"/>
      <c r="K43" s="13"/>
      <c r="L43" s="13"/>
      <c r="M43" s="13"/>
      <c r="N43" s="12"/>
      <c r="O43" s="12"/>
      <c r="P43" s="12"/>
      <c r="Q43" s="13"/>
      <c r="R43" s="16"/>
      <c r="S43" s="16"/>
      <c r="T43" s="15"/>
      <c r="U43" s="14"/>
      <c r="V43" s="14"/>
      <c r="W43" s="14"/>
      <c r="X43" s="14"/>
      <c r="Y43" s="14"/>
      <c r="Z43" s="14"/>
      <c r="AA43" s="14"/>
      <c r="AB43" s="8" t="s">
        <v>171</v>
      </c>
      <c r="AC43" s="20"/>
      <c r="AD43" s="27"/>
      <c r="AE43" s="27"/>
      <c r="AF43" s="27"/>
      <c r="AG43" s="27"/>
      <c r="AH43" s="27"/>
      <c r="AI43" s="27"/>
      <c r="AJ43" s="27"/>
      <c r="AK43" s="27"/>
      <c r="AL43" s="27"/>
      <c r="AM43" s="27"/>
      <c r="AN43" s="27"/>
      <c r="AO43" s="27"/>
      <c r="AP43" s="27"/>
      <c r="AQ43" s="27"/>
      <c r="AR43" s="27"/>
      <c r="AS43" s="27"/>
      <c r="AT43" s="27"/>
      <c r="AU43" s="27"/>
      <c r="AV43" s="27"/>
      <c r="AW43" s="27"/>
    </row>
    <row r="44" spans="1:49" ht="18.75" customHeight="1">
      <c r="A44" s="8" t="s">
        <v>188</v>
      </c>
      <c r="B44" s="28" t="s">
        <v>80</v>
      </c>
      <c r="C44" s="8" t="s">
        <v>189</v>
      </c>
      <c r="D44" s="8">
        <v>8.7036069999999999</v>
      </c>
      <c r="E44" s="8">
        <v>39.948300000000003</v>
      </c>
      <c r="F44" s="8" t="s">
        <v>170</v>
      </c>
      <c r="G44" s="10" t="str">
        <f>HLOOKUP($F44,'Sensor Type Details'!$B$1:$R$4,G$1+1)</f>
        <v>Sensor</v>
      </c>
      <c r="H44" s="10" t="str">
        <f>HLOOKUP($F44,'Sensor Type Details'!$B$1:$R$4,H$1+1)</f>
        <v>Nature4</v>
      </c>
      <c r="I44" s="10" t="str">
        <f>HLOOKUP($F44,'Sensor Type Details'!$B$1:$R$4,I$1+1)</f>
        <v>TTCyber</v>
      </c>
      <c r="J44" s="15"/>
      <c r="K44" s="13"/>
      <c r="L44" s="13"/>
      <c r="M44" s="13"/>
      <c r="N44" s="12"/>
      <c r="O44" s="12"/>
      <c r="P44" s="12"/>
      <c r="Q44" s="13"/>
      <c r="R44" s="16"/>
      <c r="S44" s="16"/>
      <c r="T44" s="15"/>
      <c r="U44" s="14"/>
      <c r="V44" s="14"/>
      <c r="W44" s="14"/>
      <c r="X44" s="14"/>
      <c r="Y44" s="14"/>
      <c r="Z44" s="14"/>
      <c r="AA44" s="14"/>
      <c r="AB44" s="8" t="s">
        <v>171</v>
      </c>
      <c r="AC44" s="20"/>
      <c r="AD44" s="27"/>
      <c r="AE44" s="27"/>
      <c r="AF44" s="27"/>
      <c r="AG44" s="27"/>
      <c r="AH44" s="27"/>
      <c r="AI44" s="27"/>
      <c r="AJ44" s="27"/>
      <c r="AK44" s="27"/>
      <c r="AL44" s="27"/>
      <c r="AM44" s="27"/>
      <c r="AN44" s="27"/>
      <c r="AO44" s="27"/>
      <c r="AP44" s="27"/>
      <c r="AQ44" s="27"/>
      <c r="AR44" s="27"/>
      <c r="AS44" s="27"/>
      <c r="AT44" s="27"/>
      <c r="AU44" s="27"/>
      <c r="AV44" s="27"/>
      <c r="AW44" s="27"/>
    </row>
    <row r="45" spans="1:49" ht="18.75" customHeight="1">
      <c r="A45" s="8" t="s">
        <v>190</v>
      </c>
      <c r="B45" s="28" t="s">
        <v>80</v>
      </c>
      <c r="C45" s="8" t="s">
        <v>191</v>
      </c>
      <c r="D45" s="8">
        <v>8.6970279999999995</v>
      </c>
      <c r="E45" s="8">
        <v>39.944859999999998</v>
      </c>
      <c r="F45" s="8" t="s">
        <v>170</v>
      </c>
      <c r="G45" s="10" t="str">
        <f>HLOOKUP($F45,'Sensor Type Details'!$B$1:$R$4,G$1+1)</f>
        <v>Sensor</v>
      </c>
      <c r="H45" s="10" t="str">
        <f>HLOOKUP($F45,'Sensor Type Details'!$B$1:$R$4,H$1+1)</f>
        <v>Nature4</v>
      </c>
      <c r="I45" s="10" t="str">
        <f>HLOOKUP($F45,'Sensor Type Details'!$B$1:$R$4,I$1+1)</f>
        <v>TTCyber</v>
      </c>
      <c r="J45" s="15"/>
      <c r="K45" s="13"/>
      <c r="L45" s="13"/>
      <c r="M45" s="13"/>
      <c r="N45" s="12"/>
      <c r="O45" s="12"/>
      <c r="P45" s="12"/>
      <c r="Q45" s="13"/>
      <c r="R45" s="16"/>
      <c r="S45" s="16"/>
      <c r="T45" s="15"/>
      <c r="U45" s="14"/>
      <c r="V45" s="14"/>
      <c r="W45" s="14"/>
      <c r="X45" s="14"/>
      <c r="Y45" s="14"/>
      <c r="Z45" s="14"/>
      <c r="AA45" s="14"/>
      <c r="AB45" s="8" t="s">
        <v>171</v>
      </c>
      <c r="AC45" s="20"/>
      <c r="AD45" s="27"/>
      <c r="AE45" s="27"/>
      <c r="AF45" s="27"/>
      <c r="AG45" s="27"/>
      <c r="AH45" s="27"/>
      <c r="AI45" s="27"/>
      <c r="AJ45" s="27"/>
      <c r="AK45" s="27"/>
      <c r="AL45" s="27"/>
      <c r="AM45" s="27"/>
      <c r="AN45" s="27"/>
      <c r="AO45" s="27"/>
      <c r="AP45" s="27"/>
      <c r="AQ45" s="27"/>
      <c r="AR45" s="27"/>
      <c r="AS45" s="27"/>
      <c r="AT45" s="27"/>
      <c r="AU45" s="27"/>
      <c r="AV45" s="27"/>
      <c r="AW45" s="27"/>
    </row>
    <row r="46" spans="1:49" ht="18.75" customHeight="1">
      <c r="A46" s="8" t="s">
        <v>192</v>
      </c>
      <c r="B46" s="28" t="s">
        <v>80</v>
      </c>
      <c r="C46" s="8" t="s">
        <v>193</v>
      </c>
      <c r="D46" s="8">
        <v>8.6970279999999995</v>
      </c>
      <c r="E46" s="8">
        <v>39.944859999999998</v>
      </c>
      <c r="F46" s="8" t="s">
        <v>170</v>
      </c>
      <c r="G46" s="10" t="str">
        <f>HLOOKUP($F46,'Sensor Type Details'!$B$1:$R$4,G$1+1)</f>
        <v>Sensor</v>
      </c>
      <c r="H46" s="10" t="str">
        <f>HLOOKUP($F46,'Sensor Type Details'!$B$1:$R$4,H$1+1)</f>
        <v>Nature4</v>
      </c>
      <c r="I46" s="10" t="str">
        <f>HLOOKUP($F46,'Sensor Type Details'!$B$1:$R$4,I$1+1)</f>
        <v>TTCyber</v>
      </c>
      <c r="J46" s="15"/>
      <c r="K46" s="13"/>
      <c r="L46" s="13"/>
      <c r="M46" s="13"/>
      <c r="N46" s="12"/>
      <c r="O46" s="12"/>
      <c r="P46" s="12"/>
      <c r="Q46" s="13"/>
      <c r="R46" s="16"/>
      <c r="S46" s="16"/>
      <c r="T46" s="15"/>
      <c r="U46" s="14"/>
      <c r="V46" s="14"/>
      <c r="W46" s="14"/>
      <c r="X46" s="14"/>
      <c r="Y46" s="14"/>
      <c r="Z46" s="14"/>
      <c r="AA46" s="14"/>
      <c r="AB46" s="8" t="s">
        <v>171</v>
      </c>
      <c r="AC46" s="20"/>
      <c r="AD46" s="27"/>
      <c r="AE46" s="27"/>
      <c r="AF46" s="27"/>
      <c r="AG46" s="27"/>
      <c r="AH46" s="27"/>
      <c r="AI46" s="27"/>
      <c r="AJ46" s="27"/>
      <c r="AK46" s="27"/>
      <c r="AL46" s="27"/>
      <c r="AM46" s="27"/>
      <c r="AN46" s="27"/>
      <c r="AO46" s="27"/>
      <c r="AP46" s="27"/>
      <c r="AQ46" s="27"/>
      <c r="AR46" s="27"/>
      <c r="AS46" s="27"/>
      <c r="AT46" s="27"/>
      <c r="AU46" s="27"/>
      <c r="AV46" s="27"/>
      <c r="AW46" s="27"/>
    </row>
    <row r="47" spans="1:49" ht="18.75" customHeight="1">
      <c r="A47" s="8" t="s">
        <v>194</v>
      </c>
      <c r="B47" s="28" t="s">
        <v>80</v>
      </c>
      <c r="C47" s="8" t="s">
        <v>195</v>
      </c>
      <c r="D47" s="8">
        <v>8.6969309999999993</v>
      </c>
      <c r="E47" s="8">
        <v>39.944769000000001</v>
      </c>
      <c r="F47" s="8" t="s">
        <v>170</v>
      </c>
      <c r="G47" s="10" t="str">
        <f>HLOOKUP($F47,'Sensor Type Details'!$B$1:$R$4,G$1+1)</f>
        <v>Sensor</v>
      </c>
      <c r="H47" s="10" t="str">
        <f>HLOOKUP($F47,'Sensor Type Details'!$B$1:$R$4,H$1+1)</f>
        <v>Nature4</v>
      </c>
      <c r="I47" s="10" t="str">
        <f>HLOOKUP($F47,'Sensor Type Details'!$B$1:$R$4,I$1+1)</f>
        <v>TTCyber</v>
      </c>
      <c r="J47" s="15"/>
      <c r="K47" s="13"/>
      <c r="L47" s="13"/>
      <c r="M47" s="13"/>
      <c r="N47" s="12"/>
      <c r="O47" s="12"/>
      <c r="P47" s="12"/>
      <c r="Q47" s="13"/>
      <c r="R47" s="16"/>
      <c r="S47" s="16"/>
      <c r="T47" s="15"/>
      <c r="U47" s="14"/>
      <c r="V47" s="14"/>
      <c r="W47" s="14"/>
      <c r="X47" s="14"/>
      <c r="Y47" s="14"/>
      <c r="Z47" s="14"/>
      <c r="AA47" s="14"/>
      <c r="AB47" s="8" t="s">
        <v>171</v>
      </c>
      <c r="AC47" s="20"/>
      <c r="AD47" s="27"/>
      <c r="AE47" s="27"/>
      <c r="AF47" s="27"/>
      <c r="AG47" s="27"/>
      <c r="AH47" s="27"/>
      <c r="AI47" s="27"/>
      <c r="AJ47" s="27"/>
      <c r="AK47" s="27"/>
      <c r="AL47" s="27"/>
      <c r="AM47" s="27"/>
      <c r="AN47" s="27"/>
      <c r="AO47" s="27"/>
      <c r="AP47" s="27"/>
      <c r="AQ47" s="27"/>
      <c r="AR47" s="27"/>
      <c r="AS47" s="27"/>
      <c r="AT47" s="27"/>
      <c r="AU47" s="27"/>
      <c r="AV47" s="27"/>
      <c r="AW47" s="27"/>
    </row>
    <row r="48" spans="1:49" ht="18.75" customHeight="1">
      <c r="A48" s="8" t="s">
        <v>196</v>
      </c>
      <c r="B48" s="28" t="s">
        <v>80</v>
      </c>
      <c r="C48" s="8" t="s">
        <v>197</v>
      </c>
      <c r="D48" s="8">
        <v>8.6968759999999996</v>
      </c>
      <c r="E48" s="8">
        <v>39.944664000000003</v>
      </c>
      <c r="F48" s="8" t="s">
        <v>170</v>
      </c>
      <c r="G48" s="10" t="str">
        <f>HLOOKUP($F48,'Sensor Type Details'!$B$1:$R$4,G$1+1)</f>
        <v>Sensor</v>
      </c>
      <c r="H48" s="10" t="str">
        <f>HLOOKUP($F48,'Sensor Type Details'!$B$1:$R$4,H$1+1)</f>
        <v>Nature4</v>
      </c>
      <c r="I48" s="10" t="str">
        <f>HLOOKUP($F48,'Sensor Type Details'!$B$1:$R$4,I$1+1)</f>
        <v>TTCyber</v>
      </c>
      <c r="J48" s="15"/>
      <c r="K48" s="13"/>
      <c r="L48" s="13"/>
      <c r="M48" s="13"/>
      <c r="N48" s="12"/>
      <c r="O48" s="12"/>
      <c r="P48" s="12"/>
      <c r="Q48" s="13"/>
      <c r="R48" s="16"/>
      <c r="S48" s="16"/>
      <c r="T48" s="15"/>
      <c r="U48" s="14"/>
      <c r="V48" s="14"/>
      <c r="W48" s="14"/>
      <c r="X48" s="14"/>
      <c r="Y48" s="14"/>
      <c r="Z48" s="14"/>
      <c r="AA48" s="14"/>
      <c r="AB48" s="8" t="s">
        <v>171</v>
      </c>
      <c r="AC48" s="20"/>
      <c r="AD48" s="27"/>
      <c r="AE48" s="27"/>
      <c r="AF48" s="27"/>
      <c r="AG48" s="27"/>
      <c r="AH48" s="27"/>
      <c r="AI48" s="27"/>
      <c r="AJ48" s="27"/>
      <c r="AK48" s="27"/>
      <c r="AL48" s="27"/>
      <c r="AM48" s="27"/>
      <c r="AN48" s="27"/>
      <c r="AO48" s="27"/>
      <c r="AP48" s="27"/>
      <c r="AQ48" s="27"/>
      <c r="AR48" s="27"/>
      <c r="AS48" s="27"/>
      <c r="AT48" s="27"/>
      <c r="AU48" s="27"/>
      <c r="AV48" s="27"/>
      <c r="AW48" s="27"/>
    </row>
    <row r="49" spans="1:49" ht="18.75" customHeight="1">
      <c r="A49" s="8" t="s">
        <v>198</v>
      </c>
      <c r="B49" s="28" t="s">
        <v>80</v>
      </c>
      <c r="C49" s="8" t="s">
        <v>199</v>
      </c>
      <c r="D49" s="8">
        <v>8.6969930000000009</v>
      </c>
      <c r="E49" s="8">
        <v>39.944741</v>
      </c>
      <c r="F49" s="8" t="s">
        <v>170</v>
      </c>
      <c r="G49" s="10" t="str">
        <f>HLOOKUP($F49,'Sensor Type Details'!$B$1:$R$4,G$1+1)</f>
        <v>Sensor</v>
      </c>
      <c r="H49" s="10" t="str">
        <f>HLOOKUP($F49,'Sensor Type Details'!$B$1:$R$4,H$1+1)</f>
        <v>Nature4</v>
      </c>
      <c r="I49" s="10" t="str">
        <f>HLOOKUP($F49,'Sensor Type Details'!$B$1:$R$4,I$1+1)</f>
        <v>TTCyber</v>
      </c>
      <c r="J49" s="15"/>
      <c r="K49" s="13"/>
      <c r="L49" s="13"/>
      <c r="M49" s="13"/>
      <c r="N49" s="12"/>
      <c r="O49" s="12"/>
      <c r="P49" s="12"/>
      <c r="Q49" s="13"/>
      <c r="R49" s="16"/>
      <c r="S49" s="16"/>
      <c r="T49" s="15"/>
      <c r="U49" s="14"/>
      <c r="V49" s="14"/>
      <c r="W49" s="14"/>
      <c r="X49" s="14"/>
      <c r="Y49" s="14"/>
      <c r="Z49" s="14"/>
      <c r="AA49" s="14"/>
      <c r="AB49" s="8" t="s">
        <v>171</v>
      </c>
      <c r="AC49" s="20"/>
      <c r="AD49" s="27"/>
      <c r="AE49" s="27"/>
      <c r="AF49" s="27"/>
      <c r="AG49" s="27"/>
      <c r="AH49" s="27"/>
      <c r="AI49" s="27"/>
      <c r="AJ49" s="27"/>
      <c r="AK49" s="27"/>
      <c r="AL49" s="27"/>
      <c r="AM49" s="27"/>
      <c r="AN49" s="27"/>
      <c r="AO49" s="27"/>
      <c r="AP49" s="27"/>
      <c r="AQ49" s="27"/>
      <c r="AR49" s="27"/>
      <c r="AS49" s="27"/>
      <c r="AT49" s="27"/>
      <c r="AU49" s="27"/>
      <c r="AV49" s="27"/>
      <c r="AW49" s="27"/>
    </row>
    <row r="50" spans="1:49" ht="18.75" customHeight="1">
      <c r="A50" s="8" t="s">
        <v>200</v>
      </c>
      <c r="B50" s="28" t="s">
        <v>80</v>
      </c>
      <c r="C50" s="8" t="s">
        <v>201</v>
      </c>
      <c r="D50" s="8">
        <v>8.6971849999999993</v>
      </c>
      <c r="E50" s="8">
        <v>39.944741</v>
      </c>
      <c r="F50" s="8" t="s">
        <v>170</v>
      </c>
      <c r="G50" s="10" t="str">
        <f>HLOOKUP($F50,'Sensor Type Details'!$B$1:$R$4,G$1+1)</f>
        <v>Sensor</v>
      </c>
      <c r="H50" s="10" t="str">
        <f>HLOOKUP($F50,'Sensor Type Details'!$B$1:$R$4,H$1+1)</f>
        <v>Nature4</v>
      </c>
      <c r="I50" s="10" t="str">
        <f>HLOOKUP($F50,'Sensor Type Details'!$B$1:$R$4,I$1+1)</f>
        <v>TTCyber</v>
      </c>
      <c r="J50" s="15"/>
      <c r="K50" s="13"/>
      <c r="L50" s="13"/>
      <c r="M50" s="13"/>
      <c r="N50" s="12"/>
      <c r="O50" s="12"/>
      <c r="P50" s="12"/>
      <c r="Q50" s="13"/>
      <c r="R50" s="16"/>
      <c r="S50" s="16"/>
      <c r="T50" s="15"/>
      <c r="U50" s="14"/>
      <c r="V50" s="14"/>
      <c r="W50" s="14"/>
      <c r="X50" s="14"/>
      <c r="Y50" s="14"/>
      <c r="Z50" s="14"/>
      <c r="AA50" s="14"/>
      <c r="AB50" s="8" t="s">
        <v>171</v>
      </c>
      <c r="AC50" s="20"/>
      <c r="AD50" s="27"/>
      <c r="AE50" s="27"/>
      <c r="AF50" s="27"/>
      <c r="AG50" s="27"/>
      <c r="AH50" s="27"/>
      <c r="AI50" s="27"/>
      <c r="AJ50" s="27"/>
      <c r="AK50" s="27"/>
      <c r="AL50" s="27"/>
      <c r="AM50" s="27"/>
      <c r="AN50" s="27"/>
      <c r="AO50" s="27"/>
      <c r="AP50" s="27"/>
      <c r="AQ50" s="27"/>
      <c r="AR50" s="27"/>
      <c r="AS50" s="27"/>
      <c r="AT50" s="27"/>
      <c r="AU50" s="27"/>
      <c r="AV50" s="27"/>
      <c r="AW50" s="27"/>
    </row>
    <row r="51" spans="1:49" ht="18.75" customHeight="1">
      <c r="A51" s="8" t="s">
        <v>202</v>
      </c>
      <c r="B51" s="28" t="s">
        <v>80</v>
      </c>
      <c r="C51" s="8" t="s">
        <v>203</v>
      </c>
      <c r="D51" s="8">
        <v>8.6971849999999993</v>
      </c>
      <c r="E51" s="8">
        <v>39.944741</v>
      </c>
      <c r="F51" s="8" t="s">
        <v>170</v>
      </c>
      <c r="G51" s="10" t="str">
        <f>HLOOKUP($F51,'Sensor Type Details'!$B$1:$R$4,G$1+1)</f>
        <v>Sensor</v>
      </c>
      <c r="H51" s="10" t="str">
        <f>HLOOKUP($F51,'Sensor Type Details'!$B$1:$R$4,H$1+1)</f>
        <v>Nature4</v>
      </c>
      <c r="I51" s="10" t="str">
        <f>HLOOKUP($F51,'Sensor Type Details'!$B$1:$R$4,I$1+1)</f>
        <v>TTCyber</v>
      </c>
      <c r="J51" s="15"/>
      <c r="K51" s="13"/>
      <c r="L51" s="13"/>
      <c r="M51" s="13"/>
      <c r="N51" s="12"/>
      <c r="O51" s="12"/>
      <c r="P51" s="12"/>
      <c r="Q51" s="13"/>
      <c r="R51" s="16"/>
      <c r="S51" s="16"/>
      <c r="T51" s="15"/>
      <c r="U51" s="14"/>
      <c r="V51" s="14"/>
      <c r="W51" s="14"/>
      <c r="X51" s="14"/>
      <c r="Y51" s="14"/>
      <c r="Z51" s="14"/>
      <c r="AA51" s="14"/>
      <c r="AB51" s="8" t="s">
        <v>171</v>
      </c>
      <c r="AC51" s="20"/>
      <c r="AD51" s="27"/>
      <c r="AE51" s="27"/>
      <c r="AF51" s="27"/>
      <c r="AG51" s="27"/>
      <c r="AH51" s="27"/>
      <c r="AI51" s="27"/>
      <c r="AJ51" s="27"/>
      <c r="AK51" s="27"/>
      <c r="AL51" s="27"/>
      <c r="AM51" s="27"/>
      <c r="AN51" s="27"/>
      <c r="AO51" s="27"/>
      <c r="AP51" s="27"/>
      <c r="AQ51" s="27"/>
      <c r="AR51" s="27"/>
      <c r="AS51" s="27"/>
      <c r="AT51" s="27"/>
      <c r="AU51" s="27"/>
      <c r="AV51" s="27"/>
      <c r="AW51" s="27"/>
    </row>
    <row r="52" spans="1:49" ht="18.75" customHeight="1">
      <c r="A52" s="8" t="s">
        <v>204</v>
      </c>
      <c r="B52" s="28" t="s">
        <v>80</v>
      </c>
      <c r="C52" s="8" t="s">
        <v>205</v>
      </c>
      <c r="D52" s="8">
        <v>8.6968490000000003</v>
      </c>
      <c r="E52" s="8">
        <v>39.944577000000002</v>
      </c>
      <c r="F52" s="8" t="s">
        <v>170</v>
      </c>
      <c r="G52" s="10" t="str">
        <f>HLOOKUP($F52,'Sensor Type Details'!$B$1:$R$4,G$1+1)</f>
        <v>Sensor</v>
      </c>
      <c r="H52" s="10" t="str">
        <f>HLOOKUP($F52,'Sensor Type Details'!$B$1:$R$4,H$1+1)</f>
        <v>Nature4</v>
      </c>
      <c r="I52" s="10" t="str">
        <f>HLOOKUP($F52,'Sensor Type Details'!$B$1:$R$4,I$1+1)</f>
        <v>TTCyber</v>
      </c>
      <c r="J52" s="15"/>
      <c r="K52" s="13"/>
      <c r="L52" s="13"/>
      <c r="M52" s="13"/>
      <c r="N52" s="12"/>
      <c r="O52" s="12"/>
      <c r="P52" s="12"/>
      <c r="Q52" s="13"/>
      <c r="R52" s="16"/>
      <c r="S52" s="16"/>
      <c r="T52" s="15"/>
      <c r="U52" s="14"/>
      <c r="V52" s="14"/>
      <c r="W52" s="14"/>
      <c r="X52" s="14"/>
      <c r="Y52" s="14"/>
      <c r="Z52" s="14"/>
      <c r="AA52" s="14"/>
      <c r="AB52" s="8" t="s">
        <v>171</v>
      </c>
      <c r="AC52" s="20"/>
      <c r="AD52" s="27"/>
      <c r="AE52" s="27"/>
      <c r="AF52" s="27"/>
      <c r="AG52" s="27"/>
      <c r="AH52" s="27"/>
      <c r="AI52" s="27"/>
      <c r="AJ52" s="27"/>
      <c r="AK52" s="27"/>
      <c r="AL52" s="27"/>
      <c r="AM52" s="27"/>
      <c r="AN52" s="27"/>
      <c r="AO52" s="27"/>
      <c r="AP52" s="27"/>
      <c r="AQ52" s="27"/>
      <c r="AR52" s="27"/>
      <c r="AS52" s="27"/>
      <c r="AT52" s="27"/>
      <c r="AU52" s="27"/>
      <c r="AV52" s="27"/>
      <c r="AW52" s="27"/>
    </row>
    <row r="53" spans="1:49" ht="18.75" customHeight="1">
      <c r="A53" s="8" t="s">
        <v>206</v>
      </c>
      <c r="B53" s="28" t="s">
        <v>80</v>
      </c>
      <c r="C53" s="8" t="s">
        <v>207</v>
      </c>
      <c r="D53" s="8">
        <v>8.6969440000000002</v>
      </c>
      <c r="E53" s="8">
        <v>39.944643999999997</v>
      </c>
      <c r="F53" s="8" t="s">
        <v>170</v>
      </c>
      <c r="G53" s="10" t="str">
        <f>HLOOKUP($F53,'Sensor Type Details'!$B$1:$R$4,G$1+1)</f>
        <v>Sensor</v>
      </c>
      <c r="H53" s="10" t="str">
        <f>HLOOKUP($F53,'Sensor Type Details'!$B$1:$R$4,H$1+1)</f>
        <v>Nature4</v>
      </c>
      <c r="I53" s="10" t="str">
        <f>HLOOKUP($F53,'Sensor Type Details'!$B$1:$R$4,I$1+1)</f>
        <v>TTCyber</v>
      </c>
      <c r="J53" s="15"/>
      <c r="K53" s="13"/>
      <c r="L53" s="13"/>
      <c r="M53" s="13"/>
      <c r="N53" s="12"/>
      <c r="O53" s="12"/>
      <c r="P53" s="12"/>
      <c r="Q53" s="13"/>
      <c r="R53" s="16"/>
      <c r="S53" s="16"/>
      <c r="T53" s="15"/>
      <c r="U53" s="14"/>
      <c r="V53" s="14"/>
      <c r="W53" s="14"/>
      <c r="X53" s="14"/>
      <c r="Y53" s="14"/>
      <c r="Z53" s="14"/>
      <c r="AA53" s="14"/>
      <c r="AB53" s="8" t="s">
        <v>171</v>
      </c>
      <c r="AC53" s="20"/>
      <c r="AD53" s="27"/>
      <c r="AE53" s="27"/>
      <c r="AF53" s="27"/>
      <c r="AG53" s="27"/>
      <c r="AH53" s="27"/>
      <c r="AI53" s="27"/>
      <c r="AJ53" s="27"/>
      <c r="AK53" s="27"/>
      <c r="AL53" s="27"/>
      <c r="AM53" s="27"/>
      <c r="AN53" s="27"/>
      <c r="AO53" s="27"/>
      <c r="AP53" s="27"/>
      <c r="AQ53" s="27"/>
      <c r="AR53" s="27"/>
      <c r="AS53" s="27"/>
      <c r="AT53" s="27"/>
      <c r="AU53" s="27"/>
      <c r="AV53" s="27"/>
      <c r="AW53" s="27"/>
    </row>
    <row r="54" spans="1:49" ht="18.75" customHeight="1">
      <c r="A54" s="8" t="s">
        <v>208</v>
      </c>
      <c r="B54" s="28" t="s">
        <v>80</v>
      </c>
      <c r="C54" s="8" t="s">
        <v>209</v>
      </c>
      <c r="D54" s="8">
        <v>8.6968490000000003</v>
      </c>
      <c r="E54" s="8">
        <v>39.944577000000002</v>
      </c>
      <c r="F54" s="8" t="s">
        <v>170</v>
      </c>
      <c r="G54" s="10" t="str">
        <f>HLOOKUP($F54,'Sensor Type Details'!$B$1:$R$4,G$1+1)</f>
        <v>Sensor</v>
      </c>
      <c r="H54" s="10" t="str">
        <f>HLOOKUP($F54,'Sensor Type Details'!$B$1:$R$4,H$1+1)</f>
        <v>Nature4</v>
      </c>
      <c r="I54" s="10" t="str">
        <f>HLOOKUP($F54,'Sensor Type Details'!$B$1:$R$4,I$1+1)</f>
        <v>TTCyber</v>
      </c>
      <c r="J54" s="15"/>
      <c r="K54" s="13"/>
      <c r="L54" s="13"/>
      <c r="M54" s="13"/>
      <c r="N54" s="12"/>
      <c r="O54" s="12"/>
      <c r="P54" s="12"/>
      <c r="Q54" s="13"/>
      <c r="R54" s="16"/>
      <c r="S54" s="16"/>
      <c r="T54" s="15"/>
      <c r="U54" s="14"/>
      <c r="V54" s="14"/>
      <c r="W54" s="14"/>
      <c r="X54" s="14"/>
      <c r="Y54" s="14"/>
      <c r="Z54" s="14"/>
      <c r="AA54" s="14"/>
      <c r="AB54" s="8" t="s">
        <v>171</v>
      </c>
      <c r="AC54" s="20"/>
      <c r="AD54" s="27"/>
      <c r="AE54" s="27"/>
      <c r="AF54" s="27"/>
      <c r="AG54" s="27"/>
      <c r="AH54" s="27"/>
      <c r="AI54" s="27"/>
      <c r="AJ54" s="27"/>
      <c r="AK54" s="27"/>
      <c r="AL54" s="27"/>
      <c r="AM54" s="27"/>
      <c r="AN54" s="27"/>
      <c r="AO54" s="27"/>
      <c r="AP54" s="27"/>
      <c r="AQ54" s="27"/>
      <c r="AR54" s="27"/>
      <c r="AS54" s="27"/>
      <c r="AT54" s="27"/>
      <c r="AU54" s="27"/>
      <c r="AV54" s="27"/>
      <c r="AW54" s="27"/>
    </row>
    <row r="55" spans="1:49" ht="18.75" customHeight="1">
      <c r="A55" s="8" t="s">
        <v>210</v>
      </c>
      <c r="B55" s="28" t="s">
        <v>80</v>
      </c>
      <c r="C55" s="8" t="s">
        <v>211</v>
      </c>
      <c r="D55" s="8">
        <v>8.6975239999999996</v>
      </c>
      <c r="E55" s="8">
        <v>39.944550999999997</v>
      </c>
      <c r="F55" s="8" t="s">
        <v>170</v>
      </c>
      <c r="G55" s="10" t="str">
        <f>HLOOKUP($F55,'Sensor Type Details'!$B$1:$R$4,G$1+1)</f>
        <v>Sensor</v>
      </c>
      <c r="H55" s="10" t="str">
        <f>HLOOKUP($F55,'Sensor Type Details'!$B$1:$R$4,H$1+1)</f>
        <v>Nature4</v>
      </c>
      <c r="I55" s="10" t="str">
        <f>HLOOKUP($F55,'Sensor Type Details'!$B$1:$R$4,I$1+1)</f>
        <v>TTCyber</v>
      </c>
      <c r="J55" s="15"/>
      <c r="K55" s="13"/>
      <c r="L55" s="13"/>
      <c r="M55" s="13"/>
      <c r="N55" s="12"/>
      <c r="O55" s="12"/>
      <c r="P55" s="12"/>
      <c r="Q55" s="13"/>
      <c r="R55" s="16"/>
      <c r="S55" s="16"/>
      <c r="T55" s="15"/>
      <c r="U55" s="14"/>
      <c r="V55" s="14"/>
      <c r="W55" s="14"/>
      <c r="X55" s="14"/>
      <c r="Y55" s="14"/>
      <c r="Z55" s="14"/>
      <c r="AA55" s="14"/>
      <c r="AB55" s="8" t="s">
        <v>171</v>
      </c>
      <c r="AC55" s="20"/>
      <c r="AD55" s="27"/>
      <c r="AE55" s="27"/>
      <c r="AF55" s="27"/>
      <c r="AG55" s="27"/>
      <c r="AH55" s="27"/>
      <c r="AI55" s="27"/>
      <c r="AJ55" s="27"/>
      <c r="AK55" s="27"/>
      <c r="AL55" s="27"/>
      <c r="AM55" s="27"/>
      <c r="AN55" s="27"/>
      <c r="AO55" s="27"/>
      <c r="AP55" s="27"/>
      <c r="AQ55" s="27"/>
      <c r="AR55" s="27"/>
      <c r="AS55" s="27"/>
      <c r="AT55" s="27"/>
      <c r="AU55" s="27"/>
      <c r="AV55" s="27"/>
      <c r="AW55" s="27"/>
    </row>
    <row r="56" spans="1:49" ht="18.75" customHeight="1">
      <c r="A56" s="8" t="s">
        <v>212</v>
      </c>
      <c r="B56" s="28" t="s">
        <v>80</v>
      </c>
      <c r="C56" s="8" t="s">
        <v>213</v>
      </c>
      <c r="D56" s="8">
        <v>8.6970270000000003</v>
      </c>
      <c r="E56" s="8">
        <v>39.944456000000002</v>
      </c>
      <c r="F56" s="8" t="s">
        <v>170</v>
      </c>
      <c r="G56" s="10" t="str">
        <f>HLOOKUP($F56,'Sensor Type Details'!$B$1:$R$4,G$1+1)</f>
        <v>Sensor</v>
      </c>
      <c r="H56" s="10" t="str">
        <f>HLOOKUP($F56,'Sensor Type Details'!$B$1:$R$4,H$1+1)</f>
        <v>Nature4</v>
      </c>
      <c r="I56" s="10" t="str">
        <f>HLOOKUP($F56,'Sensor Type Details'!$B$1:$R$4,I$1+1)</f>
        <v>TTCyber</v>
      </c>
      <c r="J56" s="15"/>
      <c r="K56" s="13"/>
      <c r="L56" s="13"/>
      <c r="M56" s="13"/>
      <c r="N56" s="12"/>
      <c r="O56" s="12"/>
      <c r="P56" s="12"/>
      <c r="Q56" s="13"/>
      <c r="R56" s="16"/>
      <c r="S56" s="16"/>
      <c r="T56" s="15"/>
      <c r="U56" s="14"/>
      <c r="V56" s="14"/>
      <c r="W56" s="14"/>
      <c r="X56" s="14"/>
      <c r="Y56" s="14"/>
      <c r="Z56" s="14"/>
      <c r="AA56" s="14"/>
      <c r="AB56" s="8" t="s">
        <v>171</v>
      </c>
      <c r="AC56" s="20"/>
      <c r="AD56" s="27"/>
      <c r="AE56" s="27"/>
      <c r="AF56" s="27"/>
      <c r="AG56" s="27"/>
      <c r="AH56" s="27"/>
      <c r="AI56" s="27"/>
      <c r="AJ56" s="27"/>
      <c r="AK56" s="27"/>
      <c r="AL56" s="27"/>
      <c r="AM56" s="27"/>
      <c r="AN56" s="27"/>
      <c r="AO56" s="27"/>
      <c r="AP56" s="27"/>
      <c r="AQ56" s="27"/>
      <c r="AR56" s="27"/>
      <c r="AS56" s="27"/>
      <c r="AT56" s="27"/>
      <c r="AU56" s="27"/>
      <c r="AV56" s="27"/>
      <c r="AW56" s="27"/>
    </row>
    <row r="57" spans="1:49" ht="18.75" customHeight="1">
      <c r="A57" s="8" t="s">
        <v>214</v>
      </c>
      <c r="B57" s="28" t="s">
        <v>80</v>
      </c>
      <c r="C57" s="8" t="s">
        <v>215</v>
      </c>
      <c r="D57" s="8">
        <v>8.6970270000000003</v>
      </c>
      <c r="E57" s="8">
        <v>39.944456000000002</v>
      </c>
      <c r="F57" s="8" t="s">
        <v>170</v>
      </c>
      <c r="G57" s="10" t="str">
        <f>HLOOKUP($F57,'Sensor Type Details'!$B$1:$R$4,G$1+1)</f>
        <v>Sensor</v>
      </c>
      <c r="H57" s="10" t="str">
        <f>HLOOKUP($F57,'Sensor Type Details'!$B$1:$R$4,H$1+1)</f>
        <v>Nature4</v>
      </c>
      <c r="I57" s="10" t="str">
        <f>HLOOKUP($F57,'Sensor Type Details'!$B$1:$R$4,I$1+1)</f>
        <v>TTCyber</v>
      </c>
      <c r="J57" s="15"/>
      <c r="K57" s="13"/>
      <c r="L57" s="13"/>
      <c r="M57" s="13"/>
      <c r="N57" s="12"/>
      <c r="O57" s="12"/>
      <c r="P57" s="12"/>
      <c r="Q57" s="13"/>
      <c r="R57" s="16"/>
      <c r="S57" s="16"/>
      <c r="T57" s="15"/>
      <c r="U57" s="14"/>
      <c r="V57" s="14"/>
      <c r="W57" s="14"/>
      <c r="X57" s="14"/>
      <c r="Y57" s="14"/>
      <c r="Z57" s="14"/>
      <c r="AA57" s="14"/>
      <c r="AB57" s="8" t="s">
        <v>171</v>
      </c>
      <c r="AC57" s="20"/>
      <c r="AD57" s="27"/>
      <c r="AE57" s="27"/>
      <c r="AF57" s="27"/>
      <c r="AG57" s="27"/>
      <c r="AH57" s="27"/>
      <c r="AI57" s="27"/>
      <c r="AJ57" s="27"/>
      <c r="AK57" s="27"/>
      <c r="AL57" s="27"/>
      <c r="AM57" s="27"/>
      <c r="AN57" s="27"/>
      <c r="AO57" s="27"/>
      <c r="AP57" s="27"/>
      <c r="AQ57" s="27"/>
      <c r="AR57" s="27"/>
      <c r="AS57" s="27"/>
      <c r="AT57" s="27"/>
      <c r="AU57" s="27"/>
      <c r="AV57" s="27"/>
      <c r="AW57" s="27"/>
    </row>
    <row r="58" spans="1:49" ht="18.75" customHeight="1">
      <c r="A58" s="8" t="s">
        <v>216</v>
      </c>
      <c r="B58" s="28" t="s">
        <v>80</v>
      </c>
      <c r="C58" s="8" t="s">
        <v>217</v>
      </c>
      <c r="D58" s="8">
        <v>8.6975239999999996</v>
      </c>
      <c r="E58" s="8">
        <v>39.944550999999997</v>
      </c>
      <c r="F58" s="8" t="s">
        <v>170</v>
      </c>
      <c r="G58" s="10" t="str">
        <f>HLOOKUP($F58,'Sensor Type Details'!$B$1:$R$4,G$1+1)</f>
        <v>Sensor</v>
      </c>
      <c r="H58" s="10" t="str">
        <f>HLOOKUP($F58,'Sensor Type Details'!$B$1:$R$4,H$1+1)</f>
        <v>Nature4</v>
      </c>
      <c r="I58" s="10" t="str">
        <f>HLOOKUP($F58,'Sensor Type Details'!$B$1:$R$4,I$1+1)</f>
        <v>TTCyber</v>
      </c>
      <c r="J58" s="15"/>
      <c r="K58" s="13"/>
      <c r="L58" s="13"/>
      <c r="M58" s="13"/>
      <c r="N58" s="12"/>
      <c r="O58" s="12"/>
      <c r="P58" s="12"/>
      <c r="Q58" s="13"/>
      <c r="R58" s="16"/>
      <c r="S58" s="16"/>
      <c r="T58" s="15"/>
      <c r="U58" s="14"/>
      <c r="V58" s="14"/>
      <c r="W58" s="14"/>
      <c r="X58" s="14"/>
      <c r="Y58" s="14"/>
      <c r="Z58" s="14"/>
      <c r="AA58" s="14"/>
      <c r="AB58" s="8" t="s">
        <v>171</v>
      </c>
      <c r="AC58" s="20"/>
      <c r="AD58" s="27"/>
      <c r="AE58" s="27"/>
      <c r="AF58" s="27"/>
      <c r="AG58" s="27"/>
      <c r="AH58" s="27"/>
      <c r="AI58" s="27"/>
      <c r="AJ58" s="27"/>
      <c r="AK58" s="27"/>
      <c r="AL58" s="27"/>
      <c r="AM58" s="27"/>
      <c r="AN58" s="27"/>
      <c r="AO58" s="27"/>
      <c r="AP58" s="27"/>
      <c r="AQ58" s="27"/>
      <c r="AR58" s="27"/>
      <c r="AS58" s="27"/>
      <c r="AT58" s="27"/>
      <c r="AU58" s="27"/>
      <c r="AV58" s="27"/>
      <c r="AW58" s="27"/>
    </row>
    <row r="59" spans="1:49" ht="18.75" customHeight="1">
      <c r="A59" s="8" t="s">
        <v>218</v>
      </c>
      <c r="B59" s="28" t="s">
        <v>80</v>
      </c>
      <c r="C59" s="8" t="s">
        <v>219</v>
      </c>
      <c r="D59" s="30">
        <v>8.6803000000000008</v>
      </c>
      <c r="E59" s="30">
        <v>39.949190000000002</v>
      </c>
      <c r="F59" s="8" t="s">
        <v>220</v>
      </c>
      <c r="G59" s="10" t="str">
        <f>HLOOKUP($F59,'Sensor Type Details'!$B$1:$R$4,G$1+1)</f>
        <v>Weather station - wind module</v>
      </c>
      <c r="H59" s="10" t="str">
        <f>HLOOKUP($F59,'Sensor Type Details'!$B$1:$R$4,H$1+1)</f>
        <v>PrimoPrincipio</v>
      </c>
      <c r="I59" s="10" t="str">
        <f>HLOOKUP($F59,'Sensor Type Details'!$B$1:$R$4,I$1+1)</f>
        <v>Quido - wind module</v>
      </c>
      <c r="J59" s="15"/>
      <c r="K59" s="12" t="s">
        <v>221</v>
      </c>
      <c r="L59" s="13"/>
      <c r="M59" s="13"/>
      <c r="N59" s="12" t="s">
        <v>222</v>
      </c>
      <c r="O59" s="12" t="s">
        <v>67</v>
      </c>
      <c r="P59" s="12" t="s">
        <v>67</v>
      </c>
      <c r="Q59" s="13"/>
      <c r="R59" s="16"/>
      <c r="S59" s="16"/>
      <c r="T59" s="15"/>
      <c r="U59" s="14"/>
      <c r="V59" s="14"/>
      <c r="W59" s="14"/>
      <c r="X59" s="14"/>
      <c r="Y59" s="14"/>
      <c r="Z59" s="14"/>
      <c r="AA59" s="14"/>
      <c r="AB59" s="8"/>
      <c r="AC59" s="20"/>
      <c r="AD59" s="27"/>
      <c r="AE59" s="27"/>
      <c r="AF59" s="27"/>
      <c r="AG59" s="27"/>
      <c r="AH59" s="27"/>
      <c r="AI59" s="27"/>
      <c r="AJ59" s="27"/>
      <c r="AK59" s="27"/>
      <c r="AL59" s="27"/>
      <c r="AM59" s="27"/>
      <c r="AN59" s="27"/>
      <c r="AO59" s="27"/>
      <c r="AP59" s="27"/>
      <c r="AQ59" s="27"/>
      <c r="AR59" s="27"/>
      <c r="AS59" s="27"/>
      <c r="AT59" s="27"/>
      <c r="AU59" s="27"/>
      <c r="AV59" s="27"/>
      <c r="AW59" s="27"/>
    </row>
    <row r="60" spans="1:49" ht="18.75" customHeight="1">
      <c r="A60" s="8" t="s">
        <v>223</v>
      </c>
      <c r="B60" s="28" t="s">
        <v>80</v>
      </c>
      <c r="C60" s="8" t="s">
        <v>224</v>
      </c>
      <c r="D60" s="30">
        <v>8.6803000000000008</v>
      </c>
      <c r="E60" s="30">
        <v>39.949190000000002</v>
      </c>
      <c r="F60" s="8" t="s">
        <v>225</v>
      </c>
      <c r="G60" s="10" t="str">
        <f>HLOOKUP($F60,'Sensor Type Details'!$B$1:$R$4,G$1+1)</f>
        <v>Weather station</v>
      </c>
      <c r="H60" s="10" t="str">
        <f>HLOOKUP($F60,'Sensor Type Details'!$B$1:$R$4,H$1+1)</f>
        <v>PrimoPrincipio</v>
      </c>
      <c r="I60" s="10" t="str">
        <f>HLOOKUP($F60,'Sensor Type Details'!$B$1:$R$4,I$1+1)</f>
        <v>Quido - basic module</v>
      </c>
      <c r="J60" s="15"/>
      <c r="K60" s="12" t="s">
        <v>226</v>
      </c>
      <c r="L60" s="13"/>
      <c r="M60" s="13"/>
      <c r="N60" s="12" t="s">
        <v>227</v>
      </c>
      <c r="O60" s="12" t="s">
        <v>67</v>
      </c>
      <c r="P60" s="12" t="s">
        <v>67</v>
      </c>
      <c r="Q60" s="13"/>
      <c r="R60" s="16" t="s">
        <v>44</v>
      </c>
      <c r="S60" s="16" t="s">
        <v>44</v>
      </c>
      <c r="T60" s="15"/>
      <c r="U60" s="14"/>
      <c r="V60" s="14"/>
      <c r="W60" s="14"/>
      <c r="X60" s="14"/>
      <c r="Y60" s="14"/>
      <c r="Z60" s="14"/>
      <c r="AA60" s="14"/>
      <c r="AB60" s="8" t="s">
        <v>228</v>
      </c>
      <c r="AC60" s="20"/>
      <c r="AD60" s="27"/>
      <c r="AE60" s="27"/>
      <c r="AF60" s="27"/>
      <c r="AG60" s="27"/>
      <c r="AH60" s="27"/>
      <c r="AI60" s="27"/>
      <c r="AJ60" s="27"/>
      <c r="AK60" s="27"/>
      <c r="AL60" s="27"/>
      <c r="AM60" s="27"/>
      <c r="AN60" s="27"/>
      <c r="AO60" s="27"/>
      <c r="AP60" s="27"/>
      <c r="AQ60" s="27"/>
      <c r="AR60" s="27"/>
      <c r="AS60" s="27"/>
      <c r="AT60" s="27"/>
      <c r="AU60" s="27"/>
      <c r="AV60" s="27"/>
      <c r="AW60" s="27"/>
    </row>
    <row r="61" spans="1:49" ht="18.75" customHeight="1">
      <c r="A61" s="8" t="s">
        <v>229</v>
      </c>
      <c r="B61" s="28" t="s">
        <v>80</v>
      </c>
      <c r="C61" s="8" t="s">
        <v>230</v>
      </c>
      <c r="D61" s="8" t="s">
        <v>231</v>
      </c>
      <c r="E61" s="8" t="s">
        <v>232</v>
      </c>
      <c r="F61" s="8" t="s">
        <v>233</v>
      </c>
      <c r="G61" s="10" t="str">
        <f>HLOOKUP($F61,'Sensor Type Details'!$B$1:$R$4,G$1+1)</f>
        <v>Sensor</v>
      </c>
      <c r="H61" s="10" t="str">
        <f>HLOOKUP($F61,'Sensor Type Details'!$B$1:$R$4,H$1+1)</f>
        <v>VanWalt</v>
      </c>
      <c r="I61" s="10" t="str">
        <f>HLOOKUP($F61,'Sensor Type Details'!$B$1:$R$4,I$1+1)</f>
        <v>DataHub</v>
      </c>
      <c r="J61" s="15"/>
      <c r="K61" s="13"/>
      <c r="L61" s="13"/>
      <c r="M61" s="13"/>
      <c r="N61" s="13"/>
      <c r="O61" s="13"/>
      <c r="P61" s="13"/>
      <c r="Q61" s="13"/>
      <c r="R61" s="14"/>
      <c r="S61" s="14"/>
      <c r="T61" s="15"/>
      <c r="U61" s="8"/>
      <c r="V61" s="8"/>
      <c r="W61" s="8"/>
      <c r="X61" s="8"/>
      <c r="Y61" s="8"/>
      <c r="Z61" s="8"/>
      <c r="AA61" s="8"/>
      <c r="AB61" s="8" t="s">
        <v>234</v>
      </c>
      <c r="AC61" s="20" t="s">
        <v>235</v>
      </c>
      <c r="AD61" s="27"/>
      <c r="AE61" s="27"/>
      <c r="AF61" s="27"/>
      <c r="AG61" s="27"/>
      <c r="AH61" s="27"/>
      <c r="AI61" s="27"/>
      <c r="AJ61" s="27"/>
      <c r="AK61" s="27"/>
      <c r="AL61" s="27"/>
      <c r="AM61" s="27"/>
      <c r="AN61" s="27"/>
      <c r="AO61" s="27"/>
      <c r="AP61" s="27"/>
      <c r="AQ61" s="27"/>
      <c r="AR61" s="27"/>
      <c r="AS61" s="27"/>
      <c r="AT61" s="27"/>
      <c r="AU61" s="27"/>
      <c r="AV61" s="27"/>
      <c r="AW61" s="27"/>
    </row>
    <row r="62" spans="1:49" ht="18.75" customHeight="1">
      <c r="A62" s="8" t="s">
        <v>236</v>
      </c>
      <c r="B62" s="28" t="s">
        <v>80</v>
      </c>
      <c r="C62" s="8" t="s">
        <v>237</v>
      </c>
      <c r="D62" s="8" t="s">
        <v>238</v>
      </c>
      <c r="E62" s="8" t="s">
        <v>239</v>
      </c>
      <c r="F62" s="8" t="s">
        <v>233</v>
      </c>
      <c r="G62" s="10" t="str">
        <f>HLOOKUP($F62,'Sensor Type Details'!$B$1:$R$4,G$1+1)</f>
        <v>Sensor</v>
      </c>
      <c r="H62" s="10" t="str">
        <f>HLOOKUP($F62,'Sensor Type Details'!$B$1:$R$4,H$1+1)</f>
        <v>VanWalt</v>
      </c>
      <c r="I62" s="10" t="str">
        <f>HLOOKUP($F62,'Sensor Type Details'!$B$1:$R$4,I$1+1)</f>
        <v>DataHub</v>
      </c>
      <c r="J62" s="15"/>
      <c r="K62" s="13"/>
      <c r="L62" s="13"/>
      <c r="M62" s="13"/>
      <c r="N62" s="13"/>
      <c r="O62" s="13"/>
      <c r="P62" s="13"/>
      <c r="Q62" s="13"/>
      <c r="R62" s="14"/>
      <c r="S62" s="14"/>
      <c r="T62" s="15"/>
      <c r="U62" s="8"/>
      <c r="V62" s="8"/>
      <c r="W62" s="8"/>
      <c r="X62" s="8"/>
      <c r="Y62" s="8"/>
      <c r="Z62" s="8"/>
      <c r="AA62" s="8"/>
      <c r="AB62" s="8" t="s">
        <v>234</v>
      </c>
      <c r="AC62" s="20" t="s">
        <v>235</v>
      </c>
      <c r="AD62" s="27"/>
      <c r="AE62" s="27"/>
      <c r="AF62" s="27"/>
      <c r="AG62" s="27"/>
      <c r="AH62" s="27"/>
      <c r="AI62" s="27"/>
      <c r="AJ62" s="27"/>
      <c r="AK62" s="27"/>
      <c r="AL62" s="27"/>
      <c r="AM62" s="27"/>
      <c r="AN62" s="27"/>
      <c r="AO62" s="27"/>
      <c r="AP62" s="27"/>
      <c r="AQ62" s="27"/>
      <c r="AR62" s="27"/>
      <c r="AS62" s="27"/>
      <c r="AT62" s="27"/>
      <c r="AU62" s="27"/>
      <c r="AV62" s="27"/>
      <c r="AW62" s="27"/>
    </row>
    <row r="63" spans="1:49" ht="18.75" customHeight="1">
      <c r="A63" s="8" t="s">
        <v>240</v>
      </c>
      <c r="B63" s="28" t="s">
        <v>80</v>
      </c>
      <c r="C63" s="8" t="s">
        <v>241</v>
      </c>
      <c r="D63" s="8" t="s">
        <v>242</v>
      </c>
      <c r="E63" s="8" t="s">
        <v>243</v>
      </c>
      <c r="F63" s="8" t="s">
        <v>233</v>
      </c>
      <c r="G63" s="10" t="str">
        <f>HLOOKUP($F63,'Sensor Type Details'!$B$1:$R$4,G$1+1)</f>
        <v>Sensor</v>
      </c>
      <c r="H63" s="10" t="str">
        <f>HLOOKUP($F63,'Sensor Type Details'!$B$1:$R$4,H$1+1)</f>
        <v>VanWalt</v>
      </c>
      <c r="I63" s="10" t="str">
        <f>HLOOKUP($F63,'Sensor Type Details'!$B$1:$R$4,I$1+1)</f>
        <v>DataHub</v>
      </c>
      <c r="J63" s="15"/>
      <c r="K63" s="13"/>
      <c r="L63" s="13" t="s">
        <v>244</v>
      </c>
      <c r="M63" s="13"/>
      <c r="N63" s="13"/>
      <c r="O63" s="13"/>
      <c r="P63" s="13"/>
      <c r="Q63" s="13"/>
      <c r="R63" s="14"/>
      <c r="S63" s="14"/>
      <c r="T63" s="15"/>
      <c r="U63" s="8"/>
      <c r="V63" s="8"/>
      <c r="W63" s="8"/>
      <c r="X63" s="8"/>
      <c r="Y63" s="8"/>
      <c r="Z63" s="8"/>
      <c r="AA63" s="8"/>
      <c r="AB63" s="8" t="s">
        <v>234</v>
      </c>
      <c r="AC63" s="20" t="s">
        <v>235</v>
      </c>
      <c r="AD63" s="27"/>
      <c r="AE63" s="27"/>
      <c r="AF63" s="27"/>
      <c r="AG63" s="27"/>
      <c r="AH63" s="27"/>
      <c r="AI63" s="27"/>
      <c r="AJ63" s="27"/>
      <c r="AK63" s="27"/>
      <c r="AL63" s="27"/>
      <c r="AM63" s="27"/>
      <c r="AN63" s="27"/>
      <c r="AO63" s="27"/>
      <c r="AP63" s="27"/>
      <c r="AQ63" s="27"/>
      <c r="AR63" s="27"/>
      <c r="AS63" s="27"/>
      <c r="AT63" s="27"/>
      <c r="AU63" s="27"/>
      <c r="AV63" s="27"/>
      <c r="AW63" s="27"/>
    </row>
    <row r="64" spans="1:49" ht="30.75" customHeight="1">
      <c r="A64" s="241" t="s">
        <v>245</v>
      </c>
      <c r="B64" s="234"/>
      <c r="C64" s="234"/>
      <c r="D64" s="234"/>
      <c r="E64" s="234"/>
      <c r="F64" s="234"/>
      <c r="G64" s="234"/>
      <c r="H64" s="234"/>
      <c r="I64" s="234"/>
      <c r="J64" s="234"/>
      <c r="K64" s="234"/>
      <c r="L64" s="234"/>
      <c r="M64" s="234"/>
      <c r="N64" s="234"/>
      <c r="O64" s="234"/>
      <c r="P64" s="234"/>
      <c r="Q64" s="234"/>
      <c r="R64" s="234"/>
      <c r="S64" s="234"/>
      <c r="T64" s="234"/>
      <c r="U64" s="234"/>
      <c r="V64" s="234"/>
      <c r="W64" s="234"/>
      <c r="X64" s="234"/>
      <c r="Y64" s="234"/>
      <c r="Z64" s="234"/>
      <c r="AA64" s="234"/>
      <c r="AB64" s="234"/>
      <c r="AC64" s="235"/>
      <c r="AD64" s="26"/>
      <c r="AE64" s="26"/>
      <c r="AF64" s="26"/>
      <c r="AG64" s="26"/>
      <c r="AH64" s="26"/>
      <c r="AI64" s="26"/>
      <c r="AJ64" s="26"/>
      <c r="AK64" s="26"/>
      <c r="AL64" s="26"/>
      <c r="AM64" s="26"/>
      <c r="AN64" s="26"/>
      <c r="AO64" s="26"/>
      <c r="AP64" s="26"/>
      <c r="AQ64" s="26"/>
      <c r="AR64" s="26"/>
      <c r="AS64" s="26"/>
      <c r="AT64" s="26"/>
      <c r="AU64" s="26"/>
      <c r="AV64" s="27"/>
      <c r="AW64" s="27"/>
    </row>
    <row r="65" spans="1:49" ht="24" customHeight="1">
      <c r="A65" s="237" t="s">
        <v>246</v>
      </c>
      <c r="B65" s="234"/>
      <c r="C65" s="234"/>
      <c r="D65" s="234"/>
      <c r="E65" s="234"/>
      <c r="F65" s="234"/>
      <c r="G65" s="234"/>
      <c r="H65" s="234"/>
      <c r="I65" s="235"/>
      <c r="J65" s="35"/>
      <c r="K65" s="233"/>
      <c r="L65" s="234"/>
      <c r="M65" s="234"/>
      <c r="N65" s="234"/>
      <c r="O65" s="234"/>
      <c r="P65" s="234"/>
      <c r="Q65" s="234"/>
      <c r="R65" s="234"/>
      <c r="S65" s="235"/>
      <c r="T65" s="35"/>
      <c r="U65" s="236"/>
      <c r="V65" s="234"/>
      <c r="W65" s="234"/>
      <c r="X65" s="234"/>
      <c r="Y65" s="234"/>
      <c r="Z65" s="234"/>
      <c r="AA65" s="235"/>
      <c r="AB65" s="37"/>
      <c r="AC65" s="37"/>
      <c r="AD65" s="27"/>
      <c r="AE65" s="27"/>
      <c r="AF65" s="27"/>
      <c r="AG65" s="27"/>
      <c r="AH65" s="27"/>
      <c r="AI65" s="27"/>
      <c r="AJ65" s="27"/>
      <c r="AK65" s="27"/>
      <c r="AL65" s="27"/>
      <c r="AM65" s="27"/>
      <c r="AN65" s="27"/>
      <c r="AO65" s="27"/>
      <c r="AP65" s="27"/>
      <c r="AQ65" s="27"/>
      <c r="AR65" s="27"/>
      <c r="AS65" s="27"/>
      <c r="AT65" s="27"/>
      <c r="AU65" s="27"/>
      <c r="AV65" s="27"/>
      <c r="AW65" s="27"/>
    </row>
    <row r="66" spans="1:49" ht="30.75" customHeight="1">
      <c r="A66" s="47" t="s">
        <v>247</v>
      </c>
      <c r="B66" s="48" t="s">
        <v>248</v>
      </c>
      <c r="C66" s="49" t="s">
        <v>249</v>
      </c>
      <c r="D66" s="50" t="s">
        <v>250</v>
      </c>
      <c r="E66" s="50" t="s">
        <v>251</v>
      </c>
      <c r="F66" s="8" t="s">
        <v>252</v>
      </c>
      <c r="G66" s="51" t="s">
        <v>253</v>
      </c>
      <c r="H66" s="51" t="s">
        <v>254</v>
      </c>
      <c r="I66" s="51" t="s">
        <v>255</v>
      </c>
      <c r="J66" s="35"/>
      <c r="K66" s="52" t="s">
        <v>256</v>
      </c>
      <c r="L66" s="52" t="s">
        <v>257</v>
      </c>
      <c r="M66" s="13"/>
      <c r="N66" s="13"/>
      <c r="O66" s="13"/>
      <c r="P66" s="13"/>
      <c r="Q66" s="13"/>
      <c r="R66" s="13"/>
      <c r="S66" s="13"/>
      <c r="T66" s="35"/>
      <c r="U66" s="44"/>
      <c r="V66" s="44"/>
      <c r="W66" s="44"/>
      <c r="X66" s="44"/>
      <c r="Y66" s="44"/>
      <c r="Z66" s="44"/>
      <c r="AA66" s="44"/>
      <c r="AB66" s="13"/>
      <c r="AC66" s="45"/>
      <c r="AD66" s="27"/>
      <c r="AE66" s="27"/>
      <c r="AF66" s="27"/>
      <c r="AG66" s="27"/>
      <c r="AH66" s="27"/>
      <c r="AI66" s="27"/>
      <c r="AJ66" s="27"/>
      <c r="AK66" s="27"/>
      <c r="AL66" s="27"/>
      <c r="AM66" s="27"/>
      <c r="AN66" s="27"/>
      <c r="AO66" s="27"/>
      <c r="AP66" s="27"/>
      <c r="AQ66" s="27"/>
      <c r="AR66" s="27"/>
      <c r="AS66" s="27"/>
      <c r="AT66" s="27"/>
      <c r="AU66" s="27"/>
      <c r="AV66" s="27"/>
      <c r="AW66" s="27"/>
    </row>
    <row r="67" spans="1:49" ht="30.75" customHeight="1">
      <c r="A67" s="47" t="s">
        <v>258</v>
      </c>
      <c r="B67" s="48" t="s">
        <v>248</v>
      </c>
      <c r="C67" s="49" t="s">
        <v>259</v>
      </c>
      <c r="D67" s="50" t="s">
        <v>250</v>
      </c>
      <c r="E67" s="50" t="s">
        <v>251</v>
      </c>
      <c r="F67" s="8" t="s">
        <v>260</v>
      </c>
      <c r="G67" s="51" t="s">
        <v>261</v>
      </c>
      <c r="H67" s="51" t="s">
        <v>262</v>
      </c>
      <c r="I67" s="51" t="s">
        <v>263</v>
      </c>
      <c r="J67" s="35"/>
      <c r="K67" s="12" t="s">
        <v>264</v>
      </c>
      <c r="L67" s="12" t="s">
        <v>265</v>
      </c>
      <c r="M67" s="12" t="s">
        <v>266</v>
      </c>
      <c r="N67" s="13"/>
      <c r="O67" s="13"/>
      <c r="P67" s="13"/>
      <c r="Q67" s="12"/>
      <c r="R67" s="16"/>
      <c r="S67" s="16"/>
      <c r="T67" s="35"/>
      <c r="U67" s="44"/>
      <c r="V67" s="44"/>
      <c r="W67" s="44"/>
      <c r="X67" s="44"/>
      <c r="Y67" s="44"/>
      <c r="Z67" s="44"/>
      <c r="AA67" s="44"/>
      <c r="AB67" s="50" t="s">
        <v>267</v>
      </c>
      <c r="AC67" s="45"/>
      <c r="AD67" s="27"/>
      <c r="AE67" s="27"/>
      <c r="AF67" s="27"/>
      <c r="AG67" s="27"/>
      <c r="AH67" s="27"/>
      <c r="AI67" s="27"/>
      <c r="AJ67" s="27"/>
      <c r="AK67" s="27"/>
      <c r="AL67" s="27"/>
      <c r="AM67" s="27"/>
      <c r="AN67" s="27"/>
      <c r="AO67" s="27"/>
      <c r="AP67" s="27"/>
      <c r="AQ67" s="27"/>
      <c r="AR67" s="27"/>
      <c r="AS67" s="27"/>
      <c r="AT67" s="27"/>
      <c r="AU67" s="27"/>
      <c r="AV67" s="27"/>
      <c r="AW67" s="27"/>
    </row>
    <row r="68" spans="1:49" ht="30.75" customHeight="1">
      <c r="A68" s="47" t="s">
        <v>268</v>
      </c>
      <c r="B68" s="48" t="s">
        <v>248</v>
      </c>
      <c r="C68" s="49" t="s">
        <v>269</v>
      </c>
      <c r="D68" s="50" t="s">
        <v>250</v>
      </c>
      <c r="E68" s="50" t="s">
        <v>251</v>
      </c>
      <c r="F68" s="8" t="s">
        <v>270</v>
      </c>
      <c r="G68" s="51" t="s">
        <v>261</v>
      </c>
      <c r="H68" s="51" t="s">
        <v>271</v>
      </c>
      <c r="I68" s="51" t="s">
        <v>272</v>
      </c>
      <c r="J68" s="35"/>
      <c r="K68" s="12" t="s">
        <v>273</v>
      </c>
      <c r="L68" s="12" t="s">
        <v>274</v>
      </c>
      <c r="M68" s="12" t="s">
        <v>275</v>
      </c>
      <c r="N68" s="13"/>
      <c r="O68" s="13"/>
      <c r="P68" s="13"/>
      <c r="Q68" s="12"/>
      <c r="R68" s="16"/>
      <c r="S68" s="16"/>
      <c r="T68" s="35"/>
      <c r="U68" s="44"/>
      <c r="V68" s="44"/>
      <c r="W68" s="44"/>
      <c r="X68" s="44"/>
      <c r="Y68" s="44"/>
      <c r="Z68" s="44"/>
      <c r="AA68" s="44"/>
      <c r="AB68" s="18" t="s">
        <v>276</v>
      </c>
      <c r="AC68" s="53"/>
      <c r="AD68" s="27"/>
      <c r="AE68" s="27"/>
      <c r="AF68" s="27"/>
      <c r="AG68" s="27"/>
      <c r="AH68" s="27"/>
      <c r="AI68" s="27"/>
      <c r="AJ68" s="27"/>
      <c r="AK68" s="27"/>
      <c r="AL68" s="27"/>
      <c r="AM68" s="27"/>
      <c r="AN68" s="27"/>
      <c r="AO68" s="27"/>
      <c r="AP68" s="27"/>
      <c r="AQ68" s="27"/>
      <c r="AR68" s="27"/>
      <c r="AS68" s="27"/>
      <c r="AT68" s="27"/>
      <c r="AU68" s="27"/>
      <c r="AV68" s="27"/>
      <c r="AW68" s="27"/>
    </row>
    <row r="69" spans="1:49" ht="30.75" customHeight="1">
      <c r="A69" s="47" t="s">
        <v>277</v>
      </c>
      <c r="B69" s="48" t="s">
        <v>248</v>
      </c>
      <c r="C69" s="49" t="s">
        <v>278</v>
      </c>
      <c r="D69" s="50" t="s">
        <v>250</v>
      </c>
      <c r="E69" s="50" t="s">
        <v>251</v>
      </c>
      <c r="F69" s="8" t="s">
        <v>279</v>
      </c>
      <c r="G69" s="51" t="s">
        <v>261</v>
      </c>
      <c r="H69" s="51" t="s">
        <v>280</v>
      </c>
      <c r="I69" s="51" t="s">
        <v>281</v>
      </c>
      <c r="J69" s="35"/>
      <c r="K69" s="52" t="s">
        <v>282</v>
      </c>
      <c r="L69" s="12" t="s">
        <v>283</v>
      </c>
      <c r="M69" s="12" t="s">
        <v>284</v>
      </c>
      <c r="N69" s="13"/>
      <c r="O69" s="13"/>
      <c r="P69" s="13"/>
      <c r="Q69" s="12"/>
      <c r="R69" s="16"/>
      <c r="S69" s="16"/>
      <c r="T69" s="35"/>
      <c r="U69" s="44"/>
      <c r="V69" s="44"/>
      <c r="W69" s="44"/>
      <c r="X69" s="44"/>
      <c r="Y69" s="44"/>
      <c r="Z69" s="44"/>
      <c r="AA69" s="44"/>
      <c r="AB69" s="18" t="s">
        <v>285</v>
      </c>
      <c r="AC69" s="53"/>
      <c r="AD69" s="27"/>
      <c r="AE69" s="27"/>
      <c r="AF69" s="27"/>
      <c r="AG69" s="27"/>
      <c r="AH69" s="27"/>
      <c r="AI69" s="27"/>
      <c r="AJ69" s="27"/>
      <c r="AK69" s="27"/>
      <c r="AL69" s="27"/>
      <c r="AM69" s="27"/>
      <c r="AN69" s="27"/>
      <c r="AO69" s="27"/>
      <c r="AP69" s="27"/>
      <c r="AQ69" s="27"/>
      <c r="AR69" s="27"/>
      <c r="AS69" s="27"/>
      <c r="AT69" s="27"/>
      <c r="AU69" s="27"/>
      <c r="AV69" s="27"/>
      <c r="AW69" s="27"/>
    </row>
    <row r="70" spans="1:49" ht="30.75" customHeight="1">
      <c r="A70" s="54" t="s">
        <v>277</v>
      </c>
      <c r="B70" s="55" t="s">
        <v>248</v>
      </c>
      <c r="C70" s="56" t="s">
        <v>286</v>
      </c>
      <c r="D70" s="57" t="s">
        <v>250</v>
      </c>
      <c r="E70" s="57" t="s">
        <v>251</v>
      </c>
      <c r="F70" s="58" t="s">
        <v>279</v>
      </c>
      <c r="G70" s="59" t="s">
        <v>261</v>
      </c>
      <c r="H70" s="59" t="s">
        <v>280</v>
      </c>
      <c r="I70" s="59" t="s">
        <v>281</v>
      </c>
      <c r="J70" s="60"/>
      <c r="K70" s="242"/>
      <c r="L70" s="234"/>
      <c r="M70" s="234"/>
      <c r="N70" s="234"/>
      <c r="O70" s="234"/>
      <c r="P70" s="234"/>
      <c r="Q70" s="234"/>
      <c r="R70" s="234"/>
      <c r="S70" s="235"/>
      <c r="T70" s="60"/>
      <c r="U70" s="61"/>
      <c r="V70" s="61"/>
      <c r="W70" s="61"/>
      <c r="X70" s="61"/>
      <c r="Y70" s="62"/>
      <c r="Z70" s="62"/>
      <c r="AA70" s="62"/>
      <c r="AB70" s="63" t="s">
        <v>287</v>
      </c>
      <c r="AC70" s="63" t="s">
        <v>288</v>
      </c>
      <c r="AD70" s="64"/>
      <c r="AE70" s="64"/>
      <c r="AF70" s="64"/>
      <c r="AG70" s="64"/>
      <c r="AH70" s="64"/>
      <c r="AI70" s="64"/>
      <c r="AJ70" s="64"/>
      <c r="AK70" s="64"/>
      <c r="AL70" s="64"/>
      <c r="AM70" s="64"/>
      <c r="AN70" s="64"/>
      <c r="AO70" s="64"/>
      <c r="AP70" s="64"/>
      <c r="AQ70" s="64"/>
      <c r="AR70" s="64"/>
      <c r="AS70" s="64"/>
      <c r="AT70" s="64"/>
      <c r="AU70" s="64"/>
      <c r="AV70" s="64"/>
      <c r="AW70" s="64"/>
    </row>
    <row r="71" spans="1:49" ht="30.75" customHeight="1">
      <c r="A71" s="47" t="s">
        <v>289</v>
      </c>
      <c r="B71" s="48" t="s">
        <v>248</v>
      </c>
      <c r="C71" s="49" t="s">
        <v>290</v>
      </c>
      <c r="D71" s="50" t="s">
        <v>250</v>
      </c>
      <c r="E71" s="50" t="s">
        <v>251</v>
      </c>
      <c r="F71" s="8" t="s">
        <v>291</v>
      </c>
      <c r="G71" s="51" t="s">
        <v>261</v>
      </c>
      <c r="H71" s="51" t="s">
        <v>292</v>
      </c>
      <c r="I71" s="51" t="s">
        <v>293</v>
      </c>
      <c r="J71" s="35"/>
      <c r="K71" s="65" t="s">
        <v>294</v>
      </c>
      <c r="L71" s="66" t="s">
        <v>295</v>
      </c>
      <c r="M71" s="67" t="s">
        <v>296</v>
      </c>
      <c r="N71" s="68"/>
      <c r="O71" s="68"/>
      <c r="P71" s="68"/>
      <c r="Q71" s="68"/>
      <c r="R71" s="68"/>
      <c r="S71" s="68"/>
      <c r="T71" s="35"/>
      <c r="U71" s="44"/>
      <c r="V71" s="44"/>
      <c r="W71" s="44"/>
      <c r="X71" s="44"/>
      <c r="Y71" s="69"/>
      <c r="Z71" s="69"/>
      <c r="AA71" s="69"/>
      <c r="AB71" s="53" t="s">
        <v>297</v>
      </c>
      <c r="AC71" s="53"/>
      <c r="AD71" s="27"/>
      <c r="AE71" s="27"/>
      <c r="AF71" s="27"/>
      <c r="AG71" s="27"/>
      <c r="AH71" s="27"/>
      <c r="AI71" s="27"/>
      <c r="AJ71" s="27"/>
      <c r="AK71" s="27"/>
      <c r="AL71" s="27"/>
      <c r="AM71" s="27"/>
      <c r="AN71" s="27"/>
      <c r="AO71" s="27"/>
      <c r="AP71" s="27"/>
      <c r="AQ71" s="27"/>
      <c r="AR71" s="27"/>
      <c r="AS71" s="27"/>
      <c r="AT71" s="27"/>
      <c r="AU71" s="27"/>
      <c r="AV71" s="27"/>
      <c r="AW71" s="27"/>
    </row>
    <row r="72" spans="1:49" ht="24.75" customHeight="1">
      <c r="A72" s="237" t="s">
        <v>298</v>
      </c>
      <c r="B72" s="234"/>
      <c r="C72" s="234"/>
      <c r="D72" s="234"/>
      <c r="E72" s="234"/>
      <c r="F72" s="234"/>
      <c r="G72" s="234"/>
      <c r="H72" s="234"/>
      <c r="I72" s="235"/>
      <c r="J72" s="35"/>
      <c r="T72" s="35"/>
      <c r="U72" s="236"/>
      <c r="V72" s="234"/>
      <c r="W72" s="234"/>
      <c r="X72" s="234"/>
      <c r="Y72" s="234"/>
      <c r="Z72" s="234"/>
      <c r="AA72" s="235"/>
      <c r="AB72" s="45"/>
      <c r="AC72" s="45"/>
      <c r="AD72" s="27"/>
      <c r="AE72" s="27"/>
      <c r="AF72" s="27"/>
      <c r="AG72" s="27"/>
      <c r="AH72" s="27"/>
      <c r="AI72" s="27"/>
      <c r="AJ72" s="27"/>
      <c r="AK72" s="27"/>
      <c r="AL72" s="27"/>
      <c r="AM72" s="27"/>
      <c r="AN72" s="27"/>
      <c r="AO72" s="27"/>
      <c r="AP72" s="27"/>
      <c r="AQ72" s="27"/>
      <c r="AR72" s="27"/>
      <c r="AS72" s="27"/>
      <c r="AT72" s="27"/>
      <c r="AU72" s="27"/>
      <c r="AV72" s="27"/>
      <c r="AW72" s="27"/>
    </row>
    <row r="73" spans="1:49" ht="19.5" customHeight="1">
      <c r="A73" s="47" t="s">
        <v>299</v>
      </c>
      <c r="B73" s="48" t="s">
        <v>248</v>
      </c>
      <c r="C73" s="49" t="s">
        <v>300</v>
      </c>
      <c r="D73" s="50" t="s">
        <v>301</v>
      </c>
      <c r="E73" s="50" t="s">
        <v>302</v>
      </c>
      <c r="F73" s="8" t="s">
        <v>252</v>
      </c>
      <c r="G73" s="51" t="s">
        <v>253</v>
      </c>
      <c r="H73" s="51" t="s">
        <v>254</v>
      </c>
      <c r="I73" s="51" t="s">
        <v>255</v>
      </c>
      <c r="J73" s="35"/>
      <c r="K73" s="52" t="s">
        <v>303</v>
      </c>
      <c r="L73" s="52" t="s">
        <v>304</v>
      </c>
      <c r="M73" s="13"/>
      <c r="N73" s="13"/>
      <c r="O73" s="13"/>
      <c r="P73" s="13"/>
      <c r="Q73" s="13"/>
      <c r="R73" s="13"/>
      <c r="S73" s="13"/>
      <c r="T73" s="35"/>
      <c r="U73" s="44"/>
      <c r="V73" s="44"/>
      <c r="W73" s="44"/>
      <c r="X73" s="44"/>
      <c r="Y73" s="44"/>
      <c r="Z73" s="44"/>
      <c r="AA73" s="44"/>
      <c r="AB73" s="13"/>
      <c r="AC73" s="45"/>
    </row>
    <row r="74" spans="1:49" ht="19.5" customHeight="1">
      <c r="A74" s="47" t="s">
        <v>305</v>
      </c>
      <c r="B74" s="48" t="s">
        <v>248</v>
      </c>
      <c r="C74" s="49" t="s">
        <v>306</v>
      </c>
      <c r="D74" s="50" t="s">
        <v>301</v>
      </c>
      <c r="E74" s="50" t="s">
        <v>302</v>
      </c>
      <c r="F74" s="8" t="s">
        <v>260</v>
      </c>
      <c r="G74" s="51" t="s">
        <v>261</v>
      </c>
      <c r="H74" s="51" t="s">
        <v>262</v>
      </c>
      <c r="I74" s="51" t="s">
        <v>263</v>
      </c>
      <c r="J74" s="35"/>
      <c r="K74" s="21" t="s">
        <v>307</v>
      </c>
      <c r="L74" s="12" t="s">
        <v>265</v>
      </c>
      <c r="M74" s="12" t="s">
        <v>266</v>
      </c>
      <c r="N74" s="13"/>
      <c r="O74" s="13"/>
      <c r="P74" s="13"/>
      <c r="Q74" s="70"/>
      <c r="R74" s="16"/>
      <c r="S74" s="16"/>
      <c r="T74" s="35"/>
      <c r="U74" s="44"/>
      <c r="V74" s="44"/>
      <c r="W74" s="44"/>
      <c r="X74" s="44"/>
      <c r="Y74" s="44"/>
      <c r="Z74" s="44"/>
      <c r="AA74" s="44"/>
      <c r="AB74" s="50" t="s">
        <v>267</v>
      </c>
      <c r="AC74" s="45"/>
    </row>
    <row r="75" spans="1:49" ht="19.5" customHeight="1">
      <c r="A75" s="47" t="s">
        <v>308</v>
      </c>
      <c r="B75" s="48" t="s">
        <v>248</v>
      </c>
      <c r="C75" s="49" t="s">
        <v>309</v>
      </c>
      <c r="D75" s="50" t="s">
        <v>301</v>
      </c>
      <c r="E75" s="50" t="s">
        <v>302</v>
      </c>
      <c r="F75" s="8" t="s">
        <v>270</v>
      </c>
      <c r="G75" s="51" t="s">
        <v>261</v>
      </c>
      <c r="H75" s="51" t="s">
        <v>271</v>
      </c>
      <c r="I75" s="51" t="s">
        <v>272</v>
      </c>
      <c r="J75" s="35"/>
      <c r="K75" s="12" t="s">
        <v>310</v>
      </c>
      <c r="L75" s="71" t="s">
        <v>274</v>
      </c>
      <c r="M75" s="12" t="s">
        <v>311</v>
      </c>
      <c r="N75" s="13"/>
      <c r="O75" s="13"/>
      <c r="P75" s="13"/>
      <c r="Q75" s="70"/>
      <c r="R75" s="16"/>
      <c r="S75" s="16"/>
      <c r="T75" s="35"/>
      <c r="U75" s="44"/>
      <c r="V75" s="44"/>
      <c r="W75" s="44"/>
      <c r="X75" s="44"/>
      <c r="Y75" s="44"/>
      <c r="Z75" s="44"/>
      <c r="AA75" s="44"/>
      <c r="AB75" s="18" t="s">
        <v>276</v>
      </c>
      <c r="AC75" s="45"/>
    </row>
    <row r="76" spans="1:49" ht="19.5" customHeight="1">
      <c r="A76" s="54" t="s">
        <v>308</v>
      </c>
      <c r="B76" s="55" t="s">
        <v>248</v>
      </c>
      <c r="C76" s="56" t="s">
        <v>312</v>
      </c>
      <c r="D76" s="57" t="s">
        <v>301</v>
      </c>
      <c r="E76" s="57" t="s">
        <v>302</v>
      </c>
      <c r="F76" s="58" t="s">
        <v>270</v>
      </c>
      <c r="G76" s="59" t="s">
        <v>261</v>
      </c>
      <c r="H76" s="59" t="s">
        <v>271</v>
      </c>
      <c r="I76" s="59" t="s">
        <v>272</v>
      </c>
      <c r="J76" s="60"/>
      <c r="K76" s="72" t="s">
        <v>313</v>
      </c>
      <c r="L76" s="72" t="s">
        <v>274</v>
      </c>
      <c r="M76" s="72" t="s">
        <v>314</v>
      </c>
      <c r="N76" s="73"/>
      <c r="O76" s="73"/>
      <c r="P76" s="73"/>
      <c r="Q76" s="74"/>
      <c r="R76" s="75"/>
      <c r="S76" s="75"/>
      <c r="T76" s="60"/>
      <c r="U76" s="61"/>
      <c r="V76" s="61"/>
      <c r="W76" s="61"/>
      <c r="X76" s="61"/>
      <c r="Y76" s="61"/>
      <c r="Z76" s="61"/>
      <c r="AA76" s="61"/>
      <c r="AB76" s="76" t="s">
        <v>276</v>
      </c>
      <c r="AC76" s="77"/>
      <c r="AD76" s="78"/>
      <c r="AE76" s="78"/>
      <c r="AF76" s="78"/>
      <c r="AG76" s="78"/>
      <c r="AH76" s="78"/>
      <c r="AI76" s="78"/>
      <c r="AJ76" s="78"/>
      <c r="AK76" s="78"/>
      <c r="AL76" s="78"/>
      <c r="AM76" s="78"/>
      <c r="AN76" s="78"/>
      <c r="AO76" s="78"/>
      <c r="AP76" s="78"/>
      <c r="AQ76" s="78"/>
      <c r="AR76" s="78"/>
      <c r="AS76" s="78"/>
      <c r="AT76" s="78"/>
      <c r="AU76" s="78"/>
      <c r="AV76" s="78"/>
      <c r="AW76" s="78"/>
    </row>
    <row r="77" spans="1:49" ht="19.5" customHeight="1">
      <c r="A77" s="47" t="s">
        <v>315</v>
      </c>
      <c r="B77" s="48" t="s">
        <v>248</v>
      </c>
      <c r="C77" s="49" t="s">
        <v>316</v>
      </c>
      <c r="D77" s="50" t="s">
        <v>317</v>
      </c>
      <c r="E77" s="50" t="s">
        <v>318</v>
      </c>
      <c r="F77" s="8" t="s">
        <v>260</v>
      </c>
      <c r="G77" s="51" t="s">
        <v>261</v>
      </c>
      <c r="H77" s="51" t="s">
        <v>262</v>
      </c>
      <c r="I77" s="51" t="s">
        <v>263</v>
      </c>
      <c r="J77" s="35"/>
      <c r="K77" s="79" t="s">
        <v>319</v>
      </c>
      <c r="L77" s="12" t="s">
        <v>265</v>
      </c>
      <c r="M77" s="12" t="s">
        <v>266</v>
      </c>
      <c r="N77" s="13"/>
      <c r="O77" s="13"/>
      <c r="P77" s="13"/>
      <c r="Q77" s="70"/>
      <c r="R77" s="16"/>
      <c r="S77" s="16"/>
      <c r="T77" s="35"/>
      <c r="U77" s="44"/>
      <c r="V77" s="44"/>
      <c r="W77" s="44"/>
      <c r="X77" s="44"/>
      <c r="Y77" s="44"/>
      <c r="Z77" s="44"/>
      <c r="AA77" s="44"/>
      <c r="AB77" s="50" t="s">
        <v>267</v>
      </c>
      <c r="AC77" s="45"/>
    </row>
    <row r="78" spans="1:49" ht="19.5" customHeight="1">
      <c r="A78" s="47" t="s">
        <v>320</v>
      </c>
      <c r="B78" s="48" t="s">
        <v>248</v>
      </c>
      <c r="C78" s="49" t="s">
        <v>321</v>
      </c>
      <c r="D78" s="50" t="s">
        <v>317</v>
      </c>
      <c r="E78" s="50" t="s">
        <v>318</v>
      </c>
      <c r="F78" s="8" t="s">
        <v>270</v>
      </c>
      <c r="G78" s="51" t="s">
        <v>261</v>
      </c>
      <c r="H78" s="51" t="s">
        <v>271</v>
      </c>
      <c r="I78" s="51" t="s">
        <v>272</v>
      </c>
      <c r="J78" s="35"/>
      <c r="K78" s="12" t="s">
        <v>322</v>
      </c>
      <c r="L78" s="12" t="s">
        <v>274</v>
      </c>
      <c r="M78" s="12" t="s">
        <v>323</v>
      </c>
      <c r="N78" s="13"/>
      <c r="O78" s="13"/>
      <c r="P78" s="13"/>
      <c r="Q78" s="70"/>
      <c r="R78" s="16"/>
      <c r="S78" s="16"/>
      <c r="T78" s="35"/>
      <c r="U78" s="44"/>
      <c r="V78" s="44"/>
      <c r="W78" s="44"/>
      <c r="X78" s="44"/>
      <c r="Y78" s="44"/>
      <c r="Z78" s="44"/>
      <c r="AA78" s="44"/>
      <c r="AB78" s="18" t="s">
        <v>276</v>
      </c>
      <c r="AC78" s="45"/>
    </row>
    <row r="79" spans="1:49" ht="19.5" customHeight="1">
      <c r="A79" s="47" t="s">
        <v>324</v>
      </c>
      <c r="B79" s="48" t="s">
        <v>248</v>
      </c>
      <c r="C79" s="49" t="s">
        <v>325</v>
      </c>
      <c r="D79" s="50" t="s">
        <v>326</v>
      </c>
      <c r="E79" s="50" t="s">
        <v>327</v>
      </c>
      <c r="F79" s="8" t="s">
        <v>260</v>
      </c>
      <c r="G79" s="51" t="s">
        <v>261</v>
      </c>
      <c r="H79" s="51" t="s">
        <v>262</v>
      </c>
      <c r="I79" s="51" t="s">
        <v>263</v>
      </c>
      <c r="J79" s="35"/>
      <c r="K79" s="80" t="s">
        <v>328</v>
      </c>
      <c r="L79" s="12" t="s">
        <v>265</v>
      </c>
      <c r="M79" s="12" t="s">
        <v>266</v>
      </c>
      <c r="N79" s="13"/>
      <c r="O79" s="12"/>
      <c r="P79" s="13"/>
      <c r="Q79" s="70"/>
      <c r="R79" s="16"/>
      <c r="S79" s="16"/>
      <c r="T79" s="35"/>
      <c r="U79" s="44"/>
      <c r="V79" s="44"/>
      <c r="W79" s="44"/>
      <c r="X79" s="44"/>
      <c r="Y79" s="44"/>
      <c r="Z79" s="44"/>
      <c r="AA79" s="44"/>
      <c r="AB79" s="50" t="s">
        <v>267</v>
      </c>
      <c r="AC79" s="45"/>
    </row>
    <row r="80" spans="1:49" ht="19.5" customHeight="1">
      <c r="A80" s="47" t="s">
        <v>329</v>
      </c>
      <c r="B80" s="48" t="s">
        <v>248</v>
      </c>
      <c r="C80" s="49" t="s">
        <v>330</v>
      </c>
      <c r="D80" s="50" t="s">
        <v>326</v>
      </c>
      <c r="E80" s="50" t="s">
        <v>327</v>
      </c>
      <c r="F80" s="8" t="s">
        <v>270</v>
      </c>
      <c r="G80" s="51" t="s">
        <v>261</v>
      </c>
      <c r="H80" s="51" t="s">
        <v>271</v>
      </c>
      <c r="I80" s="51" t="s">
        <v>272</v>
      </c>
      <c r="J80" s="35"/>
      <c r="K80" s="12" t="s">
        <v>331</v>
      </c>
      <c r="L80" s="12" t="s">
        <v>274</v>
      </c>
      <c r="M80" s="12" t="s">
        <v>332</v>
      </c>
      <c r="N80" s="13"/>
      <c r="O80" s="13"/>
      <c r="P80" s="13"/>
      <c r="Q80" s="70"/>
      <c r="R80" s="16"/>
      <c r="S80" s="16"/>
      <c r="T80" s="35"/>
      <c r="U80" s="44"/>
      <c r="V80" s="44"/>
      <c r="W80" s="44"/>
      <c r="X80" s="44"/>
      <c r="Y80" s="44"/>
      <c r="Z80" s="44"/>
      <c r="AA80" s="44"/>
      <c r="AB80" s="18" t="s">
        <v>276</v>
      </c>
      <c r="AC80" s="45"/>
    </row>
    <row r="81" spans="1:49" ht="19.5" customHeight="1">
      <c r="A81" s="237" t="s">
        <v>333</v>
      </c>
      <c r="B81" s="234"/>
      <c r="C81" s="234"/>
      <c r="D81" s="234"/>
      <c r="E81" s="234"/>
      <c r="F81" s="234"/>
      <c r="G81" s="234"/>
      <c r="H81" s="234"/>
      <c r="I81" s="235"/>
      <c r="J81" s="35"/>
      <c r="K81" s="233"/>
      <c r="L81" s="234"/>
      <c r="M81" s="234"/>
      <c r="N81" s="234"/>
      <c r="O81" s="234"/>
      <c r="P81" s="234"/>
      <c r="Q81" s="234"/>
      <c r="R81" s="234"/>
      <c r="S81" s="235"/>
      <c r="T81" s="35"/>
      <c r="U81" s="236"/>
      <c r="V81" s="234"/>
      <c r="W81" s="234"/>
      <c r="X81" s="234"/>
      <c r="Y81" s="234"/>
      <c r="Z81" s="234"/>
      <c r="AA81" s="235"/>
      <c r="AB81" s="45"/>
      <c r="AC81" s="45"/>
    </row>
    <row r="82" spans="1:49" ht="19.5" customHeight="1">
      <c r="A82" s="47" t="s">
        <v>334</v>
      </c>
      <c r="B82" s="48" t="s">
        <v>248</v>
      </c>
      <c r="C82" s="49" t="s">
        <v>335</v>
      </c>
      <c r="D82" s="50" t="s">
        <v>336</v>
      </c>
      <c r="E82" s="50" t="s">
        <v>337</v>
      </c>
      <c r="F82" s="8" t="s">
        <v>252</v>
      </c>
      <c r="G82" s="51" t="s">
        <v>253</v>
      </c>
      <c r="H82" s="51" t="s">
        <v>254</v>
      </c>
      <c r="I82" s="51" t="s">
        <v>255</v>
      </c>
      <c r="J82" s="35"/>
      <c r="K82" s="52" t="s">
        <v>338</v>
      </c>
      <c r="L82" s="52" t="s">
        <v>339</v>
      </c>
      <c r="M82" s="13"/>
      <c r="N82" s="13"/>
      <c r="O82" s="13"/>
      <c r="P82" s="13"/>
      <c r="Q82" s="13"/>
      <c r="R82" s="13"/>
      <c r="S82" s="13"/>
      <c r="T82" s="35"/>
      <c r="U82" s="44"/>
      <c r="V82" s="44"/>
      <c r="W82" s="44"/>
      <c r="X82" s="44"/>
      <c r="Y82" s="44"/>
      <c r="Z82" s="44"/>
      <c r="AA82" s="44"/>
      <c r="AB82" s="13"/>
      <c r="AC82" s="45"/>
    </row>
    <row r="83" spans="1:49" ht="19.5" customHeight="1">
      <c r="A83" s="47" t="s">
        <v>340</v>
      </c>
      <c r="B83" s="48" t="s">
        <v>248</v>
      </c>
      <c r="C83" s="49" t="s">
        <v>341</v>
      </c>
      <c r="D83" s="50" t="s">
        <v>336</v>
      </c>
      <c r="E83" s="50" t="s">
        <v>337</v>
      </c>
      <c r="F83" s="8" t="s">
        <v>260</v>
      </c>
      <c r="G83" s="51" t="s">
        <v>261</v>
      </c>
      <c r="H83" s="51" t="s">
        <v>262</v>
      </c>
      <c r="I83" s="51" t="s">
        <v>263</v>
      </c>
      <c r="J83" s="35"/>
      <c r="K83" s="12" t="s">
        <v>342</v>
      </c>
      <c r="L83" s="12" t="s">
        <v>265</v>
      </c>
      <c r="M83" s="12" t="s">
        <v>266</v>
      </c>
      <c r="N83" s="13"/>
      <c r="O83" s="13"/>
      <c r="P83" s="13"/>
      <c r="Q83" s="70"/>
      <c r="R83" s="16"/>
      <c r="S83" s="16"/>
      <c r="T83" s="35"/>
      <c r="U83" s="44"/>
      <c r="V83" s="44"/>
      <c r="W83" s="44"/>
      <c r="X83" s="44"/>
      <c r="Y83" s="44"/>
      <c r="Z83" s="44"/>
      <c r="AA83" s="44"/>
      <c r="AB83" s="50" t="s">
        <v>267</v>
      </c>
      <c r="AC83" s="45"/>
    </row>
    <row r="84" spans="1:49" ht="19.5" customHeight="1">
      <c r="A84" s="47" t="s">
        <v>343</v>
      </c>
      <c r="B84" s="48" t="s">
        <v>248</v>
      </c>
      <c r="C84" s="49" t="s">
        <v>344</v>
      </c>
      <c r="D84" s="50" t="s">
        <v>336</v>
      </c>
      <c r="E84" s="50" t="s">
        <v>337</v>
      </c>
      <c r="F84" s="8" t="s">
        <v>270</v>
      </c>
      <c r="G84" s="51" t="s">
        <v>261</v>
      </c>
      <c r="H84" s="51" t="s">
        <v>271</v>
      </c>
      <c r="I84" s="51" t="s">
        <v>272</v>
      </c>
      <c r="J84" s="35"/>
      <c r="K84" s="71" t="s">
        <v>345</v>
      </c>
      <c r="L84" s="12" t="s">
        <v>274</v>
      </c>
      <c r="M84" s="12" t="s">
        <v>346</v>
      </c>
      <c r="N84" s="13"/>
      <c r="O84" s="13"/>
      <c r="P84" s="13"/>
      <c r="Q84" s="70"/>
      <c r="R84" s="16"/>
      <c r="S84" s="16"/>
      <c r="T84" s="35"/>
      <c r="U84" s="44"/>
      <c r="V84" s="44"/>
      <c r="W84" s="44"/>
      <c r="X84" s="44"/>
      <c r="Y84" s="44"/>
      <c r="Z84" s="44"/>
      <c r="AA84" s="44"/>
      <c r="AB84" s="18" t="s">
        <v>276</v>
      </c>
      <c r="AC84" s="45"/>
    </row>
    <row r="85" spans="1:49" ht="19.5" customHeight="1">
      <c r="A85" s="47" t="s">
        <v>347</v>
      </c>
      <c r="B85" s="48" t="s">
        <v>248</v>
      </c>
      <c r="C85" s="49" t="s">
        <v>348</v>
      </c>
      <c r="D85" s="50" t="s">
        <v>336</v>
      </c>
      <c r="E85" s="50" t="s">
        <v>337</v>
      </c>
      <c r="F85" s="8" t="s">
        <v>260</v>
      </c>
      <c r="G85" s="51" t="s">
        <v>261</v>
      </c>
      <c r="H85" s="51" t="s">
        <v>262</v>
      </c>
      <c r="I85" s="51" t="s">
        <v>263</v>
      </c>
      <c r="J85" s="35"/>
      <c r="K85" s="71" t="s">
        <v>349</v>
      </c>
      <c r="L85" s="12" t="s">
        <v>265</v>
      </c>
      <c r="M85" s="12" t="s">
        <v>266</v>
      </c>
      <c r="N85" s="13"/>
      <c r="O85" s="13"/>
      <c r="P85" s="13"/>
      <c r="Q85" s="70"/>
      <c r="R85" s="16"/>
      <c r="S85" s="16"/>
      <c r="T85" s="35"/>
      <c r="U85" s="44"/>
      <c r="V85" s="44"/>
      <c r="W85" s="44"/>
      <c r="X85" s="44"/>
      <c r="Y85" s="44"/>
      <c r="Z85" s="44"/>
      <c r="AA85" s="44"/>
      <c r="AB85" s="18" t="s">
        <v>276</v>
      </c>
      <c r="AC85" s="45"/>
    </row>
    <row r="86" spans="1:49" ht="19.5" customHeight="1">
      <c r="A86" s="47" t="s">
        <v>350</v>
      </c>
      <c r="B86" s="48" t="s">
        <v>248</v>
      </c>
      <c r="C86" s="49" t="s">
        <v>309</v>
      </c>
      <c r="D86" s="50" t="s">
        <v>336</v>
      </c>
      <c r="E86" s="50" t="s">
        <v>337</v>
      </c>
      <c r="F86" s="8" t="s">
        <v>270</v>
      </c>
      <c r="G86" s="51" t="s">
        <v>261</v>
      </c>
      <c r="H86" s="51" t="s">
        <v>271</v>
      </c>
      <c r="I86" s="51" t="s">
        <v>272</v>
      </c>
      <c r="J86" s="35"/>
      <c r="K86" s="71" t="s">
        <v>351</v>
      </c>
      <c r="L86" s="12" t="s">
        <v>274</v>
      </c>
      <c r="M86" s="12" t="s">
        <v>352</v>
      </c>
      <c r="N86" s="13"/>
      <c r="O86" s="13"/>
      <c r="P86" s="13"/>
      <c r="Q86" s="70"/>
      <c r="R86" s="16"/>
      <c r="S86" s="16"/>
      <c r="T86" s="35"/>
      <c r="U86" s="44"/>
      <c r="V86" s="44"/>
      <c r="W86" s="44"/>
      <c r="X86" s="44"/>
      <c r="Y86" s="44"/>
      <c r="Z86" s="44"/>
      <c r="AA86" s="44"/>
      <c r="AB86" s="50"/>
      <c r="AC86" s="45"/>
    </row>
    <row r="87" spans="1:49" ht="19.5" customHeight="1">
      <c r="A87" s="47" t="s">
        <v>353</v>
      </c>
      <c r="B87" s="48" t="s">
        <v>248</v>
      </c>
      <c r="C87" s="49" t="s">
        <v>354</v>
      </c>
      <c r="D87" s="50" t="s">
        <v>355</v>
      </c>
      <c r="E87" s="50" t="s">
        <v>356</v>
      </c>
      <c r="F87" s="8" t="s">
        <v>260</v>
      </c>
      <c r="G87" s="51" t="s">
        <v>261</v>
      </c>
      <c r="H87" s="51" t="s">
        <v>262</v>
      </c>
      <c r="I87" s="51" t="s">
        <v>263</v>
      </c>
      <c r="J87" s="35"/>
      <c r="K87" s="71" t="s">
        <v>357</v>
      </c>
      <c r="L87" s="12" t="s">
        <v>265</v>
      </c>
      <c r="M87" s="12" t="s">
        <v>266</v>
      </c>
      <c r="N87" s="13"/>
      <c r="O87" s="13"/>
      <c r="P87" s="13"/>
      <c r="Q87" s="70"/>
      <c r="R87" s="16"/>
      <c r="S87" s="16"/>
      <c r="T87" s="35"/>
      <c r="U87" s="44"/>
      <c r="V87" s="44"/>
      <c r="W87" s="44"/>
      <c r="X87" s="44"/>
      <c r="Y87" s="44"/>
      <c r="Z87" s="44"/>
      <c r="AA87" s="44"/>
      <c r="AB87" s="50" t="s">
        <v>267</v>
      </c>
      <c r="AC87" s="45"/>
    </row>
    <row r="88" spans="1:49" ht="19.5" customHeight="1">
      <c r="A88" s="47" t="s">
        <v>358</v>
      </c>
      <c r="B88" s="48" t="s">
        <v>248</v>
      </c>
      <c r="C88" s="49" t="s">
        <v>359</v>
      </c>
      <c r="D88" s="50" t="s">
        <v>355</v>
      </c>
      <c r="E88" s="50" t="s">
        <v>356</v>
      </c>
      <c r="F88" s="8" t="s">
        <v>270</v>
      </c>
      <c r="G88" s="51" t="s">
        <v>261</v>
      </c>
      <c r="H88" s="51" t="s">
        <v>271</v>
      </c>
      <c r="I88" s="51" t="s">
        <v>272</v>
      </c>
      <c r="J88" s="35"/>
      <c r="K88" s="12" t="s">
        <v>360</v>
      </c>
      <c r="L88" s="12" t="s">
        <v>274</v>
      </c>
      <c r="M88" s="12" t="s">
        <v>361</v>
      </c>
      <c r="N88" s="13"/>
      <c r="O88" s="13"/>
      <c r="P88" s="13"/>
      <c r="Q88" s="70"/>
      <c r="R88" s="16"/>
      <c r="S88" s="16"/>
      <c r="T88" s="35"/>
      <c r="U88" s="44"/>
      <c r="V88" s="44"/>
      <c r="W88" s="44"/>
      <c r="X88" s="44"/>
      <c r="Y88" s="44"/>
      <c r="Z88" s="44"/>
      <c r="AA88" s="44"/>
      <c r="AB88" s="18" t="s">
        <v>276</v>
      </c>
      <c r="AC88" s="45"/>
    </row>
    <row r="89" spans="1:49" ht="19.5" customHeight="1">
      <c r="A89" s="244" t="s">
        <v>362</v>
      </c>
      <c r="B89" s="234"/>
      <c r="C89" s="234"/>
      <c r="D89" s="234"/>
      <c r="E89" s="234"/>
      <c r="F89" s="234"/>
      <c r="G89" s="234"/>
      <c r="H89" s="234"/>
      <c r="I89" s="235"/>
      <c r="J89" s="60"/>
      <c r="K89" s="242"/>
      <c r="L89" s="234"/>
      <c r="M89" s="234"/>
      <c r="N89" s="234"/>
      <c r="O89" s="234"/>
      <c r="P89" s="234"/>
      <c r="Q89" s="234"/>
      <c r="R89" s="234"/>
      <c r="S89" s="235"/>
      <c r="T89" s="60"/>
      <c r="U89" s="243"/>
      <c r="V89" s="234"/>
      <c r="W89" s="234"/>
      <c r="X89" s="234"/>
      <c r="Y89" s="234"/>
      <c r="Z89" s="234"/>
      <c r="AA89" s="235"/>
      <c r="AB89" s="77"/>
      <c r="AC89" s="77"/>
      <c r="AD89" s="78"/>
      <c r="AE89" s="78"/>
      <c r="AF89" s="78"/>
      <c r="AG89" s="78"/>
      <c r="AH89" s="78"/>
      <c r="AI89" s="78"/>
      <c r="AJ89" s="78"/>
      <c r="AK89" s="78"/>
      <c r="AL89" s="78"/>
      <c r="AM89" s="78"/>
      <c r="AN89" s="78"/>
      <c r="AO89" s="78"/>
      <c r="AP89" s="78"/>
      <c r="AQ89" s="78"/>
      <c r="AR89" s="78"/>
      <c r="AS89" s="78"/>
      <c r="AT89" s="78"/>
      <c r="AU89" s="78"/>
      <c r="AV89" s="78"/>
      <c r="AW89" s="78"/>
    </row>
    <row r="90" spans="1:49" ht="19.5" customHeight="1">
      <c r="A90" s="54" t="s">
        <v>363</v>
      </c>
      <c r="B90" s="55" t="s">
        <v>248</v>
      </c>
      <c r="C90" s="56"/>
      <c r="D90" s="57" t="s">
        <v>364</v>
      </c>
      <c r="E90" s="57" t="s">
        <v>365</v>
      </c>
      <c r="F90" s="58" t="s">
        <v>252</v>
      </c>
      <c r="G90" s="59" t="s">
        <v>253</v>
      </c>
      <c r="H90" s="59" t="s">
        <v>254</v>
      </c>
      <c r="I90" s="59" t="s">
        <v>255</v>
      </c>
      <c r="J90" s="60"/>
      <c r="K90" s="72" t="s">
        <v>366</v>
      </c>
      <c r="L90" s="72" t="s">
        <v>367</v>
      </c>
      <c r="M90" s="73"/>
      <c r="N90" s="73"/>
      <c r="O90" s="73"/>
      <c r="P90" s="73"/>
      <c r="Q90" s="73"/>
      <c r="R90" s="73"/>
      <c r="S90" s="73"/>
      <c r="T90" s="60"/>
      <c r="U90" s="61"/>
      <c r="V90" s="61"/>
      <c r="W90" s="61"/>
      <c r="X90" s="61"/>
      <c r="Y90" s="61"/>
      <c r="Z90" s="61"/>
      <c r="AA90" s="61"/>
      <c r="AB90" s="73"/>
      <c r="AC90" s="77" t="s">
        <v>368</v>
      </c>
      <c r="AD90" s="78"/>
      <c r="AE90" s="78"/>
      <c r="AF90" s="78"/>
      <c r="AG90" s="78"/>
      <c r="AH90" s="78"/>
      <c r="AI90" s="78"/>
      <c r="AJ90" s="78"/>
      <c r="AK90" s="78"/>
      <c r="AL90" s="78"/>
      <c r="AM90" s="78"/>
      <c r="AN90" s="78"/>
      <c r="AO90" s="78"/>
      <c r="AP90" s="78"/>
      <c r="AQ90" s="78"/>
      <c r="AR90" s="78"/>
      <c r="AS90" s="78"/>
      <c r="AT90" s="78"/>
      <c r="AU90" s="78"/>
      <c r="AV90" s="78"/>
      <c r="AW90" s="78"/>
    </row>
    <row r="91" spans="1:49" ht="19.5" customHeight="1">
      <c r="A91" s="54" t="s">
        <v>353</v>
      </c>
      <c r="B91" s="55" t="s">
        <v>248</v>
      </c>
      <c r="C91" s="56" t="s">
        <v>369</v>
      </c>
      <c r="D91" s="57" t="s">
        <v>364</v>
      </c>
      <c r="E91" s="57" t="s">
        <v>365</v>
      </c>
      <c r="F91" s="58" t="s">
        <v>260</v>
      </c>
      <c r="G91" s="59" t="s">
        <v>261</v>
      </c>
      <c r="H91" s="59" t="s">
        <v>262</v>
      </c>
      <c r="I91" s="59" t="s">
        <v>263</v>
      </c>
      <c r="J91" s="60"/>
      <c r="K91" s="72" t="s">
        <v>357</v>
      </c>
      <c r="L91" s="72" t="s">
        <v>265</v>
      </c>
      <c r="M91" s="72" t="s">
        <v>266</v>
      </c>
      <c r="N91" s="73"/>
      <c r="O91" s="73"/>
      <c r="P91" s="73"/>
      <c r="Q91" s="74"/>
      <c r="R91" s="75"/>
      <c r="S91" s="75"/>
      <c r="T91" s="60"/>
      <c r="U91" s="61"/>
      <c r="V91" s="61"/>
      <c r="W91" s="61"/>
      <c r="X91" s="61"/>
      <c r="Y91" s="61"/>
      <c r="Z91" s="61"/>
      <c r="AA91" s="61"/>
      <c r="AB91" s="57" t="s">
        <v>267</v>
      </c>
      <c r="AC91" s="77"/>
      <c r="AD91" s="78"/>
      <c r="AE91" s="78"/>
      <c r="AF91" s="78"/>
      <c r="AG91" s="78"/>
      <c r="AH91" s="78"/>
      <c r="AI91" s="78"/>
      <c r="AJ91" s="78"/>
      <c r="AK91" s="78"/>
      <c r="AL91" s="78"/>
      <c r="AM91" s="78"/>
      <c r="AN91" s="78"/>
      <c r="AO91" s="78"/>
      <c r="AP91" s="78"/>
      <c r="AQ91" s="78"/>
      <c r="AR91" s="78"/>
      <c r="AS91" s="78"/>
      <c r="AT91" s="78"/>
      <c r="AU91" s="78"/>
      <c r="AV91" s="78"/>
      <c r="AW91" s="78"/>
    </row>
    <row r="92" spans="1:49" ht="19.5" customHeight="1">
      <c r="A92" s="54" t="s">
        <v>358</v>
      </c>
      <c r="B92" s="55" t="s">
        <v>248</v>
      </c>
      <c r="C92" s="56" t="s">
        <v>370</v>
      </c>
      <c r="D92" s="57" t="s">
        <v>364</v>
      </c>
      <c r="E92" s="57" t="s">
        <v>365</v>
      </c>
      <c r="F92" s="58" t="s">
        <v>270</v>
      </c>
      <c r="G92" s="59" t="s">
        <v>261</v>
      </c>
      <c r="H92" s="59" t="s">
        <v>271</v>
      </c>
      <c r="I92" s="59" t="s">
        <v>272</v>
      </c>
      <c r="J92" s="60"/>
      <c r="K92" s="72" t="s">
        <v>313</v>
      </c>
      <c r="L92" s="72" t="s">
        <v>274</v>
      </c>
      <c r="M92" s="72" t="s">
        <v>314</v>
      </c>
      <c r="N92" s="73"/>
      <c r="O92" s="73"/>
      <c r="P92" s="73"/>
      <c r="Q92" s="74"/>
      <c r="R92" s="75"/>
      <c r="S92" s="75"/>
      <c r="T92" s="60"/>
      <c r="U92" s="61"/>
      <c r="V92" s="61"/>
      <c r="W92" s="61"/>
      <c r="X92" s="61"/>
      <c r="Y92" s="61"/>
      <c r="Z92" s="61"/>
      <c r="AA92" s="61"/>
      <c r="AB92" s="76" t="s">
        <v>276</v>
      </c>
      <c r="AC92" s="77"/>
      <c r="AD92" s="78"/>
      <c r="AE92" s="78"/>
      <c r="AF92" s="78"/>
      <c r="AG92" s="78"/>
      <c r="AH92" s="78"/>
      <c r="AI92" s="78"/>
      <c r="AJ92" s="78"/>
      <c r="AK92" s="78"/>
      <c r="AL92" s="78"/>
      <c r="AM92" s="78"/>
      <c r="AN92" s="78"/>
      <c r="AO92" s="78"/>
      <c r="AP92" s="78"/>
      <c r="AQ92" s="78"/>
      <c r="AR92" s="78"/>
      <c r="AS92" s="78"/>
      <c r="AT92" s="78"/>
      <c r="AU92" s="78"/>
      <c r="AV92" s="78"/>
      <c r="AW92" s="78"/>
    </row>
    <row r="93" spans="1:49" ht="19.5" customHeight="1">
      <c r="A93" s="81" t="s">
        <v>371</v>
      </c>
      <c r="B93" s="82"/>
      <c r="C93" s="83"/>
      <c r="D93" s="84"/>
      <c r="E93" s="84"/>
      <c r="F93" s="85" t="s">
        <v>279</v>
      </c>
      <c r="G93" s="84" t="s">
        <v>261</v>
      </c>
      <c r="H93" s="84" t="s">
        <v>280</v>
      </c>
      <c r="I93" s="84" t="s">
        <v>281</v>
      </c>
      <c r="J93" s="86"/>
      <c r="K93" s="87" t="s">
        <v>282</v>
      </c>
      <c r="L93" s="88"/>
      <c r="M93" s="88"/>
      <c r="N93" s="88"/>
      <c r="O93" s="88"/>
      <c r="P93" s="88"/>
      <c r="Q93" s="89"/>
      <c r="R93" s="90"/>
      <c r="S93" s="90"/>
      <c r="T93" s="86"/>
      <c r="U93" s="91"/>
      <c r="V93" s="91"/>
      <c r="W93" s="91"/>
      <c r="X93" s="91"/>
      <c r="Y93" s="91"/>
      <c r="Z93" s="91"/>
      <c r="AA93" s="91"/>
      <c r="AB93" s="92"/>
      <c r="AC93" s="91"/>
      <c r="AD93" s="93"/>
      <c r="AE93" s="93"/>
      <c r="AF93" s="93"/>
      <c r="AG93" s="93"/>
      <c r="AH93" s="93"/>
      <c r="AI93" s="93"/>
      <c r="AJ93" s="93"/>
      <c r="AK93" s="93"/>
      <c r="AL93" s="93"/>
      <c r="AM93" s="93"/>
      <c r="AN93" s="93"/>
      <c r="AO93" s="93"/>
      <c r="AP93" s="93"/>
      <c r="AQ93" s="93"/>
      <c r="AR93" s="93"/>
      <c r="AS93" s="93"/>
      <c r="AT93" s="93"/>
      <c r="AU93" s="93"/>
      <c r="AV93" s="93"/>
      <c r="AW93" s="93"/>
    </row>
    <row r="94" spans="1:49" ht="19.5" customHeight="1">
      <c r="A94" s="244" t="s">
        <v>372</v>
      </c>
      <c r="B94" s="234"/>
      <c r="C94" s="234"/>
      <c r="D94" s="234"/>
      <c r="E94" s="234"/>
      <c r="F94" s="234"/>
      <c r="G94" s="234"/>
      <c r="H94" s="234"/>
      <c r="I94" s="235"/>
      <c r="J94" s="60"/>
      <c r="K94" s="242"/>
      <c r="L94" s="234"/>
      <c r="M94" s="234"/>
      <c r="N94" s="234"/>
      <c r="O94" s="234"/>
      <c r="P94" s="234"/>
      <c r="Q94" s="234"/>
      <c r="R94" s="234"/>
      <c r="S94" s="235"/>
      <c r="T94" s="60"/>
      <c r="U94" s="243"/>
      <c r="V94" s="234"/>
      <c r="W94" s="234"/>
      <c r="X94" s="234"/>
      <c r="Y94" s="234"/>
      <c r="Z94" s="234"/>
      <c r="AA94" s="235"/>
      <c r="AB94" s="77"/>
      <c r="AC94" s="77"/>
      <c r="AD94" s="78"/>
      <c r="AE94" s="78"/>
      <c r="AF94" s="78"/>
      <c r="AG94" s="78"/>
      <c r="AH94" s="78"/>
      <c r="AI94" s="78"/>
      <c r="AJ94" s="78"/>
      <c r="AK94" s="78"/>
      <c r="AL94" s="78"/>
      <c r="AM94" s="78"/>
      <c r="AN94" s="78"/>
      <c r="AO94" s="78"/>
      <c r="AP94" s="78"/>
      <c r="AQ94" s="78"/>
      <c r="AR94" s="78"/>
      <c r="AS94" s="78"/>
      <c r="AT94" s="78"/>
      <c r="AU94" s="78"/>
      <c r="AV94" s="78"/>
      <c r="AW94" s="78"/>
    </row>
    <row r="95" spans="1:49" ht="19.5" customHeight="1">
      <c r="A95" s="54" t="s">
        <v>373</v>
      </c>
      <c r="B95" s="55" t="s">
        <v>248</v>
      </c>
      <c r="C95" s="94" t="s">
        <v>374</v>
      </c>
      <c r="D95" s="57" t="s">
        <v>375</v>
      </c>
      <c r="E95" s="57" t="s">
        <v>376</v>
      </c>
      <c r="F95" s="58" t="s">
        <v>252</v>
      </c>
      <c r="G95" s="59" t="s">
        <v>253</v>
      </c>
      <c r="H95" s="59" t="s">
        <v>254</v>
      </c>
      <c r="I95" s="59" t="s">
        <v>255</v>
      </c>
      <c r="J95" s="60"/>
      <c r="K95" s="95" t="s">
        <v>377</v>
      </c>
      <c r="L95" s="95" t="s">
        <v>378</v>
      </c>
      <c r="M95" s="73"/>
      <c r="N95" s="73"/>
      <c r="O95" s="73"/>
      <c r="P95" s="73"/>
      <c r="Q95" s="73"/>
      <c r="R95" s="73"/>
      <c r="S95" s="73"/>
      <c r="T95" s="60"/>
      <c r="U95" s="61"/>
      <c r="V95" s="61"/>
      <c r="W95" s="61"/>
      <c r="X95" s="61"/>
      <c r="Y95" s="61"/>
      <c r="Z95" s="61"/>
      <c r="AA95" s="61"/>
      <c r="AB95" s="73"/>
      <c r="AC95" s="77"/>
      <c r="AD95" s="78"/>
      <c r="AE95" s="78"/>
      <c r="AF95" s="78"/>
      <c r="AG95" s="78"/>
      <c r="AH95" s="78"/>
      <c r="AI95" s="78"/>
      <c r="AJ95" s="78"/>
      <c r="AK95" s="78"/>
      <c r="AL95" s="78"/>
      <c r="AM95" s="78"/>
      <c r="AN95" s="78"/>
      <c r="AO95" s="78"/>
      <c r="AP95" s="78"/>
      <c r="AQ95" s="78"/>
      <c r="AR95" s="78"/>
      <c r="AS95" s="78"/>
      <c r="AT95" s="78"/>
      <c r="AU95" s="78"/>
      <c r="AV95" s="78"/>
      <c r="AW95" s="78"/>
    </row>
    <row r="96" spans="1:49" ht="19.5" customHeight="1">
      <c r="A96" s="54" t="s">
        <v>379</v>
      </c>
      <c r="B96" s="55" t="s">
        <v>248</v>
      </c>
      <c r="C96" s="94" t="s">
        <v>380</v>
      </c>
      <c r="D96" s="57" t="s">
        <v>375</v>
      </c>
      <c r="E96" s="57" t="s">
        <v>376</v>
      </c>
      <c r="F96" s="58" t="s">
        <v>279</v>
      </c>
      <c r="G96" s="59" t="s">
        <v>261</v>
      </c>
      <c r="H96" s="59" t="s">
        <v>280</v>
      </c>
      <c r="I96" s="59" t="s">
        <v>281</v>
      </c>
      <c r="J96" s="60"/>
      <c r="K96" s="72" t="s">
        <v>381</v>
      </c>
      <c r="L96" s="72" t="s">
        <v>382</v>
      </c>
      <c r="M96" s="72" t="s">
        <v>383</v>
      </c>
      <c r="N96" s="73"/>
      <c r="O96" s="73"/>
      <c r="P96" s="73"/>
      <c r="Q96" s="74"/>
      <c r="R96" s="74"/>
      <c r="S96" s="74"/>
      <c r="T96" s="60"/>
      <c r="U96" s="61"/>
      <c r="V96" s="61"/>
      <c r="W96" s="61"/>
      <c r="X96" s="61"/>
      <c r="Y96" s="62"/>
      <c r="Z96" s="62"/>
      <c r="AA96" s="62"/>
      <c r="AB96" s="96" t="s">
        <v>384</v>
      </c>
      <c r="AC96" s="96" t="s">
        <v>288</v>
      </c>
      <c r="AD96" s="78"/>
      <c r="AE96" s="78"/>
      <c r="AF96" s="78"/>
      <c r="AG96" s="78"/>
      <c r="AH96" s="78"/>
      <c r="AI96" s="78"/>
      <c r="AJ96" s="78"/>
      <c r="AK96" s="78"/>
      <c r="AL96" s="78"/>
      <c r="AM96" s="78"/>
      <c r="AN96" s="78"/>
      <c r="AO96" s="78"/>
      <c r="AP96" s="78"/>
      <c r="AQ96" s="78"/>
      <c r="AR96" s="78"/>
      <c r="AS96" s="78"/>
      <c r="AT96" s="78"/>
      <c r="AU96" s="78"/>
      <c r="AV96" s="78"/>
      <c r="AW96" s="78"/>
    </row>
    <row r="97" spans="1:49" ht="19.5" customHeight="1">
      <c r="A97" s="237" t="s">
        <v>385</v>
      </c>
      <c r="B97" s="234"/>
      <c r="C97" s="234"/>
      <c r="D97" s="234"/>
      <c r="E97" s="234"/>
      <c r="F97" s="234"/>
      <c r="G97" s="234"/>
      <c r="H97" s="234"/>
      <c r="I97" s="235"/>
      <c r="J97" s="97"/>
      <c r="K97" s="12"/>
      <c r="L97" s="12"/>
      <c r="M97" s="12"/>
      <c r="N97" s="13"/>
      <c r="O97" s="13"/>
      <c r="P97" s="13"/>
      <c r="Q97" s="12"/>
      <c r="R97" s="16"/>
      <c r="S97" s="16"/>
      <c r="T97" s="97"/>
      <c r="U97" s="42"/>
      <c r="V97" s="42"/>
      <c r="W97" s="42"/>
      <c r="X97" s="42"/>
      <c r="Y97" s="98"/>
      <c r="Z97" s="98"/>
      <c r="AA97" s="98"/>
      <c r="AB97" s="98"/>
      <c r="AC97" s="99"/>
    </row>
    <row r="98" spans="1:49" ht="19.5" customHeight="1">
      <c r="A98" s="47" t="s">
        <v>386</v>
      </c>
      <c r="B98" s="48" t="s">
        <v>248</v>
      </c>
      <c r="C98" s="100" t="s">
        <v>387</v>
      </c>
      <c r="D98" s="101"/>
      <c r="E98" s="101"/>
      <c r="F98" s="102" t="s">
        <v>252</v>
      </c>
      <c r="G98" s="103" t="s">
        <v>253</v>
      </c>
      <c r="H98" s="103" t="s">
        <v>254</v>
      </c>
      <c r="I98" s="103"/>
      <c r="J98" s="15"/>
      <c r="K98" s="12" t="s">
        <v>388</v>
      </c>
      <c r="L98" s="52" t="s">
        <v>389</v>
      </c>
      <c r="M98" s="12"/>
      <c r="N98" s="13"/>
      <c r="O98" s="13"/>
      <c r="P98" s="13"/>
      <c r="Q98" s="12"/>
      <c r="R98" s="16"/>
      <c r="S98" s="16"/>
      <c r="T98" s="15"/>
      <c r="U98" s="18"/>
      <c r="V98" s="18"/>
      <c r="W98" s="18"/>
      <c r="X98" s="18"/>
      <c r="Y98" s="18"/>
      <c r="Z98" s="18"/>
      <c r="AA98" s="18"/>
      <c r="AB98" s="18"/>
      <c r="AC98" s="22"/>
    </row>
    <row r="99" spans="1:49" ht="19.5" customHeight="1">
      <c r="A99" s="104" t="s">
        <v>390</v>
      </c>
      <c r="B99" s="48" t="s">
        <v>248</v>
      </c>
      <c r="C99" s="105" t="s">
        <v>391</v>
      </c>
      <c r="D99" s="101"/>
      <c r="E99" s="101"/>
      <c r="F99" s="106" t="s">
        <v>291</v>
      </c>
      <c r="G99" s="103" t="s">
        <v>261</v>
      </c>
      <c r="H99" s="103" t="s">
        <v>292</v>
      </c>
      <c r="I99" s="103" t="s">
        <v>293</v>
      </c>
      <c r="J99" s="15"/>
      <c r="K99" s="68" t="s">
        <v>392</v>
      </c>
      <c r="L99" s="52" t="s">
        <v>393</v>
      </c>
      <c r="M99" s="12" t="s">
        <v>394</v>
      </c>
      <c r="N99" s="13"/>
      <c r="O99" s="13"/>
      <c r="P99" s="13"/>
      <c r="Q99" s="12"/>
      <c r="R99" s="16"/>
      <c r="S99" s="16"/>
      <c r="T99" s="15"/>
      <c r="U99" s="18"/>
      <c r="V99" s="18"/>
      <c r="W99" s="18"/>
      <c r="X99" s="18"/>
      <c r="Y99" s="18"/>
      <c r="Z99" s="18"/>
      <c r="AA99" s="18"/>
      <c r="AB99" s="18"/>
      <c r="AC99" s="22"/>
    </row>
    <row r="100" spans="1:49" ht="19.5" customHeight="1">
      <c r="A100" s="237" t="s">
        <v>372</v>
      </c>
      <c r="B100" s="234"/>
      <c r="C100" s="234"/>
      <c r="D100" s="234"/>
      <c r="E100" s="234"/>
      <c r="F100" s="234"/>
      <c r="G100" s="234"/>
      <c r="H100" s="234"/>
      <c r="I100" s="235"/>
      <c r="J100" s="15"/>
      <c r="L100" s="12"/>
      <c r="M100" s="12"/>
      <c r="N100" s="13"/>
      <c r="O100" s="13"/>
      <c r="P100" s="13"/>
      <c r="Q100" s="12"/>
      <c r="R100" s="16"/>
      <c r="S100" s="16"/>
      <c r="T100" s="15"/>
      <c r="U100" s="18"/>
      <c r="V100" s="18"/>
      <c r="W100" s="18"/>
      <c r="X100" s="18"/>
      <c r="Y100" s="18"/>
      <c r="Z100" s="18"/>
      <c r="AA100" s="18"/>
      <c r="AB100" s="18"/>
      <c r="AC100" s="22"/>
    </row>
    <row r="101" spans="1:49" ht="19.5" customHeight="1">
      <c r="A101" s="8" t="s">
        <v>395</v>
      </c>
      <c r="B101" s="48" t="s">
        <v>248</v>
      </c>
      <c r="C101" s="100" t="s">
        <v>387</v>
      </c>
      <c r="D101" s="107" t="s">
        <v>375</v>
      </c>
      <c r="E101" s="107" t="s">
        <v>376</v>
      </c>
      <c r="F101" s="108" t="s">
        <v>396</v>
      </c>
      <c r="G101" s="107" t="s">
        <v>253</v>
      </c>
      <c r="H101" s="107" t="s">
        <v>254</v>
      </c>
      <c r="I101" s="107"/>
      <c r="J101" s="15"/>
      <c r="K101" s="12" t="s">
        <v>388</v>
      </c>
      <c r="L101" s="109"/>
      <c r="M101" s="12"/>
      <c r="N101" s="13"/>
      <c r="O101" s="13"/>
      <c r="P101" s="13"/>
      <c r="Q101" s="12"/>
      <c r="R101" s="16"/>
      <c r="S101" s="16"/>
      <c r="T101" s="15"/>
      <c r="U101" s="18"/>
      <c r="V101" s="18"/>
      <c r="W101" s="18"/>
      <c r="X101" s="18"/>
      <c r="Y101" s="18"/>
      <c r="Z101" s="18"/>
      <c r="AA101" s="18"/>
      <c r="AB101" s="18"/>
      <c r="AC101" s="22"/>
    </row>
    <row r="102" spans="1:49" ht="19.5" customHeight="1">
      <c r="A102" s="8" t="s">
        <v>379</v>
      </c>
      <c r="B102" s="48" t="s">
        <v>248</v>
      </c>
      <c r="C102" s="100" t="s">
        <v>380</v>
      </c>
      <c r="D102" s="110"/>
      <c r="E102" s="107"/>
      <c r="F102" s="108" t="s">
        <v>279</v>
      </c>
      <c r="G102" s="107" t="s">
        <v>261</v>
      </c>
      <c r="H102" s="107" t="s">
        <v>280</v>
      </c>
      <c r="I102" s="107" t="s">
        <v>281</v>
      </c>
      <c r="J102" s="15"/>
      <c r="K102" s="12" t="s">
        <v>381</v>
      </c>
      <c r="L102" s="12" t="s">
        <v>382</v>
      </c>
      <c r="M102" s="12" t="s">
        <v>383</v>
      </c>
      <c r="N102" s="13"/>
      <c r="O102" s="13"/>
      <c r="P102" s="13"/>
      <c r="Q102" s="12"/>
      <c r="R102" s="16"/>
      <c r="S102" s="16"/>
      <c r="T102" s="15"/>
      <c r="U102" s="18"/>
      <c r="V102" s="18"/>
      <c r="W102" s="18"/>
      <c r="X102" s="18"/>
      <c r="Y102" s="18"/>
      <c r="Z102" s="18"/>
      <c r="AA102" s="18"/>
      <c r="AB102" s="18" t="s">
        <v>397</v>
      </c>
      <c r="AC102" s="22" t="s">
        <v>288</v>
      </c>
    </row>
    <row r="103" spans="1:49" ht="19.5" customHeight="1">
      <c r="A103" s="8"/>
      <c r="B103" s="50"/>
      <c r="C103" s="111"/>
      <c r="E103" s="8"/>
      <c r="F103" s="8"/>
      <c r="G103" s="8"/>
      <c r="H103" s="8"/>
      <c r="I103" s="8"/>
      <c r="J103" s="15"/>
      <c r="K103" s="12"/>
      <c r="L103" s="12"/>
      <c r="M103" s="12"/>
      <c r="N103" s="12"/>
      <c r="O103" s="12"/>
      <c r="P103" s="12"/>
      <c r="Q103" s="12"/>
      <c r="R103" s="16"/>
      <c r="S103" s="16"/>
      <c r="T103" s="15"/>
      <c r="U103" s="18"/>
      <c r="V103" s="18"/>
      <c r="W103" s="18"/>
      <c r="X103" s="18"/>
      <c r="Y103" s="18"/>
      <c r="Z103" s="18"/>
      <c r="AA103" s="18"/>
      <c r="AB103" s="18"/>
      <c r="AC103" s="22"/>
    </row>
    <row r="104" spans="1:49" ht="19.5" customHeight="1">
      <c r="A104" s="8"/>
      <c r="B104" s="112" t="s">
        <v>248</v>
      </c>
      <c r="C104" s="8" t="s">
        <v>398</v>
      </c>
      <c r="D104" s="8"/>
      <c r="E104" s="8"/>
      <c r="F104" s="8" t="s">
        <v>399</v>
      </c>
      <c r="G104" s="10" t="str">
        <f>HLOOKUP($F104,'Sensor Type Details'!$B$1:$R$4,G$1+1)</f>
        <v>Weather station</v>
      </c>
      <c r="H104" s="10" t="str">
        <f>HLOOKUP($F104,'Sensor Type Details'!$B$1:$R$4,H$1+1)</f>
        <v>No-lora</v>
      </c>
      <c r="I104" s="10" t="str">
        <f>HLOOKUP($F104,'Sensor Type Details'!$B$1:$R$4,I$1+1)</f>
        <v>Weather station - old</v>
      </c>
      <c r="J104" s="15"/>
      <c r="K104" s="12"/>
      <c r="L104" s="12"/>
      <c r="M104" s="12"/>
      <c r="N104" s="13"/>
      <c r="O104" s="13"/>
      <c r="P104" s="13"/>
      <c r="Q104" s="12"/>
      <c r="R104" s="16"/>
      <c r="S104" s="16"/>
      <c r="T104" s="15"/>
      <c r="U104" s="18"/>
      <c r="V104" s="18"/>
      <c r="W104" s="18"/>
      <c r="X104" s="18"/>
      <c r="Y104" s="18"/>
      <c r="Z104" s="18"/>
      <c r="AA104" s="18"/>
      <c r="AB104" s="18"/>
      <c r="AC104" s="22"/>
    </row>
    <row r="105" spans="1:49" ht="19.5" customHeight="1">
      <c r="A105" s="8"/>
      <c r="B105" s="112"/>
      <c r="C105" s="8"/>
      <c r="D105" s="8"/>
      <c r="E105" s="8"/>
      <c r="F105" s="8"/>
      <c r="G105" s="10"/>
      <c r="H105" s="10"/>
      <c r="I105" s="10"/>
      <c r="J105" s="15"/>
      <c r="K105" s="12"/>
      <c r="L105" s="12"/>
      <c r="M105" s="12"/>
      <c r="N105" s="13"/>
      <c r="O105" s="13"/>
      <c r="P105" s="13"/>
      <c r="Q105" s="12"/>
      <c r="R105" s="16"/>
      <c r="S105" s="16"/>
      <c r="T105" s="15"/>
      <c r="U105" s="18"/>
      <c r="V105" s="18"/>
      <c r="W105" s="18"/>
      <c r="X105" s="18"/>
      <c r="Y105" s="18"/>
      <c r="Z105" s="18"/>
      <c r="AA105" s="18"/>
      <c r="AB105" s="18"/>
      <c r="AC105" s="22"/>
    </row>
    <row r="106" spans="1:49" ht="19.5" customHeight="1">
      <c r="A106" s="8"/>
      <c r="B106" s="112"/>
      <c r="C106" s="8"/>
      <c r="D106" s="8"/>
      <c r="E106" s="8"/>
      <c r="F106" s="8"/>
      <c r="G106" s="10"/>
      <c r="H106" s="10"/>
      <c r="I106" s="10"/>
      <c r="J106" s="15"/>
      <c r="K106" s="113" t="s">
        <v>310</v>
      </c>
      <c r="L106" s="12" t="s">
        <v>274</v>
      </c>
      <c r="M106" s="12" t="s">
        <v>311</v>
      </c>
      <c r="N106" s="13"/>
      <c r="O106" s="13"/>
      <c r="P106" s="13"/>
      <c r="Q106" s="12"/>
      <c r="R106" s="16"/>
      <c r="S106" s="16"/>
      <c r="T106" s="15"/>
      <c r="U106" s="18"/>
      <c r="V106" s="18"/>
      <c r="W106" s="18"/>
      <c r="X106" s="18"/>
      <c r="Y106" s="18"/>
      <c r="Z106" s="18"/>
      <c r="AA106" s="18"/>
      <c r="AB106" s="18"/>
      <c r="AC106" s="22"/>
    </row>
    <row r="107" spans="1:49" ht="30.75" customHeight="1">
      <c r="A107" s="245" t="s">
        <v>400</v>
      </c>
      <c r="B107" s="234"/>
      <c r="C107" s="234"/>
      <c r="D107" s="234"/>
      <c r="E107" s="234"/>
      <c r="F107" s="234"/>
      <c r="G107" s="234"/>
      <c r="H107" s="234"/>
      <c r="I107" s="234"/>
      <c r="J107" s="234"/>
      <c r="K107" s="234"/>
      <c r="L107" s="234"/>
      <c r="M107" s="234"/>
      <c r="N107" s="234"/>
      <c r="O107" s="234"/>
      <c r="P107" s="234"/>
      <c r="Q107" s="234"/>
      <c r="R107" s="234"/>
      <c r="S107" s="234"/>
      <c r="T107" s="234"/>
      <c r="U107" s="234"/>
      <c r="V107" s="234"/>
      <c r="W107" s="234"/>
      <c r="X107" s="234"/>
      <c r="Y107" s="234"/>
      <c r="Z107" s="234"/>
      <c r="AA107" s="234"/>
      <c r="AB107" s="234"/>
      <c r="AC107" s="235"/>
      <c r="AD107" s="26"/>
      <c r="AE107" s="26"/>
      <c r="AF107" s="26"/>
      <c r="AG107" s="26"/>
      <c r="AH107" s="26"/>
      <c r="AI107" s="26"/>
      <c r="AJ107" s="26"/>
      <c r="AK107" s="26"/>
      <c r="AL107" s="26"/>
      <c r="AM107" s="26"/>
      <c r="AN107" s="26"/>
      <c r="AO107" s="26"/>
      <c r="AP107" s="26"/>
      <c r="AQ107" s="26"/>
      <c r="AR107" s="26"/>
      <c r="AS107" s="26"/>
      <c r="AT107" s="26"/>
      <c r="AU107" s="26"/>
      <c r="AV107" s="27"/>
      <c r="AW107" s="27"/>
    </row>
    <row r="108" spans="1:49" ht="30.75" customHeight="1">
      <c r="A108" s="8" t="s">
        <v>401</v>
      </c>
      <c r="B108" s="18" t="s">
        <v>402</v>
      </c>
      <c r="C108" s="18" t="s">
        <v>403</v>
      </c>
      <c r="D108" s="18"/>
      <c r="E108" s="18"/>
      <c r="F108" s="18"/>
      <c r="G108" s="10" t="s">
        <v>261</v>
      </c>
      <c r="H108" s="10" t="s">
        <v>404</v>
      </c>
      <c r="I108" s="10" t="s">
        <v>405</v>
      </c>
      <c r="J108" s="15"/>
      <c r="K108" s="13"/>
      <c r="L108" s="13"/>
      <c r="M108" s="13"/>
      <c r="N108" s="13"/>
      <c r="O108" s="13"/>
      <c r="P108" s="13"/>
      <c r="Q108" s="13"/>
      <c r="R108" s="13"/>
      <c r="S108" s="13"/>
      <c r="T108" s="15"/>
      <c r="U108" s="18"/>
      <c r="V108" s="18"/>
      <c r="W108" s="18"/>
      <c r="X108" s="18"/>
      <c r="Y108" s="18"/>
      <c r="Z108" s="18"/>
      <c r="AA108" s="18"/>
      <c r="AB108" s="18"/>
      <c r="AC108" s="22"/>
    </row>
    <row r="109" spans="1:49" ht="30.75" customHeight="1">
      <c r="A109" s="8" t="s">
        <v>406</v>
      </c>
      <c r="B109" s="18" t="s">
        <v>402</v>
      </c>
      <c r="C109" s="18" t="s">
        <v>403</v>
      </c>
      <c r="D109" s="18"/>
      <c r="E109" s="18"/>
      <c r="F109" s="18"/>
      <c r="G109" s="10" t="s">
        <v>261</v>
      </c>
      <c r="H109" s="10" t="s">
        <v>404</v>
      </c>
      <c r="I109" s="10" t="s">
        <v>405</v>
      </c>
      <c r="J109" s="15"/>
      <c r="K109" s="13"/>
      <c r="L109" s="13"/>
      <c r="M109" s="13"/>
      <c r="N109" s="13"/>
      <c r="O109" s="13"/>
      <c r="P109" s="13"/>
      <c r="Q109" s="13"/>
      <c r="R109" s="13"/>
      <c r="S109" s="13"/>
      <c r="T109" s="15"/>
      <c r="U109" s="18"/>
      <c r="V109" s="18"/>
      <c r="W109" s="18"/>
      <c r="X109" s="18"/>
      <c r="Y109" s="18"/>
      <c r="Z109" s="18"/>
      <c r="AA109" s="18"/>
      <c r="AB109" s="18"/>
      <c r="AC109" s="22"/>
    </row>
    <row r="110" spans="1:49" ht="30.75" customHeight="1">
      <c r="A110" s="8" t="s">
        <v>407</v>
      </c>
      <c r="B110" s="18" t="s">
        <v>402</v>
      </c>
      <c r="C110" s="18" t="s">
        <v>403</v>
      </c>
      <c r="D110" s="18"/>
      <c r="E110" s="18"/>
      <c r="F110" s="18"/>
      <c r="G110" s="10" t="s">
        <v>261</v>
      </c>
      <c r="H110" s="10" t="s">
        <v>404</v>
      </c>
      <c r="I110" s="10" t="s">
        <v>405</v>
      </c>
      <c r="J110" s="15"/>
      <c r="K110" s="13"/>
      <c r="L110" s="13"/>
      <c r="M110" s="13"/>
      <c r="N110" s="13"/>
      <c r="O110" s="13"/>
      <c r="P110" s="13"/>
      <c r="Q110" s="13"/>
      <c r="R110" s="13"/>
      <c r="S110" s="13"/>
      <c r="T110" s="15"/>
      <c r="U110" s="18"/>
      <c r="V110" s="18"/>
      <c r="W110" s="18"/>
      <c r="X110" s="18"/>
      <c r="Y110" s="18"/>
      <c r="Z110" s="18"/>
      <c r="AA110" s="18"/>
      <c r="AB110" s="18"/>
      <c r="AC110" s="22"/>
    </row>
    <row r="111" spans="1:49" ht="30.75" customHeight="1">
      <c r="A111" s="8" t="s">
        <v>408</v>
      </c>
      <c r="B111" s="114" t="s">
        <v>402</v>
      </c>
      <c r="C111" s="115" t="s">
        <v>409</v>
      </c>
      <c r="D111" s="18"/>
      <c r="E111" s="18"/>
      <c r="F111" s="18"/>
      <c r="G111" s="10" t="s">
        <v>261</v>
      </c>
      <c r="H111" s="10" t="s">
        <v>410</v>
      </c>
      <c r="I111" s="10"/>
      <c r="J111" s="15"/>
      <c r="K111" s="13"/>
      <c r="L111" s="13"/>
      <c r="M111" s="13"/>
      <c r="N111" s="13"/>
      <c r="O111" s="13"/>
      <c r="P111" s="13"/>
      <c r="Q111" s="13"/>
      <c r="R111" s="13"/>
      <c r="S111" s="13"/>
      <c r="T111" s="15"/>
      <c r="U111" s="18"/>
      <c r="V111" s="18"/>
      <c r="W111" s="18"/>
      <c r="X111" s="18"/>
      <c r="Y111" s="18"/>
      <c r="Z111" s="18"/>
      <c r="AA111" s="18"/>
      <c r="AB111" s="116" t="s">
        <v>411</v>
      </c>
      <c r="AC111" s="22"/>
    </row>
    <row r="112" spans="1:49" ht="30.75" customHeight="1">
      <c r="A112" s="8" t="s">
        <v>412</v>
      </c>
      <c r="B112" s="18" t="s">
        <v>402</v>
      </c>
      <c r="C112" s="18" t="s">
        <v>413</v>
      </c>
      <c r="D112" s="18"/>
      <c r="E112" s="18"/>
      <c r="F112" s="18"/>
      <c r="G112" s="10" t="s">
        <v>261</v>
      </c>
      <c r="H112" s="10" t="s">
        <v>414</v>
      </c>
      <c r="I112" s="10" t="s">
        <v>415</v>
      </c>
      <c r="J112" s="15"/>
      <c r="K112" s="13"/>
      <c r="L112" s="13"/>
      <c r="M112" s="13"/>
      <c r="N112" s="13"/>
      <c r="O112" s="13"/>
      <c r="P112" s="13"/>
      <c r="Q112" s="13"/>
      <c r="R112" s="13"/>
      <c r="S112" s="13"/>
      <c r="T112" s="15"/>
      <c r="U112" s="18"/>
      <c r="V112" s="18"/>
      <c r="W112" s="18"/>
      <c r="X112" s="18"/>
      <c r="Y112" s="18"/>
      <c r="Z112" s="18"/>
      <c r="AA112" s="18"/>
      <c r="AB112" s="116" t="s">
        <v>416</v>
      </c>
      <c r="AC112" s="22"/>
    </row>
    <row r="113" spans="1:49" ht="30.75" customHeight="1">
      <c r="A113" s="8" t="s">
        <v>417</v>
      </c>
      <c r="B113" s="18" t="s">
        <v>402</v>
      </c>
      <c r="C113" s="18" t="s">
        <v>418</v>
      </c>
      <c r="D113" s="18"/>
      <c r="E113" s="18"/>
      <c r="F113" s="18"/>
      <c r="G113" s="10" t="s">
        <v>261</v>
      </c>
      <c r="H113" s="10" t="s">
        <v>414</v>
      </c>
      <c r="I113" s="10" t="s">
        <v>419</v>
      </c>
      <c r="J113" s="15"/>
      <c r="K113" s="13"/>
      <c r="L113" s="13"/>
      <c r="M113" s="13"/>
      <c r="N113" s="13"/>
      <c r="O113" s="13"/>
      <c r="P113" s="13"/>
      <c r="Q113" s="13"/>
      <c r="R113" s="13"/>
      <c r="S113" s="13"/>
      <c r="T113" s="15"/>
      <c r="U113" s="18"/>
      <c r="V113" s="18"/>
      <c r="W113" s="18"/>
      <c r="X113" s="18"/>
      <c r="Y113" s="18"/>
      <c r="Z113" s="18"/>
      <c r="AA113" s="18"/>
      <c r="AB113" s="18" t="s">
        <v>420</v>
      </c>
      <c r="AC113" s="22"/>
    </row>
    <row r="114" spans="1:49" ht="30.75" customHeight="1">
      <c r="A114" s="8" t="s">
        <v>421</v>
      </c>
      <c r="B114" s="18" t="s">
        <v>402</v>
      </c>
      <c r="C114" s="18" t="s">
        <v>422</v>
      </c>
      <c r="D114" s="18"/>
      <c r="E114" s="18"/>
      <c r="F114" s="18"/>
      <c r="G114" s="10" t="s">
        <v>261</v>
      </c>
      <c r="H114" s="10" t="s">
        <v>423</v>
      </c>
      <c r="I114" s="10" t="s">
        <v>424</v>
      </c>
      <c r="J114" s="15"/>
      <c r="K114" s="13"/>
      <c r="L114" s="13"/>
      <c r="M114" s="13"/>
      <c r="N114" s="13"/>
      <c r="O114" s="13"/>
      <c r="P114" s="13"/>
      <c r="Q114" s="13"/>
      <c r="R114" s="13"/>
      <c r="S114" s="13"/>
      <c r="T114" s="15"/>
      <c r="U114" s="18"/>
      <c r="V114" s="18"/>
      <c r="W114" s="18"/>
      <c r="X114" s="18"/>
      <c r="Y114" s="18"/>
      <c r="Z114" s="18"/>
      <c r="AA114" s="18"/>
      <c r="AB114" s="18" t="s">
        <v>425</v>
      </c>
      <c r="AC114" s="22"/>
    </row>
    <row r="115" spans="1:49" ht="30.75" customHeight="1">
      <c r="A115" s="8" t="s">
        <v>426</v>
      </c>
      <c r="B115" s="18" t="s">
        <v>402</v>
      </c>
      <c r="C115" s="18" t="s">
        <v>422</v>
      </c>
      <c r="D115" s="18"/>
      <c r="E115" s="18"/>
      <c r="F115" s="18"/>
      <c r="G115" s="10" t="s">
        <v>261</v>
      </c>
      <c r="H115" s="10" t="s">
        <v>423</v>
      </c>
      <c r="I115" s="10" t="s">
        <v>424</v>
      </c>
      <c r="J115" s="15"/>
      <c r="K115" s="13"/>
      <c r="L115" s="13"/>
      <c r="M115" s="13"/>
      <c r="N115" s="13"/>
      <c r="O115" s="13"/>
      <c r="P115" s="13"/>
      <c r="Q115" s="13"/>
      <c r="R115" s="13"/>
      <c r="S115" s="13"/>
      <c r="T115" s="15"/>
      <c r="U115" s="22"/>
      <c r="V115" s="22"/>
      <c r="W115" s="22"/>
      <c r="X115" s="22"/>
      <c r="Y115" s="22"/>
      <c r="Z115" s="22"/>
      <c r="AA115" s="22"/>
      <c r="AB115" s="18" t="s">
        <v>425</v>
      </c>
      <c r="AC115" s="22"/>
    </row>
    <row r="116" spans="1:49" ht="30.75" customHeight="1">
      <c r="A116" s="8" t="s">
        <v>427</v>
      </c>
      <c r="B116" s="18" t="s">
        <v>402</v>
      </c>
      <c r="C116" s="18" t="s">
        <v>422</v>
      </c>
      <c r="D116" s="18"/>
      <c r="E116" s="18"/>
      <c r="F116" s="18"/>
      <c r="G116" s="10" t="s">
        <v>261</v>
      </c>
      <c r="H116" s="10" t="s">
        <v>423</v>
      </c>
      <c r="I116" s="10" t="s">
        <v>424</v>
      </c>
      <c r="J116" s="15"/>
      <c r="K116" s="13"/>
      <c r="L116" s="13"/>
      <c r="M116" s="13"/>
      <c r="N116" s="13"/>
      <c r="O116" s="13"/>
      <c r="P116" s="13"/>
      <c r="Q116" s="13"/>
      <c r="R116" s="13"/>
      <c r="S116" s="13"/>
      <c r="T116" s="15"/>
      <c r="U116" s="22"/>
      <c r="V116" s="22"/>
      <c r="W116" s="22"/>
      <c r="X116" s="22"/>
      <c r="Y116" s="22"/>
      <c r="Z116" s="22"/>
      <c r="AA116" s="22"/>
      <c r="AB116" s="18" t="s">
        <v>425</v>
      </c>
      <c r="AC116" s="22"/>
    </row>
    <row r="117" spans="1:49" ht="30.75" customHeight="1">
      <c r="A117" s="8" t="s">
        <v>428</v>
      </c>
      <c r="B117" s="18" t="s">
        <v>402</v>
      </c>
      <c r="C117" s="18" t="s">
        <v>422</v>
      </c>
      <c r="D117" s="18"/>
      <c r="E117" s="18"/>
      <c r="F117" s="18"/>
      <c r="G117" s="10" t="s">
        <v>261</v>
      </c>
      <c r="H117" s="10" t="s">
        <v>423</v>
      </c>
      <c r="I117" s="10" t="s">
        <v>424</v>
      </c>
      <c r="J117" s="15"/>
      <c r="K117" s="13"/>
      <c r="L117" s="13"/>
      <c r="M117" s="13"/>
      <c r="N117" s="13"/>
      <c r="O117" s="13"/>
      <c r="P117" s="13"/>
      <c r="Q117" s="13"/>
      <c r="R117" s="13"/>
      <c r="S117" s="13"/>
      <c r="T117" s="15"/>
      <c r="U117" s="22"/>
      <c r="V117" s="22"/>
      <c r="W117" s="22"/>
      <c r="X117" s="22"/>
      <c r="Y117" s="22"/>
      <c r="Z117" s="22"/>
      <c r="AA117" s="22"/>
      <c r="AB117" s="18" t="s">
        <v>425</v>
      </c>
      <c r="AC117" s="22"/>
    </row>
    <row r="118" spans="1:49" ht="30.75" customHeight="1">
      <c r="A118" s="8" t="s">
        <v>429</v>
      </c>
      <c r="B118" s="18" t="s">
        <v>402</v>
      </c>
      <c r="C118" s="18" t="s">
        <v>422</v>
      </c>
      <c r="D118" s="18"/>
      <c r="E118" s="18"/>
      <c r="F118" s="18"/>
      <c r="G118" s="10" t="s">
        <v>261</v>
      </c>
      <c r="H118" s="10" t="s">
        <v>423</v>
      </c>
      <c r="I118" s="10" t="s">
        <v>424</v>
      </c>
      <c r="J118" s="15"/>
      <c r="K118" s="13"/>
      <c r="L118" s="13"/>
      <c r="M118" s="13"/>
      <c r="N118" s="13"/>
      <c r="O118" s="13"/>
      <c r="P118" s="13"/>
      <c r="Q118" s="13"/>
      <c r="R118" s="13"/>
      <c r="S118" s="13"/>
      <c r="T118" s="15"/>
      <c r="U118" s="22"/>
      <c r="V118" s="22"/>
      <c r="W118" s="22"/>
      <c r="X118" s="22"/>
      <c r="Y118" s="22"/>
      <c r="Z118" s="22"/>
      <c r="AA118" s="22"/>
      <c r="AB118" s="18" t="s">
        <v>425</v>
      </c>
      <c r="AC118" s="22"/>
    </row>
    <row r="119" spans="1:49" ht="30.75" customHeight="1">
      <c r="A119" s="8" t="s">
        <v>430</v>
      </c>
      <c r="B119" s="18" t="s">
        <v>402</v>
      </c>
      <c r="C119" s="18" t="s">
        <v>422</v>
      </c>
      <c r="D119" s="18"/>
      <c r="E119" s="18"/>
      <c r="F119" s="18"/>
      <c r="G119" s="10" t="s">
        <v>261</v>
      </c>
      <c r="H119" s="10" t="s">
        <v>423</v>
      </c>
      <c r="I119" s="10" t="s">
        <v>424</v>
      </c>
      <c r="J119" s="117"/>
      <c r="K119" s="13"/>
      <c r="L119" s="13"/>
      <c r="M119" s="13"/>
      <c r="N119" s="13"/>
      <c r="O119" s="13"/>
      <c r="P119" s="13"/>
      <c r="Q119" s="13"/>
      <c r="R119" s="13"/>
      <c r="S119" s="13"/>
      <c r="T119" s="117"/>
      <c r="U119" s="22"/>
      <c r="V119" s="22"/>
      <c r="W119" s="22"/>
      <c r="X119" s="22"/>
      <c r="Y119" s="22"/>
      <c r="Z119" s="22"/>
      <c r="AA119" s="22"/>
      <c r="AB119" s="18" t="s">
        <v>425</v>
      </c>
      <c r="AC119" s="22"/>
    </row>
    <row r="120" spans="1:49" ht="14.25">
      <c r="A120" s="8" t="s">
        <v>431</v>
      </c>
      <c r="B120" s="18" t="s">
        <v>402</v>
      </c>
      <c r="C120" s="18" t="s">
        <v>422</v>
      </c>
      <c r="D120" s="18"/>
      <c r="E120" s="18"/>
      <c r="F120" s="18"/>
      <c r="G120" s="10" t="s">
        <v>261</v>
      </c>
      <c r="H120" s="10" t="s">
        <v>423</v>
      </c>
      <c r="I120" s="10" t="s">
        <v>424</v>
      </c>
      <c r="J120" s="117"/>
      <c r="K120" s="13"/>
      <c r="L120" s="13"/>
      <c r="M120" s="13"/>
      <c r="N120" s="13"/>
      <c r="O120" s="13"/>
      <c r="P120" s="13"/>
      <c r="Q120" s="13"/>
      <c r="R120" s="13"/>
      <c r="S120" s="13"/>
      <c r="T120" s="117"/>
      <c r="U120" s="22"/>
      <c r="V120" s="22"/>
      <c r="W120" s="22"/>
      <c r="X120" s="22"/>
      <c r="Y120" s="22"/>
      <c r="Z120" s="22"/>
      <c r="AA120" s="22"/>
      <c r="AB120" s="18" t="s">
        <v>425</v>
      </c>
      <c r="AC120" s="22"/>
    </row>
    <row r="121" spans="1:49" ht="14.25">
      <c r="A121" s="8" t="s">
        <v>432</v>
      </c>
      <c r="B121" s="18" t="s">
        <v>402</v>
      </c>
      <c r="C121" s="18" t="s">
        <v>422</v>
      </c>
      <c r="D121" s="18"/>
      <c r="E121" s="18"/>
      <c r="F121" s="18"/>
      <c r="G121" s="10" t="s">
        <v>261</v>
      </c>
      <c r="H121" s="10" t="s">
        <v>423</v>
      </c>
      <c r="I121" s="10" t="s">
        <v>424</v>
      </c>
      <c r="J121" s="117"/>
      <c r="K121" s="13"/>
      <c r="L121" s="13"/>
      <c r="M121" s="13"/>
      <c r="N121" s="13"/>
      <c r="O121" s="13"/>
      <c r="P121" s="13"/>
      <c r="Q121" s="13"/>
      <c r="R121" s="13"/>
      <c r="S121" s="13"/>
      <c r="T121" s="117"/>
      <c r="U121" s="22"/>
      <c r="V121" s="22"/>
      <c r="W121" s="22"/>
      <c r="X121" s="22"/>
      <c r="Y121" s="22"/>
      <c r="Z121" s="22"/>
      <c r="AA121" s="22"/>
      <c r="AB121" s="18" t="s">
        <v>425</v>
      </c>
      <c r="AC121" s="22"/>
    </row>
    <row r="122" spans="1:49" ht="14.25">
      <c r="A122" s="8" t="s">
        <v>433</v>
      </c>
      <c r="B122" s="18" t="s">
        <v>402</v>
      </c>
      <c r="C122" s="18" t="s">
        <v>422</v>
      </c>
      <c r="D122" s="18"/>
      <c r="E122" s="18"/>
      <c r="F122" s="18"/>
      <c r="G122" s="10" t="s">
        <v>261</v>
      </c>
      <c r="H122" s="10" t="s">
        <v>423</v>
      </c>
      <c r="I122" s="10" t="s">
        <v>424</v>
      </c>
      <c r="J122" s="117"/>
      <c r="K122" s="13"/>
      <c r="L122" s="13"/>
      <c r="M122" s="13"/>
      <c r="N122" s="13"/>
      <c r="O122" s="13"/>
      <c r="P122" s="13"/>
      <c r="Q122" s="13"/>
      <c r="R122" s="13"/>
      <c r="S122" s="13"/>
      <c r="T122" s="117"/>
      <c r="U122" s="22"/>
      <c r="V122" s="22"/>
      <c r="W122" s="22"/>
      <c r="X122" s="22"/>
      <c r="Y122" s="22"/>
      <c r="Z122" s="22"/>
      <c r="AA122" s="22"/>
      <c r="AB122" s="18" t="s">
        <v>425</v>
      </c>
      <c r="AC122" s="22"/>
    </row>
    <row r="123" spans="1:49">
      <c r="A123" s="246" t="s">
        <v>434</v>
      </c>
      <c r="B123" s="234"/>
      <c r="C123" s="234"/>
      <c r="D123" s="234"/>
      <c r="E123" s="234"/>
      <c r="F123" s="234"/>
      <c r="G123" s="234"/>
      <c r="H123" s="234"/>
      <c r="I123" s="234"/>
      <c r="J123" s="234"/>
      <c r="K123" s="234"/>
      <c r="L123" s="234"/>
      <c r="M123" s="234"/>
      <c r="N123" s="234"/>
      <c r="O123" s="234"/>
      <c r="P123" s="234"/>
      <c r="Q123" s="234"/>
      <c r="R123" s="234"/>
      <c r="S123" s="234"/>
      <c r="T123" s="234"/>
      <c r="U123" s="234"/>
      <c r="V123" s="234"/>
      <c r="W123" s="234"/>
      <c r="X123" s="234"/>
      <c r="Y123" s="234"/>
      <c r="Z123" s="234"/>
      <c r="AA123" s="234"/>
      <c r="AB123" s="234"/>
      <c r="AC123" s="235"/>
    </row>
    <row r="124" spans="1:49" ht="24.75" customHeight="1">
      <c r="A124" s="237" t="s">
        <v>435</v>
      </c>
      <c r="B124" s="234"/>
      <c r="C124" s="234"/>
      <c r="D124" s="234"/>
      <c r="E124" s="234"/>
      <c r="F124" s="234"/>
      <c r="G124" s="234"/>
      <c r="H124" s="234"/>
      <c r="I124" s="235"/>
      <c r="J124" s="35"/>
      <c r="K124" s="233"/>
      <c r="L124" s="234"/>
      <c r="M124" s="234"/>
      <c r="N124" s="234"/>
      <c r="O124" s="234"/>
      <c r="P124" s="234"/>
      <c r="Q124" s="234"/>
      <c r="R124" s="234"/>
      <c r="S124" s="235"/>
      <c r="T124" s="35"/>
      <c r="U124" s="236"/>
      <c r="V124" s="234"/>
      <c r="W124" s="234"/>
      <c r="X124" s="234"/>
      <c r="Y124" s="234"/>
      <c r="Z124" s="234"/>
      <c r="AA124" s="235"/>
      <c r="AB124" s="45"/>
      <c r="AC124" s="45"/>
      <c r="AD124" s="27"/>
      <c r="AE124" s="27"/>
      <c r="AF124" s="27"/>
      <c r="AG124" s="27"/>
      <c r="AH124" s="27"/>
      <c r="AI124" s="27"/>
      <c r="AJ124" s="27"/>
      <c r="AK124" s="27"/>
      <c r="AL124" s="27"/>
      <c r="AM124" s="27"/>
      <c r="AN124" s="27"/>
      <c r="AO124" s="27"/>
      <c r="AP124" s="27"/>
      <c r="AQ124" s="27"/>
      <c r="AR124" s="27"/>
      <c r="AS124" s="27"/>
      <c r="AT124" s="27"/>
      <c r="AU124" s="27"/>
      <c r="AV124" s="27"/>
      <c r="AW124" s="27"/>
    </row>
    <row r="125" spans="1:49" ht="28.5">
      <c r="A125" s="118" t="s">
        <v>436</v>
      </c>
      <c r="B125" s="119" t="s">
        <v>437</v>
      </c>
      <c r="C125" s="119" t="s">
        <v>438</v>
      </c>
      <c r="D125" s="120" t="s">
        <v>439</v>
      </c>
      <c r="E125" s="120" t="s">
        <v>440</v>
      </c>
      <c r="F125" s="121"/>
      <c r="G125" s="119" t="s">
        <v>441</v>
      </c>
      <c r="H125" s="119" t="s">
        <v>442</v>
      </c>
      <c r="I125" s="119" t="s">
        <v>443</v>
      </c>
      <c r="J125" s="122"/>
      <c r="K125" s="13"/>
      <c r="L125" s="13"/>
      <c r="M125" s="13"/>
      <c r="N125" s="13"/>
      <c r="O125" s="13"/>
      <c r="P125" s="13"/>
      <c r="Q125" s="13"/>
      <c r="R125" s="13"/>
      <c r="S125" s="13"/>
      <c r="U125" s="121"/>
      <c r="V125" s="121"/>
      <c r="W125" s="121"/>
      <c r="X125" s="121"/>
      <c r="Y125" s="121"/>
      <c r="Z125" s="121"/>
      <c r="AA125" s="121"/>
      <c r="AB125" s="121"/>
      <c r="AC125" s="119" t="s">
        <v>444</v>
      </c>
    </row>
    <row r="126" spans="1:49" ht="57">
      <c r="A126" s="123" t="s">
        <v>445</v>
      </c>
      <c r="B126" s="124" t="s">
        <v>437</v>
      </c>
      <c r="C126" s="124" t="s">
        <v>446</v>
      </c>
      <c r="D126" s="125" t="s">
        <v>439</v>
      </c>
      <c r="E126" s="125" t="s">
        <v>440</v>
      </c>
      <c r="F126" s="126"/>
      <c r="G126" s="124" t="s">
        <v>447</v>
      </c>
      <c r="H126" s="124" t="s">
        <v>448</v>
      </c>
      <c r="I126" s="124" t="s">
        <v>449</v>
      </c>
      <c r="J126" s="122"/>
      <c r="K126" s="13"/>
      <c r="L126" s="13"/>
      <c r="M126" s="13"/>
      <c r="N126" s="13"/>
      <c r="O126" s="13"/>
      <c r="P126" s="13"/>
      <c r="Q126" s="13"/>
      <c r="R126" s="13"/>
      <c r="S126" s="13"/>
      <c r="T126" s="122"/>
      <c r="U126" s="126"/>
      <c r="V126" s="126"/>
      <c r="W126" s="126"/>
      <c r="X126" s="126"/>
      <c r="Y126" s="126"/>
      <c r="Z126" s="126"/>
      <c r="AA126" s="126"/>
      <c r="AB126" s="126"/>
      <c r="AC126" s="124" t="s">
        <v>450</v>
      </c>
    </row>
    <row r="127" spans="1:49" ht="28.5">
      <c r="A127" s="123" t="s">
        <v>451</v>
      </c>
      <c r="B127" s="124" t="s">
        <v>437</v>
      </c>
      <c r="C127" s="124" t="s">
        <v>452</v>
      </c>
      <c r="D127" s="125" t="s">
        <v>439</v>
      </c>
      <c r="E127" s="125" t="s">
        <v>440</v>
      </c>
      <c r="F127" s="126"/>
      <c r="G127" s="124" t="s">
        <v>453</v>
      </c>
      <c r="H127" s="124" t="s">
        <v>442</v>
      </c>
      <c r="I127" s="124" t="s">
        <v>454</v>
      </c>
      <c r="J127" s="122"/>
      <c r="K127" s="13"/>
      <c r="L127" s="13"/>
      <c r="M127" s="13"/>
      <c r="N127" s="13"/>
      <c r="O127" s="13"/>
      <c r="P127" s="13"/>
      <c r="Q127" s="13"/>
      <c r="R127" s="13"/>
      <c r="S127" s="13"/>
      <c r="T127" s="122"/>
      <c r="U127" s="126"/>
      <c r="V127" s="126"/>
      <c r="W127" s="126"/>
      <c r="X127" s="126"/>
      <c r="Y127" s="126"/>
      <c r="Z127" s="126"/>
      <c r="AA127" s="126"/>
      <c r="AB127" s="126"/>
      <c r="AC127" s="124" t="s">
        <v>450</v>
      </c>
    </row>
    <row r="128" spans="1:49" ht="28.5">
      <c r="A128" s="123" t="s">
        <v>455</v>
      </c>
      <c r="B128" s="124" t="s">
        <v>437</v>
      </c>
      <c r="C128" s="124" t="s">
        <v>456</v>
      </c>
      <c r="D128" s="125" t="s">
        <v>439</v>
      </c>
      <c r="E128" s="125" t="s">
        <v>440</v>
      </c>
      <c r="F128" s="126"/>
      <c r="G128" s="124" t="s">
        <v>453</v>
      </c>
      <c r="H128" s="124" t="s">
        <v>442</v>
      </c>
      <c r="I128" s="124" t="s">
        <v>457</v>
      </c>
      <c r="J128" s="122"/>
      <c r="K128" s="13"/>
      <c r="L128" s="13"/>
      <c r="M128" s="13"/>
      <c r="N128" s="13"/>
      <c r="O128" s="13"/>
      <c r="P128" s="13"/>
      <c r="Q128" s="13"/>
      <c r="R128" s="13"/>
      <c r="S128" s="13"/>
      <c r="T128" s="122"/>
      <c r="U128" s="126"/>
      <c r="V128" s="126"/>
      <c r="W128" s="126"/>
      <c r="X128" s="126"/>
      <c r="Y128" s="126"/>
      <c r="Z128" s="126"/>
      <c r="AA128" s="126"/>
      <c r="AB128" s="126"/>
      <c r="AC128" s="124" t="s">
        <v>450</v>
      </c>
    </row>
    <row r="129" spans="1:49" ht="28.5">
      <c r="A129" s="123" t="s">
        <v>458</v>
      </c>
      <c r="B129" s="124" t="s">
        <v>437</v>
      </c>
      <c r="C129" s="124" t="s">
        <v>459</v>
      </c>
      <c r="D129" s="125" t="s">
        <v>439</v>
      </c>
      <c r="E129" s="125" t="s">
        <v>440</v>
      </c>
      <c r="F129" s="126"/>
      <c r="G129" s="124" t="s">
        <v>453</v>
      </c>
      <c r="H129" s="124" t="s">
        <v>442</v>
      </c>
      <c r="I129" s="124" t="s">
        <v>460</v>
      </c>
      <c r="J129" s="122"/>
      <c r="K129" s="13"/>
      <c r="L129" s="13"/>
      <c r="M129" s="13"/>
      <c r="N129" s="13"/>
      <c r="O129" s="13"/>
      <c r="P129" s="13"/>
      <c r="Q129" s="13"/>
      <c r="R129" s="13"/>
      <c r="S129" s="13"/>
      <c r="T129" s="122"/>
      <c r="U129" s="126"/>
      <c r="V129" s="126"/>
      <c r="W129" s="126"/>
      <c r="X129" s="126"/>
      <c r="Y129" s="126"/>
      <c r="Z129" s="126"/>
      <c r="AA129" s="126"/>
      <c r="AB129" s="126"/>
      <c r="AC129" s="124" t="s">
        <v>450</v>
      </c>
    </row>
    <row r="130" spans="1:49" ht="28.5">
      <c r="A130" s="123" t="s">
        <v>461</v>
      </c>
      <c r="B130" s="124" t="s">
        <v>437</v>
      </c>
      <c r="C130" s="124" t="s">
        <v>459</v>
      </c>
      <c r="D130" s="125" t="s">
        <v>439</v>
      </c>
      <c r="E130" s="125" t="s">
        <v>440</v>
      </c>
      <c r="F130" s="126"/>
      <c r="G130" s="124" t="s">
        <v>453</v>
      </c>
      <c r="H130" s="124" t="s">
        <v>442</v>
      </c>
      <c r="I130" s="124" t="s">
        <v>460</v>
      </c>
      <c r="J130" s="122"/>
      <c r="K130" s="13"/>
      <c r="L130" s="13"/>
      <c r="M130" s="13"/>
      <c r="N130" s="13"/>
      <c r="O130" s="13"/>
      <c r="P130" s="13"/>
      <c r="Q130" s="13"/>
      <c r="R130" s="13"/>
      <c r="S130" s="13"/>
      <c r="T130" s="122"/>
      <c r="U130" s="126"/>
      <c r="V130" s="126"/>
      <c r="W130" s="126"/>
      <c r="X130" s="126"/>
      <c r="Y130" s="126"/>
      <c r="Z130" s="126"/>
      <c r="AA130" s="126"/>
      <c r="AB130" s="126"/>
      <c r="AC130" s="124" t="s">
        <v>450</v>
      </c>
    </row>
    <row r="131" spans="1:49" ht="28.5">
      <c r="A131" s="123" t="s">
        <v>462</v>
      </c>
      <c r="B131" s="124" t="s">
        <v>437</v>
      </c>
      <c r="C131" s="124" t="s">
        <v>463</v>
      </c>
      <c r="D131" s="125" t="s">
        <v>439</v>
      </c>
      <c r="E131" s="125" t="s">
        <v>440</v>
      </c>
      <c r="F131" s="126"/>
      <c r="G131" s="124" t="s">
        <v>453</v>
      </c>
      <c r="H131" s="124" t="s">
        <v>442</v>
      </c>
      <c r="I131" s="124" t="s">
        <v>464</v>
      </c>
      <c r="J131" s="122"/>
      <c r="K131" s="13"/>
      <c r="L131" s="13"/>
      <c r="M131" s="13"/>
      <c r="N131" s="13"/>
      <c r="O131" s="13"/>
      <c r="P131" s="13"/>
      <c r="Q131" s="13"/>
      <c r="R131" s="13"/>
      <c r="S131" s="13"/>
      <c r="T131" s="122"/>
      <c r="U131" s="126"/>
      <c r="V131" s="126"/>
      <c r="W131" s="126"/>
      <c r="X131" s="126"/>
      <c r="Y131" s="126"/>
      <c r="Z131" s="126"/>
      <c r="AA131" s="126"/>
      <c r="AB131" s="126"/>
      <c r="AC131" s="124" t="s">
        <v>450</v>
      </c>
    </row>
    <row r="132" spans="1:49" ht="28.5">
      <c r="A132" s="123" t="s">
        <v>465</v>
      </c>
      <c r="B132" s="124" t="s">
        <v>437</v>
      </c>
      <c r="C132" s="124" t="s">
        <v>463</v>
      </c>
      <c r="D132" s="125" t="s">
        <v>439</v>
      </c>
      <c r="E132" s="125" t="s">
        <v>440</v>
      </c>
      <c r="F132" s="126"/>
      <c r="G132" s="124" t="s">
        <v>453</v>
      </c>
      <c r="H132" s="124" t="s">
        <v>442</v>
      </c>
      <c r="I132" s="124" t="s">
        <v>464</v>
      </c>
      <c r="J132" s="122"/>
      <c r="K132" s="13"/>
      <c r="L132" s="13"/>
      <c r="M132" s="13"/>
      <c r="N132" s="13"/>
      <c r="O132" s="13"/>
      <c r="P132" s="13"/>
      <c r="Q132" s="13"/>
      <c r="R132" s="13"/>
      <c r="S132" s="13"/>
      <c r="T132" s="122"/>
      <c r="U132" s="126"/>
      <c r="V132" s="126"/>
      <c r="W132" s="126"/>
      <c r="X132" s="126"/>
      <c r="Y132" s="126"/>
      <c r="Z132" s="126"/>
      <c r="AA132" s="126"/>
      <c r="AB132" s="126"/>
      <c r="AC132" s="124" t="s">
        <v>450</v>
      </c>
    </row>
    <row r="133" spans="1:49" ht="24.75" customHeight="1">
      <c r="A133" s="118" t="s">
        <v>466</v>
      </c>
      <c r="B133" s="119" t="s">
        <v>437</v>
      </c>
      <c r="C133" s="119" t="s">
        <v>467</v>
      </c>
      <c r="D133" s="120" t="s">
        <v>439</v>
      </c>
      <c r="E133" s="120" t="s">
        <v>440</v>
      </c>
      <c r="F133" s="121"/>
      <c r="G133" s="127" t="s">
        <v>261</v>
      </c>
      <c r="H133" s="119" t="s">
        <v>442</v>
      </c>
      <c r="I133" s="119" t="s">
        <v>468</v>
      </c>
      <c r="J133" s="35"/>
      <c r="K133" s="36"/>
      <c r="L133" s="36"/>
      <c r="M133" s="36"/>
      <c r="N133" s="36"/>
      <c r="O133" s="36"/>
      <c r="P133" s="36"/>
      <c r="Q133" s="36"/>
      <c r="R133" s="36"/>
      <c r="S133" s="36"/>
      <c r="T133" s="26"/>
      <c r="U133" s="121"/>
      <c r="V133" s="121"/>
      <c r="W133" s="121"/>
      <c r="X133" s="121"/>
      <c r="Y133" s="121"/>
      <c r="Z133" s="121"/>
      <c r="AA133" s="121"/>
      <c r="AB133" s="119" t="s">
        <v>469</v>
      </c>
      <c r="AC133" s="119" t="s">
        <v>450</v>
      </c>
      <c r="AE133" s="26"/>
      <c r="AF133" s="26"/>
      <c r="AG133" s="26"/>
      <c r="AH133" s="26"/>
      <c r="AI133" s="26"/>
      <c r="AJ133" s="26"/>
      <c r="AK133" s="26"/>
      <c r="AL133" s="26"/>
      <c r="AM133" s="26"/>
      <c r="AN133" s="26"/>
      <c r="AO133" s="26"/>
      <c r="AP133" s="26"/>
      <c r="AQ133" s="26"/>
      <c r="AR133" s="26"/>
      <c r="AS133" s="26"/>
      <c r="AT133" s="26"/>
      <c r="AU133" s="26"/>
      <c r="AV133" s="26"/>
      <c r="AW133" s="26"/>
    </row>
    <row r="134" spans="1:49" ht="24.75" customHeight="1">
      <c r="A134" s="123" t="s">
        <v>470</v>
      </c>
      <c r="B134" s="124" t="s">
        <v>437</v>
      </c>
      <c r="C134" s="124" t="s">
        <v>471</v>
      </c>
      <c r="D134" s="125" t="s">
        <v>439</v>
      </c>
      <c r="E134" s="125" t="s">
        <v>440</v>
      </c>
      <c r="F134" s="126"/>
      <c r="G134" s="128" t="s">
        <v>261</v>
      </c>
      <c r="H134" s="124" t="s">
        <v>442</v>
      </c>
      <c r="I134" s="124" t="s">
        <v>472</v>
      </c>
      <c r="J134" s="35"/>
      <c r="K134" s="44"/>
      <c r="L134" s="44"/>
      <c r="M134" s="44"/>
      <c r="N134" s="44"/>
      <c r="O134" s="44"/>
      <c r="P134" s="44"/>
      <c r="Q134" s="44"/>
      <c r="R134" s="44"/>
      <c r="S134" s="44"/>
      <c r="T134" s="26"/>
      <c r="U134" s="126"/>
      <c r="V134" s="126"/>
      <c r="W134" s="126"/>
      <c r="X134" s="126"/>
      <c r="Y134" s="126"/>
      <c r="Z134" s="126"/>
      <c r="AA134" s="126"/>
      <c r="AB134" s="124" t="s">
        <v>473</v>
      </c>
      <c r="AC134" s="124" t="s">
        <v>450</v>
      </c>
      <c r="AE134" s="26"/>
      <c r="AF134" s="26"/>
      <c r="AG134" s="26"/>
      <c r="AH134" s="26"/>
      <c r="AI134" s="26"/>
      <c r="AJ134" s="26"/>
      <c r="AK134" s="26"/>
      <c r="AL134" s="26"/>
      <c r="AM134" s="26"/>
      <c r="AN134" s="26"/>
      <c r="AO134" s="26"/>
      <c r="AP134" s="26"/>
      <c r="AQ134" s="26"/>
      <c r="AR134" s="26"/>
      <c r="AS134" s="26"/>
      <c r="AT134" s="26"/>
      <c r="AU134" s="26"/>
      <c r="AV134" s="26"/>
      <c r="AW134" s="26"/>
    </row>
    <row r="135" spans="1:49" ht="24.75" customHeight="1">
      <c r="A135" s="123" t="s">
        <v>474</v>
      </c>
      <c r="B135" s="124" t="s">
        <v>437</v>
      </c>
      <c r="C135" s="124" t="s">
        <v>475</v>
      </c>
      <c r="D135" s="125" t="s">
        <v>439</v>
      </c>
      <c r="E135" s="125" t="s">
        <v>440</v>
      </c>
      <c r="F135" s="126"/>
      <c r="G135" s="128" t="s">
        <v>261</v>
      </c>
      <c r="H135" s="124" t="s">
        <v>442</v>
      </c>
      <c r="I135" s="124" t="s">
        <v>476</v>
      </c>
      <c r="J135" s="35"/>
      <c r="K135" s="44"/>
      <c r="L135" s="44"/>
      <c r="M135" s="44"/>
      <c r="N135" s="44"/>
      <c r="O135" s="44"/>
      <c r="P135" s="44"/>
      <c r="Q135" s="44"/>
      <c r="R135" s="44"/>
      <c r="S135" s="44"/>
      <c r="T135" s="26"/>
      <c r="U135" s="126"/>
      <c r="V135" s="126"/>
      <c r="W135" s="126"/>
      <c r="X135" s="126"/>
      <c r="Y135" s="126"/>
      <c r="Z135" s="126"/>
      <c r="AA135" s="126"/>
      <c r="AB135" s="124" t="s">
        <v>477</v>
      </c>
      <c r="AC135" s="124" t="s">
        <v>450</v>
      </c>
      <c r="AE135" s="26"/>
      <c r="AF135" s="26"/>
      <c r="AG135" s="26"/>
      <c r="AH135" s="26"/>
      <c r="AI135" s="26"/>
      <c r="AJ135" s="26"/>
      <c r="AK135" s="26"/>
      <c r="AL135" s="26"/>
      <c r="AM135" s="26"/>
      <c r="AN135" s="26"/>
      <c r="AO135" s="26"/>
      <c r="AP135" s="26"/>
      <c r="AQ135" s="26"/>
      <c r="AR135" s="26"/>
      <c r="AS135" s="26"/>
      <c r="AT135" s="26"/>
      <c r="AU135" s="26"/>
      <c r="AV135" s="26"/>
      <c r="AW135" s="26"/>
    </row>
    <row r="136" spans="1:49" ht="24.75" customHeight="1">
      <c r="A136" s="123" t="s">
        <v>478</v>
      </c>
      <c r="B136" s="124" t="s">
        <v>437</v>
      </c>
      <c r="C136" s="124" t="s">
        <v>475</v>
      </c>
      <c r="D136" s="125" t="s">
        <v>439</v>
      </c>
      <c r="E136" s="125" t="s">
        <v>440</v>
      </c>
      <c r="F136" s="126"/>
      <c r="G136" s="128" t="s">
        <v>261</v>
      </c>
      <c r="H136" s="124" t="s">
        <v>442</v>
      </c>
      <c r="I136" s="124" t="s">
        <v>476</v>
      </c>
      <c r="J136" s="35"/>
      <c r="K136" s="44"/>
      <c r="L136" s="44"/>
      <c r="M136" s="44"/>
      <c r="N136" s="44"/>
      <c r="O136" s="44"/>
      <c r="P136" s="44"/>
      <c r="Q136" s="44"/>
      <c r="R136" s="44"/>
      <c r="S136" s="44"/>
      <c r="T136" s="26"/>
      <c r="U136" s="126"/>
      <c r="V136" s="126"/>
      <c r="W136" s="126"/>
      <c r="X136" s="126"/>
      <c r="Y136" s="126"/>
      <c r="Z136" s="126"/>
      <c r="AA136" s="126"/>
      <c r="AB136" s="124" t="s">
        <v>477</v>
      </c>
      <c r="AC136" s="124" t="s">
        <v>450</v>
      </c>
      <c r="AE136" s="26"/>
      <c r="AF136" s="26"/>
      <c r="AG136" s="26"/>
      <c r="AH136" s="26"/>
      <c r="AI136" s="26"/>
      <c r="AJ136" s="26"/>
      <c r="AK136" s="26"/>
      <c r="AL136" s="26"/>
      <c r="AM136" s="26"/>
      <c r="AN136" s="26"/>
      <c r="AO136" s="26"/>
      <c r="AP136" s="26"/>
      <c r="AQ136" s="26"/>
      <c r="AR136" s="26"/>
      <c r="AS136" s="26"/>
      <c r="AT136" s="26"/>
      <c r="AU136" s="26"/>
      <c r="AV136" s="26"/>
      <c r="AW136" s="26"/>
    </row>
    <row r="137" spans="1:49" ht="24.75" customHeight="1">
      <c r="A137" s="123" t="s">
        <v>479</v>
      </c>
      <c r="B137" s="124" t="s">
        <v>437</v>
      </c>
      <c r="C137" s="124" t="s">
        <v>475</v>
      </c>
      <c r="D137" s="125" t="s">
        <v>439</v>
      </c>
      <c r="E137" s="125" t="s">
        <v>440</v>
      </c>
      <c r="F137" s="126"/>
      <c r="G137" s="128" t="s">
        <v>261</v>
      </c>
      <c r="H137" s="124" t="s">
        <v>442</v>
      </c>
      <c r="I137" s="124" t="s">
        <v>476</v>
      </c>
      <c r="J137" s="35"/>
      <c r="K137" s="44"/>
      <c r="L137" s="44"/>
      <c r="M137" s="44"/>
      <c r="N137" s="44"/>
      <c r="O137" s="44"/>
      <c r="P137" s="44"/>
      <c r="Q137" s="44"/>
      <c r="R137" s="44"/>
      <c r="S137" s="44"/>
      <c r="T137" s="26"/>
      <c r="U137" s="126"/>
      <c r="V137" s="126"/>
      <c r="W137" s="126"/>
      <c r="X137" s="126"/>
      <c r="Y137" s="126"/>
      <c r="Z137" s="126"/>
      <c r="AA137" s="126"/>
      <c r="AB137" s="124" t="s">
        <v>477</v>
      </c>
      <c r="AC137" s="124" t="s">
        <v>450</v>
      </c>
      <c r="AE137" s="26"/>
      <c r="AF137" s="26"/>
      <c r="AG137" s="26"/>
      <c r="AH137" s="26"/>
      <c r="AI137" s="26"/>
      <c r="AJ137" s="26"/>
      <c r="AK137" s="26"/>
      <c r="AL137" s="26"/>
      <c r="AM137" s="26"/>
      <c r="AN137" s="26"/>
      <c r="AO137" s="26"/>
      <c r="AP137" s="26"/>
      <c r="AQ137" s="26"/>
      <c r="AR137" s="26"/>
      <c r="AS137" s="26"/>
      <c r="AT137" s="26"/>
      <c r="AU137" s="26"/>
      <c r="AV137" s="26"/>
      <c r="AW137" s="26"/>
    </row>
    <row r="138" spans="1:49" ht="24.75" customHeight="1">
      <c r="A138" s="123" t="s">
        <v>480</v>
      </c>
      <c r="B138" s="124" t="s">
        <v>437</v>
      </c>
      <c r="C138" s="124" t="s">
        <v>475</v>
      </c>
      <c r="D138" s="125" t="s">
        <v>439</v>
      </c>
      <c r="E138" s="125" t="s">
        <v>440</v>
      </c>
      <c r="F138" s="126"/>
      <c r="G138" s="128" t="s">
        <v>261</v>
      </c>
      <c r="H138" s="124" t="s">
        <v>442</v>
      </c>
      <c r="I138" s="124" t="s">
        <v>476</v>
      </c>
      <c r="J138" s="35"/>
      <c r="K138" s="44"/>
      <c r="L138" s="44"/>
      <c r="M138" s="44"/>
      <c r="N138" s="44"/>
      <c r="O138" s="44"/>
      <c r="P138" s="44"/>
      <c r="Q138" s="44"/>
      <c r="R138" s="44"/>
      <c r="S138" s="44"/>
      <c r="T138" s="26"/>
      <c r="U138" s="126"/>
      <c r="V138" s="126"/>
      <c r="W138" s="126"/>
      <c r="X138" s="126"/>
      <c r="Y138" s="126"/>
      <c r="Z138" s="126"/>
      <c r="AA138" s="126"/>
      <c r="AB138" s="124" t="s">
        <v>477</v>
      </c>
      <c r="AC138" s="124" t="s">
        <v>450</v>
      </c>
      <c r="AE138" s="26"/>
      <c r="AF138" s="26"/>
      <c r="AG138" s="26"/>
      <c r="AH138" s="26"/>
      <c r="AI138" s="26"/>
      <c r="AJ138" s="26"/>
      <c r="AK138" s="26"/>
      <c r="AL138" s="26"/>
      <c r="AM138" s="26"/>
      <c r="AN138" s="26"/>
      <c r="AO138" s="26"/>
      <c r="AP138" s="26"/>
      <c r="AQ138" s="26"/>
      <c r="AR138" s="26"/>
      <c r="AS138" s="26"/>
      <c r="AT138" s="26"/>
      <c r="AU138" s="26"/>
      <c r="AV138" s="26"/>
      <c r="AW138" s="26"/>
    </row>
    <row r="139" spans="1:49" ht="24.75" customHeight="1">
      <c r="A139" s="123" t="s">
        <v>481</v>
      </c>
      <c r="B139" s="124" t="s">
        <v>437</v>
      </c>
      <c r="C139" s="124" t="s">
        <v>475</v>
      </c>
      <c r="D139" s="125" t="s">
        <v>439</v>
      </c>
      <c r="E139" s="125" t="s">
        <v>440</v>
      </c>
      <c r="F139" s="126"/>
      <c r="G139" s="128" t="s">
        <v>261</v>
      </c>
      <c r="H139" s="124" t="s">
        <v>442</v>
      </c>
      <c r="I139" s="124" t="s">
        <v>476</v>
      </c>
      <c r="J139" s="35"/>
      <c r="K139" s="44"/>
      <c r="L139" s="44"/>
      <c r="M139" s="44"/>
      <c r="N139" s="44"/>
      <c r="O139" s="44"/>
      <c r="P139" s="44"/>
      <c r="Q139" s="44"/>
      <c r="R139" s="44"/>
      <c r="S139" s="44"/>
      <c r="T139" s="26"/>
      <c r="U139" s="126"/>
      <c r="V139" s="126"/>
      <c r="W139" s="126"/>
      <c r="X139" s="126"/>
      <c r="Y139" s="126"/>
      <c r="Z139" s="126"/>
      <c r="AA139" s="126"/>
      <c r="AB139" s="124" t="s">
        <v>477</v>
      </c>
      <c r="AC139" s="124" t="s">
        <v>450</v>
      </c>
      <c r="AE139" s="26"/>
      <c r="AF139" s="26"/>
      <c r="AG139" s="26"/>
      <c r="AH139" s="26"/>
      <c r="AI139" s="26"/>
      <c r="AJ139" s="26"/>
      <c r="AK139" s="26"/>
      <c r="AL139" s="26"/>
      <c r="AM139" s="26"/>
      <c r="AN139" s="26"/>
      <c r="AO139" s="26"/>
      <c r="AP139" s="26"/>
      <c r="AQ139" s="26"/>
      <c r="AR139" s="26"/>
      <c r="AS139" s="26"/>
      <c r="AT139" s="26"/>
      <c r="AU139" s="26"/>
      <c r="AV139" s="26"/>
      <c r="AW139" s="26"/>
    </row>
    <row r="140" spans="1:49" ht="24.75" customHeight="1">
      <c r="A140" s="123" t="s">
        <v>482</v>
      </c>
      <c r="B140" s="124" t="s">
        <v>437</v>
      </c>
      <c r="C140" s="124" t="s">
        <v>475</v>
      </c>
      <c r="D140" s="125" t="s">
        <v>439</v>
      </c>
      <c r="E140" s="125" t="s">
        <v>440</v>
      </c>
      <c r="F140" s="126"/>
      <c r="G140" s="128" t="s">
        <v>261</v>
      </c>
      <c r="H140" s="124" t="s">
        <v>442</v>
      </c>
      <c r="I140" s="124" t="s">
        <v>476</v>
      </c>
      <c r="J140" s="35"/>
      <c r="K140" s="44"/>
      <c r="L140" s="44"/>
      <c r="M140" s="44"/>
      <c r="N140" s="44"/>
      <c r="O140" s="44"/>
      <c r="P140" s="44"/>
      <c r="Q140" s="44"/>
      <c r="R140" s="44"/>
      <c r="S140" s="44"/>
      <c r="T140" s="26"/>
      <c r="U140" s="126"/>
      <c r="V140" s="126"/>
      <c r="W140" s="126"/>
      <c r="X140" s="126"/>
      <c r="Y140" s="126"/>
      <c r="Z140" s="126"/>
      <c r="AA140" s="126"/>
      <c r="AB140" s="124" t="s">
        <v>477</v>
      </c>
      <c r="AC140" s="124" t="s">
        <v>450</v>
      </c>
      <c r="AE140" s="26"/>
      <c r="AF140" s="26"/>
      <c r="AG140" s="26"/>
      <c r="AH140" s="26"/>
      <c r="AI140" s="26"/>
      <c r="AJ140" s="26"/>
      <c r="AK140" s="26"/>
      <c r="AL140" s="26"/>
      <c r="AM140" s="26"/>
      <c r="AN140" s="26"/>
      <c r="AO140" s="26"/>
      <c r="AP140" s="26"/>
      <c r="AQ140" s="26"/>
      <c r="AR140" s="26"/>
      <c r="AS140" s="26"/>
      <c r="AT140" s="26"/>
      <c r="AU140" s="26"/>
      <c r="AV140" s="26"/>
      <c r="AW140" s="26"/>
    </row>
    <row r="141" spans="1:49" ht="24.75" customHeight="1">
      <c r="A141" s="123" t="s">
        <v>483</v>
      </c>
      <c r="B141" s="124" t="s">
        <v>437</v>
      </c>
      <c r="C141" s="124" t="s">
        <v>484</v>
      </c>
      <c r="D141" s="125" t="s">
        <v>439</v>
      </c>
      <c r="E141" s="125" t="s">
        <v>440</v>
      </c>
      <c r="F141" s="126"/>
      <c r="G141" s="128" t="s">
        <v>261</v>
      </c>
      <c r="H141" s="124" t="s">
        <v>485</v>
      </c>
      <c r="I141" s="124" t="s">
        <v>486</v>
      </c>
      <c r="J141" s="35"/>
      <c r="K141" s="44"/>
      <c r="L141" s="44"/>
      <c r="M141" s="44"/>
      <c r="N141" s="44"/>
      <c r="O141" s="44"/>
      <c r="P141" s="44"/>
      <c r="Q141" s="44"/>
      <c r="R141" s="44"/>
      <c r="S141" s="44"/>
      <c r="T141" s="26"/>
      <c r="U141" s="126"/>
      <c r="V141" s="126"/>
      <c r="W141" s="126"/>
      <c r="X141" s="126"/>
      <c r="Y141" s="126"/>
      <c r="Z141" s="126"/>
      <c r="AA141" s="126"/>
      <c r="AB141" s="124" t="s">
        <v>487</v>
      </c>
      <c r="AC141" s="124" t="s">
        <v>450</v>
      </c>
      <c r="AE141" s="26"/>
      <c r="AF141" s="26"/>
      <c r="AG141" s="26"/>
      <c r="AH141" s="26"/>
      <c r="AI141" s="26"/>
      <c r="AJ141" s="26"/>
      <c r="AK141" s="26"/>
      <c r="AL141" s="26"/>
      <c r="AM141" s="26"/>
      <c r="AN141" s="26"/>
      <c r="AO141" s="26"/>
      <c r="AP141" s="26"/>
      <c r="AQ141" s="26"/>
      <c r="AR141" s="26"/>
      <c r="AS141" s="26"/>
      <c r="AT141" s="26"/>
      <c r="AU141" s="26"/>
      <c r="AV141" s="26"/>
      <c r="AW141" s="26"/>
    </row>
    <row r="142" spans="1:49" ht="24.75" customHeight="1">
      <c r="A142" s="123" t="s">
        <v>488</v>
      </c>
      <c r="B142" s="124" t="s">
        <v>437</v>
      </c>
      <c r="C142" s="124" t="s">
        <v>489</v>
      </c>
      <c r="D142" s="125" t="s">
        <v>439</v>
      </c>
      <c r="E142" s="125" t="s">
        <v>440</v>
      </c>
      <c r="F142" s="126"/>
      <c r="G142" s="128" t="s">
        <v>261</v>
      </c>
      <c r="H142" s="124" t="s">
        <v>485</v>
      </c>
      <c r="I142" s="124" t="s">
        <v>486</v>
      </c>
      <c r="J142" s="35"/>
      <c r="K142" s="44"/>
      <c r="L142" s="44"/>
      <c r="M142" s="44"/>
      <c r="N142" s="44"/>
      <c r="O142" s="44"/>
      <c r="P142" s="44"/>
      <c r="Q142" s="44"/>
      <c r="R142" s="44"/>
      <c r="S142" s="44"/>
      <c r="T142" s="26"/>
      <c r="U142" s="126"/>
      <c r="V142" s="126"/>
      <c r="W142" s="126"/>
      <c r="X142" s="126"/>
      <c r="Y142" s="126"/>
      <c r="Z142" s="126"/>
      <c r="AA142" s="126"/>
      <c r="AB142" s="124" t="s">
        <v>487</v>
      </c>
      <c r="AC142" s="124" t="s">
        <v>450</v>
      </c>
      <c r="AE142" s="26"/>
      <c r="AF142" s="26"/>
      <c r="AG142" s="26"/>
      <c r="AH142" s="26"/>
      <c r="AI142" s="26"/>
      <c r="AJ142" s="26"/>
      <c r="AK142" s="26"/>
      <c r="AL142" s="26"/>
      <c r="AM142" s="26"/>
      <c r="AN142" s="26"/>
      <c r="AO142" s="26"/>
      <c r="AP142" s="26"/>
      <c r="AQ142" s="26"/>
      <c r="AR142" s="26"/>
      <c r="AS142" s="26"/>
      <c r="AT142" s="26"/>
      <c r="AU142" s="26"/>
      <c r="AV142" s="26"/>
      <c r="AW142" s="26"/>
    </row>
    <row r="143" spans="1:49" ht="24.75" customHeight="1">
      <c r="A143" s="123" t="s">
        <v>490</v>
      </c>
      <c r="B143" s="124" t="s">
        <v>437</v>
      </c>
      <c r="C143" s="124" t="s">
        <v>491</v>
      </c>
      <c r="D143" s="125" t="s">
        <v>439</v>
      </c>
      <c r="E143" s="125" t="s">
        <v>440</v>
      </c>
      <c r="F143" s="126"/>
      <c r="G143" s="124" t="s">
        <v>492</v>
      </c>
      <c r="H143" s="124" t="s">
        <v>493</v>
      </c>
      <c r="I143" s="124" t="s">
        <v>494</v>
      </c>
      <c r="J143" s="35"/>
      <c r="K143" s="44"/>
      <c r="L143" s="44"/>
      <c r="M143" s="44"/>
      <c r="N143" s="44"/>
      <c r="O143" s="44"/>
      <c r="P143" s="44"/>
      <c r="Q143" s="44"/>
      <c r="R143" s="44"/>
      <c r="S143" s="44"/>
      <c r="T143" s="26"/>
      <c r="U143" s="126"/>
      <c r="V143" s="126"/>
      <c r="W143" s="126"/>
      <c r="X143" s="126"/>
      <c r="Y143" s="126"/>
      <c r="Z143" s="126"/>
      <c r="AA143" s="126"/>
      <c r="AB143" s="126"/>
      <c r="AC143" s="124" t="s">
        <v>450</v>
      </c>
      <c r="AE143" s="26"/>
      <c r="AF143" s="26"/>
      <c r="AG143" s="26"/>
      <c r="AH143" s="26"/>
      <c r="AI143" s="26"/>
      <c r="AJ143" s="26"/>
      <c r="AK143" s="26"/>
      <c r="AL143" s="26"/>
      <c r="AM143" s="26"/>
      <c r="AN143" s="26"/>
      <c r="AO143" s="26"/>
      <c r="AP143" s="26"/>
      <c r="AQ143" s="26"/>
      <c r="AR143" s="26"/>
      <c r="AS143" s="26"/>
      <c r="AT143" s="26"/>
      <c r="AU143" s="26"/>
      <c r="AV143" s="26"/>
      <c r="AW143" s="26"/>
    </row>
    <row r="144" spans="1:49" ht="24.75" customHeight="1">
      <c r="A144" s="237" t="s">
        <v>495</v>
      </c>
      <c r="B144" s="234"/>
      <c r="C144" s="234"/>
      <c r="D144" s="234"/>
      <c r="E144" s="234"/>
      <c r="F144" s="234"/>
      <c r="G144" s="234"/>
      <c r="H144" s="234"/>
      <c r="I144" s="235"/>
      <c r="J144" s="35"/>
      <c r="K144" s="233"/>
      <c r="L144" s="234"/>
      <c r="M144" s="234"/>
      <c r="N144" s="234"/>
      <c r="O144" s="234"/>
      <c r="P144" s="234"/>
      <c r="Q144" s="234"/>
      <c r="R144" s="234"/>
      <c r="S144" s="235"/>
      <c r="T144" s="35"/>
      <c r="U144" s="236"/>
      <c r="V144" s="234"/>
      <c r="W144" s="234"/>
      <c r="X144" s="234"/>
      <c r="Y144" s="234"/>
      <c r="Z144" s="234"/>
      <c r="AA144" s="235"/>
      <c r="AB144" s="45"/>
      <c r="AC144" s="45"/>
      <c r="AD144" s="27"/>
      <c r="AE144" s="27"/>
      <c r="AF144" s="27"/>
      <c r="AG144" s="27"/>
      <c r="AH144" s="27"/>
      <c r="AI144" s="27"/>
      <c r="AJ144" s="27"/>
      <c r="AK144" s="27"/>
      <c r="AL144" s="27"/>
      <c r="AM144" s="27"/>
      <c r="AN144" s="27"/>
      <c r="AO144" s="27"/>
      <c r="AP144" s="27"/>
      <c r="AQ144" s="27"/>
      <c r="AR144" s="27"/>
      <c r="AS144" s="27"/>
      <c r="AT144" s="27"/>
      <c r="AU144" s="27"/>
      <c r="AV144" s="27"/>
      <c r="AW144" s="27"/>
    </row>
    <row r="145" spans="1:49" ht="28.5">
      <c r="A145" s="129" t="s">
        <v>496</v>
      </c>
      <c r="B145" s="130" t="s">
        <v>437</v>
      </c>
      <c r="C145" s="130" t="s">
        <v>438</v>
      </c>
      <c r="D145" s="131" t="s">
        <v>497</v>
      </c>
      <c r="E145" s="131" t="s">
        <v>498</v>
      </c>
      <c r="F145" s="41"/>
      <c r="G145" s="130" t="s">
        <v>441</v>
      </c>
      <c r="H145" s="130" t="s">
        <v>442</v>
      </c>
      <c r="I145" s="130" t="s">
        <v>443</v>
      </c>
      <c r="J145" s="122"/>
      <c r="K145" s="13"/>
      <c r="L145" s="13"/>
      <c r="M145" s="13"/>
      <c r="N145" s="13"/>
      <c r="O145" s="13"/>
      <c r="P145" s="13"/>
      <c r="Q145" s="13"/>
      <c r="R145" s="13"/>
      <c r="S145" s="13"/>
      <c r="T145" s="122"/>
      <c r="U145" s="41"/>
      <c r="V145" s="41"/>
      <c r="W145" s="41"/>
      <c r="X145" s="41"/>
      <c r="Y145" s="41"/>
      <c r="Z145" s="41"/>
      <c r="AA145" s="41"/>
      <c r="AB145" s="41"/>
      <c r="AC145" s="130" t="s">
        <v>499</v>
      </c>
    </row>
    <row r="146" spans="1:49" ht="57">
      <c r="A146" s="129" t="s">
        <v>500</v>
      </c>
      <c r="B146" s="130" t="s">
        <v>437</v>
      </c>
      <c r="C146" s="130" t="s">
        <v>446</v>
      </c>
      <c r="D146" s="131" t="s">
        <v>497</v>
      </c>
      <c r="E146" s="131" t="s">
        <v>498</v>
      </c>
      <c r="F146" s="41"/>
      <c r="G146" s="130" t="s">
        <v>447</v>
      </c>
      <c r="H146" s="130" t="s">
        <v>448</v>
      </c>
      <c r="I146" s="130" t="s">
        <v>449</v>
      </c>
      <c r="J146" s="122"/>
      <c r="K146" s="13"/>
      <c r="L146" s="13"/>
      <c r="M146" s="13"/>
      <c r="N146" s="13"/>
      <c r="O146" s="13"/>
      <c r="P146" s="13"/>
      <c r="Q146" s="13"/>
      <c r="R146" s="13"/>
      <c r="S146" s="13"/>
      <c r="T146" s="122"/>
      <c r="U146" s="41"/>
      <c r="V146" s="41"/>
      <c r="W146" s="41"/>
      <c r="X146" s="41"/>
      <c r="Y146" s="41"/>
      <c r="Z146" s="41"/>
      <c r="AA146" s="41"/>
      <c r="AB146" s="41"/>
      <c r="AC146" s="130" t="s">
        <v>499</v>
      </c>
    </row>
    <row r="147" spans="1:49" ht="28.5">
      <c r="A147" s="129" t="s">
        <v>501</v>
      </c>
      <c r="B147" s="130" t="s">
        <v>437</v>
      </c>
      <c r="C147" s="130" t="s">
        <v>459</v>
      </c>
      <c r="D147" s="131" t="s">
        <v>497</v>
      </c>
      <c r="E147" s="131" t="s">
        <v>498</v>
      </c>
      <c r="F147" s="41"/>
      <c r="G147" s="130" t="s">
        <v>453</v>
      </c>
      <c r="H147" s="130" t="s">
        <v>442</v>
      </c>
      <c r="I147" s="130" t="s">
        <v>460</v>
      </c>
      <c r="J147" s="122"/>
      <c r="K147" s="13"/>
      <c r="L147" s="13"/>
      <c r="M147" s="13"/>
      <c r="N147" s="13"/>
      <c r="O147" s="13"/>
      <c r="P147" s="13"/>
      <c r="Q147" s="13"/>
      <c r="R147" s="13"/>
      <c r="S147" s="13"/>
      <c r="T147" s="122"/>
      <c r="U147" s="41"/>
      <c r="V147" s="41"/>
      <c r="W147" s="41"/>
      <c r="X147" s="41"/>
      <c r="Y147" s="41"/>
      <c r="Z147" s="41"/>
      <c r="AA147" s="41"/>
      <c r="AB147" s="41"/>
      <c r="AC147" s="130" t="s">
        <v>499</v>
      </c>
    </row>
    <row r="148" spans="1:49" ht="28.5">
      <c r="A148" s="129" t="s">
        <v>502</v>
      </c>
      <c r="B148" s="130" t="s">
        <v>437</v>
      </c>
      <c r="C148" s="130" t="s">
        <v>459</v>
      </c>
      <c r="D148" s="131" t="s">
        <v>497</v>
      </c>
      <c r="E148" s="131" t="s">
        <v>498</v>
      </c>
      <c r="F148" s="41"/>
      <c r="G148" s="130" t="s">
        <v>453</v>
      </c>
      <c r="H148" s="130" t="s">
        <v>442</v>
      </c>
      <c r="I148" s="130" t="s">
        <v>460</v>
      </c>
      <c r="J148" s="122"/>
      <c r="K148" s="13"/>
      <c r="L148" s="13"/>
      <c r="M148" s="13"/>
      <c r="N148" s="13"/>
      <c r="O148" s="13"/>
      <c r="P148" s="13"/>
      <c r="Q148" s="13"/>
      <c r="R148" s="13"/>
      <c r="S148" s="13"/>
      <c r="T148" s="122"/>
      <c r="U148" s="41"/>
      <c r="V148" s="41"/>
      <c r="W148" s="41"/>
      <c r="X148" s="41"/>
      <c r="Y148" s="41"/>
      <c r="Z148" s="41"/>
      <c r="AA148" s="41"/>
      <c r="AB148" s="41"/>
      <c r="AC148" s="130" t="s">
        <v>499</v>
      </c>
    </row>
    <row r="149" spans="1:49" ht="28.5">
      <c r="A149" s="129" t="s">
        <v>503</v>
      </c>
      <c r="B149" s="130" t="s">
        <v>437</v>
      </c>
      <c r="C149" s="130" t="s">
        <v>463</v>
      </c>
      <c r="D149" s="131" t="s">
        <v>497</v>
      </c>
      <c r="E149" s="131" t="s">
        <v>498</v>
      </c>
      <c r="F149" s="41"/>
      <c r="G149" s="130" t="s">
        <v>453</v>
      </c>
      <c r="H149" s="130" t="s">
        <v>442</v>
      </c>
      <c r="I149" s="130" t="s">
        <v>464</v>
      </c>
      <c r="J149" s="122"/>
      <c r="K149" s="13"/>
      <c r="L149" s="13"/>
      <c r="M149" s="13"/>
      <c r="N149" s="13"/>
      <c r="O149" s="13"/>
      <c r="P149" s="13"/>
      <c r="Q149" s="13"/>
      <c r="R149" s="13"/>
      <c r="S149" s="13"/>
      <c r="T149" s="122"/>
      <c r="U149" s="41"/>
      <c r="V149" s="41"/>
      <c r="W149" s="41"/>
      <c r="X149" s="41"/>
      <c r="Y149" s="41"/>
      <c r="Z149" s="41"/>
      <c r="AA149" s="41"/>
      <c r="AB149" s="41"/>
      <c r="AC149" s="130" t="s">
        <v>499</v>
      </c>
    </row>
    <row r="150" spans="1:49" ht="28.5">
      <c r="A150" s="129" t="s">
        <v>504</v>
      </c>
      <c r="B150" s="130" t="s">
        <v>437</v>
      </c>
      <c r="C150" s="130" t="s">
        <v>463</v>
      </c>
      <c r="D150" s="131" t="s">
        <v>497</v>
      </c>
      <c r="E150" s="131" t="s">
        <v>498</v>
      </c>
      <c r="F150" s="41"/>
      <c r="G150" s="130" t="s">
        <v>453</v>
      </c>
      <c r="H150" s="130" t="s">
        <v>442</v>
      </c>
      <c r="I150" s="130" t="s">
        <v>464</v>
      </c>
      <c r="J150" s="122"/>
      <c r="K150" s="13"/>
      <c r="L150" s="13"/>
      <c r="M150" s="13"/>
      <c r="N150" s="13"/>
      <c r="O150" s="13"/>
      <c r="P150" s="13"/>
      <c r="Q150" s="13"/>
      <c r="R150" s="13"/>
      <c r="S150" s="13"/>
      <c r="T150" s="122"/>
      <c r="U150" s="41"/>
      <c r="V150" s="41"/>
      <c r="W150" s="41"/>
      <c r="X150" s="41"/>
      <c r="Y150" s="41"/>
      <c r="Z150" s="41"/>
      <c r="AA150" s="41"/>
      <c r="AB150" s="41"/>
      <c r="AC150" s="130" t="s">
        <v>499</v>
      </c>
    </row>
    <row r="151" spans="1:49" ht="28.5">
      <c r="A151" s="129" t="s">
        <v>505</v>
      </c>
      <c r="B151" s="130" t="s">
        <v>437</v>
      </c>
      <c r="C151" s="130" t="s">
        <v>475</v>
      </c>
      <c r="D151" s="131" t="s">
        <v>497</v>
      </c>
      <c r="E151" s="131" t="s">
        <v>498</v>
      </c>
      <c r="F151" s="41"/>
      <c r="G151" s="132" t="s">
        <v>261</v>
      </c>
      <c r="H151" s="130" t="s">
        <v>442</v>
      </c>
      <c r="I151" s="130" t="s">
        <v>476</v>
      </c>
      <c r="J151" s="122"/>
      <c r="K151" s="13"/>
      <c r="L151" s="13"/>
      <c r="M151" s="13"/>
      <c r="N151" s="13"/>
      <c r="O151" s="13"/>
      <c r="P151" s="13"/>
      <c r="Q151" s="13"/>
      <c r="R151" s="13"/>
      <c r="S151" s="13"/>
      <c r="T151" s="122"/>
      <c r="U151" s="41"/>
      <c r="V151" s="41"/>
      <c r="W151" s="41"/>
      <c r="X151" s="41"/>
      <c r="Y151" s="41"/>
      <c r="Z151" s="41"/>
      <c r="AA151" s="41"/>
      <c r="AB151" s="130" t="s">
        <v>477</v>
      </c>
      <c r="AC151" s="130" t="s">
        <v>499</v>
      </c>
    </row>
    <row r="152" spans="1:49" ht="28.5">
      <c r="A152" s="129" t="s">
        <v>506</v>
      </c>
      <c r="B152" s="130" t="s">
        <v>437</v>
      </c>
      <c r="C152" s="130" t="s">
        <v>475</v>
      </c>
      <c r="D152" s="131" t="s">
        <v>497</v>
      </c>
      <c r="E152" s="131" t="s">
        <v>498</v>
      </c>
      <c r="F152" s="41"/>
      <c r="G152" s="132" t="s">
        <v>261</v>
      </c>
      <c r="H152" s="130" t="s">
        <v>442</v>
      </c>
      <c r="I152" s="130" t="s">
        <v>476</v>
      </c>
      <c r="J152" s="122"/>
      <c r="K152" s="13"/>
      <c r="L152" s="13"/>
      <c r="M152" s="13"/>
      <c r="N152" s="13"/>
      <c r="O152" s="13"/>
      <c r="P152" s="13"/>
      <c r="Q152" s="13"/>
      <c r="R152" s="13"/>
      <c r="S152" s="13"/>
      <c r="T152" s="122"/>
      <c r="U152" s="41"/>
      <c r="V152" s="41"/>
      <c r="W152" s="41"/>
      <c r="X152" s="41"/>
      <c r="Y152" s="41"/>
      <c r="Z152" s="41"/>
      <c r="AA152" s="41"/>
      <c r="AB152" s="130" t="s">
        <v>477</v>
      </c>
      <c r="AC152" s="130" t="s">
        <v>499</v>
      </c>
    </row>
    <row r="153" spans="1:49" ht="28.5">
      <c r="A153" s="129" t="s">
        <v>507</v>
      </c>
      <c r="B153" s="130" t="s">
        <v>437</v>
      </c>
      <c r="C153" s="130" t="s">
        <v>475</v>
      </c>
      <c r="D153" s="131" t="s">
        <v>497</v>
      </c>
      <c r="E153" s="131" t="s">
        <v>498</v>
      </c>
      <c r="F153" s="41"/>
      <c r="G153" s="132" t="s">
        <v>261</v>
      </c>
      <c r="H153" s="130" t="s">
        <v>442</v>
      </c>
      <c r="I153" s="130" t="s">
        <v>476</v>
      </c>
      <c r="J153" s="122"/>
      <c r="K153" s="13"/>
      <c r="L153" s="13"/>
      <c r="M153" s="13"/>
      <c r="N153" s="13"/>
      <c r="O153" s="13"/>
      <c r="P153" s="13"/>
      <c r="Q153" s="13"/>
      <c r="R153" s="13"/>
      <c r="S153" s="13"/>
      <c r="T153" s="122"/>
      <c r="U153" s="41"/>
      <c r="V153" s="41"/>
      <c r="W153" s="41"/>
      <c r="X153" s="41"/>
      <c r="Y153" s="41"/>
      <c r="Z153" s="41"/>
      <c r="AA153" s="41"/>
      <c r="AB153" s="130" t="s">
        <v>477</v>
      </c>
      <c r="AC153" s="130" t="s">
        <v>499</v>
      </c>
    </row>
    <row r="154" spans="1:49" ht="28.5">
      <c r="A154" s="129" t="s">
        <v>508</v>
      </c>
      <c r="B154" s="130" t="s">
        <v>437</v>
      </c>
      <c r="C154" s="130" t="s">
        <v>475</v>
      </c>
      <c r="D154" s="131" t="s">
        <v>497</v>
      </c>
      <c r="E154" s="131" t="s">
        <v>498</v>
      </c>
      <c r="F154" s="41"/>
      <c r="G154" s="132" t="s">
        <v>261</v>
      </c>
      <c r="H154" s="130" t="s">
        <v>442</v>
      </c>
      <c r="I154" s="130" t="s">
        <v>476</v>
      </c>
      <c r="J154" s="122"/>
      <c r="K154" s="13"/>
      <c r="L154" s="13"/>
      <c r="M154" s="13"/>
      <c r="N154" s="13"/>
      <c r="O154" s="13"/>
      <c r="P154" s="13"/>
      <c r="Q154" s="13"/>
      <c r="R154" s="13"/>
      <c r="S154" s="13"/>
      <c r="T154" s="122"/>
      <c r="U154" s="41"/>
      <c r="V154" s="41"/>
      <c r="W154" s="41"/>
      <c r="X154" s="41"/>
      <c r="Y154" s="41"/>
      <c r="Z154" s="41"/>
      <c r="AA154" s="41"/>
      <c r="AB154" s="130" t="s">
        <v>477</v>
      </c>
      <c r="AC154" s="130" t="s">
        <v>499</v>
      </c>
    </row>
    <row r="155" spans="1:49" ht="28.5">
      <c r="A155" s="129" t="s">
        <v>509</v>
      </c>
      <c r="B155" s="130" t="s">
        <v>437</v>
      </c>
      <c r="C155" s="130" t="s">
        <v>475</v>
      </c>
      <c r="D155" s="131" t="s">
        <v>497</v>
      </c>
      <c r="E155" s="131" t="s">
        <v>498</v>
      </c>
      <c r="F155" s="41"/>
      <c r="G155" s="132" t="s">
        <v>261</v>
      </c>
      <c r="H155" s="130" t="s">
        <v>442</v>
      </c>
      <c r="I155" s="130" t="s">
        <v>476</v>
      </c>
      <c r="J155" s="122"/>
      <c r="K155" s="13"/>
      <c r="L155" s="13"/>
      <c r="M155" s="13"/>
      <c r="N155" s="13"/>
      <c r="O155" s="13"/>
      <c r="P155" s="13"/>
      <c r="Q155" s="13"/>
      <c r="R155" s="13"/>
      <c r="S155" s="13"/>
      <c r="T155" s="122"/>
      <c r="U155" s="41"/>
      <c r="V155" s="41"/>
      <c r="W155" s="41"/>
      <c r="X155" s="41"/>
      <c r="Y155" s="41"/>
      <c r="Z155" s="41"/>
      <c r="AA155" s="41"/>
      <c r="AB155" s="130" t="s">
        <v>477</v>
      </c>
      <c r="AC155" s="130" t="s">
        <v>499</v>
      </c>
    </row>
    <row r="156" spans="1:49" ht="28.5">
      <c r="A156" s="129" t="s">
        <v>510</v>
      </c>
      <c r="B156" s="130" t="s">
        <v>437</v>
      </c>
      <c r="C156" s="130" t="s">
        <v>475</v>
      </c>
      <c r="D156" s="131" t="s">
        <v>497</v>
      </c>
      <c r="E156" s="131" t="s">
        <v>498</v>
      </c>
      <c r="F156" s="41"/>
      <c r="G156" s="132" t="s">
        <v>261</v>
      </c>
      <c r="H156" s="130" t="s">
        <v>442</v>
      </c>
      <c r="I156" s="130" t="s">
        <v>476</v>
      </c>
      <c r="J156" s="122"/>
      <c r="K156" s="13"/>
      <c r="L156" s="13"/>
      <c r="M156" s="13"/>
      <c r="N156" s="13"/>
      <c r="O156" s="13"/>
      <c r="P156" s="13"/>
      <c r="Q156" s="13"/>
      <c r="R156" s="13"/>
      <c r="S156" s="13"/>
      <c r="T156" s="122"/>
      <c r="U156" s="41"/>
      <c r="V156" s="41"/>
      <c r="W156" s="41"/>
      <c r="X156" s="41"/>
      <c r="Y156" s="41"/>
      <c r="Z156" s="41"/>
      <c r="AA156" s="41"/>
      <c r="AB156" s="130" t="s">
        <v>477</v>
      </c>
      <c r="AC156" s="130" t="s">
        <v>499</v>
      </c>
    </row>
    <row r="157" spans="1:49" ht="24.75" customHeight="1">
      <c r="A157" s="133" t="s">
        <v>511</v>
      </c>
      <c r="B157" s="134" t="s">
        <v>437</v>
      </c>
      <c r="C157" s="134" t="s">
        <v>484</v>
      </c>
      <c r="D157" s="135" t="s">
        <v>497</v>
      </c>
      <c r="E157" s="135" t="s">
        <v>498</v>
      </c>
      <c r="F157" s="32"/>
      <c r="G157" s="136" t="s">
        <v>261</v>
      </c>
      <c r="H157" s="134" t="s">
        <v>485</v>
      </c>
      <c r="I157" s="134" t="s">
        <v>486</v>
      </c>
      <c r="J157" s="35"/>
      <c r="K157" s="36"/>
      <c r="L157" s="36"/>
      <c r="M157" s="36"/>
      <c r="N157" s="36"/>
      <c r="O157" s="36"/>
      <c r="P157" s="36"/>
      <c r="Q157" s="36"/>
      <c r="R157" s="36"/>
      <c r="S157" s="36"/>
      <c r="T157" s="26"/>
      <c r="U157" s="32"/>
      <c r="V157" s="32"/>
      <c r="W157" s="32"/>
      <c r="X157" s="32"/>
      <c r="Y157" s="32"/>
      <c r="Z157" s="32"/>
      <c r="AA157" s="32"/>
      <c r="AB157" s="134" t="s">
        <v>487</v>
      </c>
      <c r="AC157" s="134" t="s">
        <v>499</v>
      </c>
      <c r="AE157" s="26"/>
      <c r="AF157" s="26"/>
      <c r="AG157" s="26"/>
      <c r="AH157" s="26"/>
      <c r="AI157" s="26"/>
      <c r="AJ157" s="26"/>
      <c r="AK157" s="26"/>
      <c r="AL157" s="26"/>
      <c r="AM157" s="26"/>
      <c r="AN157" s="26"/>
      <c r="AO157" s="26"/>
      <c r="AP157" s="26"/>
      <c r="AQ157" s="26"/>
      <c r="AR157" s="26"/>
      <c r="AS157" s="26"/>
      <c r="AT157" s="26"/>
      <c r="AU157" s="26"/>
      <c r="AV157" s="26"/>
      <c r="AW157" s="26"/>
    </row>
    <row r="158" spans="1:49" ht="24.75" customHeight="1">
      <c r="A158" s="129" t="s">
        <v>512</v>
      </c>
      <c r="B158" s="130" t="s">
        <v>437</v>
      </c>
      <c r="C158" s="130" t="s">
        <v>489</v>
      </c>
      <c r="D158" s="131" t="s">
        <v>497</v>
      </c>
      <c r="E158" s="131" t="s">
        <v>498</v>
      </c>
      <c r="F158" s="41"/>
      <c r="G158" s="132" t="s">
        <v>261</v>
      </c>
      <c r="H158" s="130" t="s">
        <v>485</v>
      </c>
      <c r="I158" s="130" t="s">
        <v>486</v>
      </c>
      <c r="J158" s="35"/>
      <c r="K158" s="44"/>
      <c r="L158" s="44"/>
      <c r="M158" s="44"/>
      <c r="N158" s="44"/>
      <c r="O158" s="44"/>
      <c r="P158" s="44"/>
      <c r="Q158" s="44"/>
      <c r="R158" s="44"/>
      <c r="S158" s="44"/>
      <c r="T158" s="26"/>
      <c r="U158" s="41"/>
      <c r="V158" s="41"/>
      <c r="W158" s="41"/>
      <c r="X158" s="41"/>
      <c r="Y158" s="41"/>
      <c r="Z158" s="41"/>
      <c r="AA158" s="41"/>
      <c r="AB158" s="130" t="s">
        <v>487</v>
      </c>
      <c r="AC158" s="130" t="s">
        <v>499</v>
      </c>
      <c r="AE158" s="26"/>
      <c r="AF158" s="26"/>
      <c r="AG158" s="26"/>
      <c r="AH158" s="26"/>
      <c r="AI158" s="26"/>
      <c r="AJ158" s="26"/>
      <c r="AK158" s="26"/>
      <c r="AL158" s="26"/>
      <c r="AM158" s="26"/>
      <c r="AN158" s="26"/>
      <c r="AO158" s="26"/>
      <c r="AP158" s="26"/>
      <c r="AQ158" s="26"/>
      <c r="AR158" s="26"/>
      <c r="AS158" s="26"/>
      <c r="AT158" s="26"/>
      <c r="AU158" s="26"/>
      <c r="AV158" s="26"/>
      <c r="AW158" s="26"/>
    </row>
    <row r="159" spans="1:49" ht="24.75" customHeight="1">
      <c r="A159" s="129" t="s">
        <v>513</v>
      </c>
      <c r="B159" s="130" t="s">
        <v>437</v>
      </c>
      <c r="C159" s="130" t="s">
        <v>491</v>
      </c>
      <c r="D159" s="131" t="s">
        <v>497</v>
      </c>
      <c r="E159" s="131" t="s">
        <v>498</v>
      </c>
      <c r="F159" s="41"/>
      <c r="G159" s="130" t="s">
        <v>492</v>
      </c>
      <c r="H159" s="130" t="s">
        <v>493</v>
      </c>
      <c r="I159" s="130" t="s">
        <v>494</v>
      </c>
      <c r="J159" s="35"/>
      <c r="K159" s="44"/>
      <c r="L159" s="44"/>
      <c r="M159" s="44"/>
      <c r="N159" s="44"/>
      <c r="O159" s="44"/>
      <c r="P159" s="44"/>
      <c r="Q159" s="44"/>
      <c r="R159" s="44"/>
      <c r="S159" s="44"/>
      <c r="T159" s="26"/>
      <c r="U159" s="41"/>
      <c r="V159" s="41"/>
      <c r="W159" s="41"/>
      <c r="X159" s="41"/>
      <c r="Y159" s="41"/>
      <c r="Z159" s="41"/>
      <c r="AA159" s="41"/>
      <c r="AB159" s="41"/>
      <c r="AC159" s="130" t="s">
        <v>499</v>
      </c>
      <c r="AE159" s="26"/>
      <c r="AF159" s="26"/>
      <c r="AG159" s="26"/>
      <c r="AH159" s="26"/>
      <c r="AI159" s="26"/>
      <c r="AJ159" s="26"/>
      <c r="AK159" s="26"/>
      <c r="AL159" s="26"/>
      <c r="AM159" s="26"/>
      <c r="AN159" s="26"/>
      <c r="AO159" s="26"/>
      <c r="AP159" s="26"/>
      <c r="AQ159" s="26"/>
      <c r="AR159" s="26"/>
      <c r="AS159" s="26"/>
      <c r="AT159" s="26"/>
      <c r="AU159" s="26"/>
      <c r="AV159" s="26"/>
      <c r="AW159" s="26"/>
    </row>
    <row r="160" spans="1:49" ht="24.75" customHeight="1">
      <c r="A160" s="237" t="s">
        <v>514</v>
      </c>
      <c r="B160" s="234"/>
      <c r="C160" s="234"/>
      <c r="D160" s="234"/>
      <c r="E160" s="234"/>
      <c r="F160" s="234"/>
      <c r="G160" s="234"/>
      <c r="H160" s="234"/>
      <c r="I160" s="235"/>
      <c r="J160" s="35"/>
      <c r="K160" s="233"/>
      <c r="L160" s="234"/>
      <c r="M160" s="234"/>
      <c r="N160" s="234"/>
      <c r="O160" s="234"/>
      <c r="P160" s="234"/>
      <c r="Q160" s="234"/>
      <c r="R160" s="234"/>
      <c r="S160" s="235"/>
      <c r="T160" s="35"/>
      <c r="U160" s="236"/>
      <c r="V160" s="234"/>
      <c r="W160" s="234"/>
      <c r="X160" s="234"/>
      <c r="Y160" s="234"/>
      <c r="Z160" s="234"/>
      <c r="AA160" s="235"/>
      <c r="AB160" s="45"/>
      <c r="AC160" s="45"/>
      <c r="AD160" s="27"/>
      <c r="AE160" s="27"/>
      <c r="AF160" s="27"/>
      <c r="AG160" s="27"/>
      <c r="AH160" s="27"/>
      <c r="AI160" s="27"/>
      <c r="AJ160" s="27"/>
      <c r="AK160" s="27"/>
      <c r="AL160" s="27"/>
      <c r="AM160" s="27"/>
      <c r="AN160" s="27"/>
      <c r="AO160" s="27"/>
      <c r="AP160" s="27"/>
      <c r="AQ160" s="27"/>
      <c r="AR160" s="27"/>
      <c r="AS160" s="27"/>
      <c r="AT160" s="27"/>
      <c r="AU160" s="27"/>
      <c r="AV160" s="27"/>
      <c r="AW160" s="27"/>
    </row>
    <row r="161" spans="1:49" ht="28.5">
      <c r="A161" s="137" t="s">
        <v>515</v>
      </c>
      <c r="B161" s="138" t="s">
        <v>437</v>
      </c>
      <c r="C161" s="138" t="s">
        <v>438</v>
      </c>
      <c r="D161" s="139" t="s">
        <v>516</v>
      </c>
      <c r="E161" s="139" t="s">
        <v>517</v>
      </c>
      <c r="F161" s="140"/>
      <c r="G161" s="138" t="s">
        <v>441</v>
      </c>
      <c r="H161" s="138" t="s">
        <v>442</v>
      </c>
      <c r="I161" s="138" t="s">
        <v>443</v>
      </c>
      <c r="J161" s="122"/>
      <c r="K161" s="13"/>
      <c r="L161" s="13"/>
      <c r="M161" s="13"/>
      <c r="N161" s="13"/>
      <c r="O161" s="13"/>
      <c r="P161" s="13"/>
      <c r="Q161" s="13"/>
      <c r="R161" s="13"/>
      <c r="S161" s="13"/>
      <c r="T161" s="122"/>
      <c r="U161" s="140"/>
      <c r="V161" s="140"/>
      <c r="W161" s="140"/>
      <c r="X161" s="140"/>
      <c r="Y161" s="140"/>
      <c r="Z161" s="140"/>
      <c r="AA161" s="140"/>
      <c r="AB161" s="140"/>
      <c r="AC161" s="138" t="s">
        <v>518</v>
      </c>
    </row>
    <row r="162" spans="1:49" ht="24.75" customHeight="1">
      <c r="A162" s="137" t="s">
        <v>519</v>
      </c>
      <c r="B162" s="138" t="s">
        <v>437</v>
      </c>
      <c r="C162" s="138" t="s">
        <v>446</v>
      </c>
      <c r="D162" s="139" t="s">
        <v>516</v>
      </c>
      <c r="E162" s="139" t="s">
        <v>517</v>
      </c>
      <c r="F162" s="140"/>
      <c r="G162" s="138" t="s">
        <v>447</v>
      </c>
      <c r="H162" s="138" t="s">
        <v>448</v>
      </c>
      <c r="I162" s="138" t="s">
        <v>449</v>
      </c>
      <c r="J162" s="35"/>
      <c r="K162" s="36"/>
      <c r="L162" s="36"/>
      <c r="M162" s="36"/>
      <c r="N162" s="36"/>
      <c r="O162" s="36"/>
      <c r="P162" s="36"/>
      <c r="Q162" s="36"/>
      <c r="R162" s="36"/>
      <c r="S162" s="36"/>
      <c r="T162" s="26"/>
      <c r="U162" s="140"/>
      <c r="V162" s="140"/>
      <c r="W162" s="140"/>
      <c r="X162" s="140"/>
      <c r="Y162" s="140"/>
      <c r="Z162" s="140"/>
      <c r="AA162" s="140"/>
      <c r="AB162" s="140"/>
      <c r="AC162" s="138" t="s">
        <v>518</v>
      </c>
      <c r="AE162" s="26"/>
      <c r="AF162" s="26"/>
      <c r="AG162" s="26"/>
      <c r="AH162" s="26"/>
      <c r="AI162" s="26"/>
      <c r="AJ162" s="26"/>
      <c r="AK162" s="26"/>
      <c r="AL162" s="26"/>
      <c r="AM162" s="26"/>
      <c r="AN162" s="26"/>
      <c r="AO162" s="26"/>
      <c r="AP162" s="26"/>
      <c r="AQ162" s="26"/>
      <c r="AR162" s="26"/>
      <c r="AS162" s="26"/>
      <c r="AT162" s="26"/>
      <c r="AU162" s="26"/>
      <c r="AV162" s="26"/>
      <c r="AW162" s="26"/>
    </row>
    <row r="163" spans="1:49" ht="24.75" customHeight="1">
      <c r="A163" s="137" t="s">
        <v>520</v>
      </c>
      <c r="B163" s="138" t="s">
        <v>437</v>
      </c>
      <c r="C163" s="138" t="s">
        <v>459</v>
      </c>
      <c r="D163" s="139" t="s">
        <v>516</v>
      </c>
      <c r="E163" s="139" t="s">
        <v>517</v>
      </c>
      <c r="F163" s="140"/>
      <c r="G163" s="138" t="s">
        <v>453</v>
      </c>
      <c r="H163" s="138" t="s">
        <v>442</v>
      </c>
      <c r="I163" s="138" t="s">
        <v>460</v>
      </c>
      <c r="J163" s="35"/>
      <c r="K163" s="44"/>
      <c r="L163" s="44"/>
      <c r="M163" s="44"/>
      <c r="N163" s="44"/>
      <c r="O163" s="44"/>
      <c r="P163" s="44"/>
      <c r="Q163" s="44"/>
      <c r="R163" s="44"/>
      <c r="S163" s="44"/>
      <c r="T163" s="26"/>
      <c r="U163" s="140"/>
      <c r="V163" s="140"/>
      <c r="W163" s="140"/>
      <c r="X163" s="140"/>
      <c r="Y163" s="140"/>
      <c r="Z163" s="140"/>
      <c r="AA163" s="140"/>
      <c r="AB163" s="140"/>
      <c r="AC163" s="138" t="s">
        <v>518</v>
      </c>
      <c r="AE163" s="26"/>
      <c r="AF163" s="26"/>
      <c r="AG163" s="26"/>
      <c r="AH163" s="26"/>
      <c r="AI163" s="26"/>
      <c r="AJ163" s="26"/>
      <c r="AK163" s="26"/>
      <c r="AL163" s="26"/>
      <c r="AM163" s="26"/>
      <c r="AN163" s="26"/>
      <c r="AO163" s="26"/>
      <c r="AP163" s="26"/>
      <c r="AQ163" s="26"/>
      <c r="AR163" s="26"/>
      <c r="AS163" s="26"/>
      <c r="AT163" s="26"/>
      <c r="AU163" s="26"/>
      <c r="AV163" s="26"/>
      <c r="AW163" s="26"/>
    </row>
    <row r="164" spans="1:49" ht="24.75" customHeight="1">
      <c r="A164" s="137" t="s">
        <v>521</v>
      </c>
      <c r="B164" s="138" t="s">
        <v>437</v>
      </c>
      <c r="C164" s="138" t="s">
        <v>459</v>
      </c>
      <c r="D164" s="139" t="s">
        <v>516</v>
      </c>
      <c r="E164" s="139" t="s">
        <v>517</v>
      </c>
      <c r="F164" s="140"/>
      <c r="G164" s="138" t="s">
        <v>453</v>
      </c>
      <c r="H164" s="138" t="s">
        <v>442</v>
      </c>
      <c r="I164" s="138" t="s">
        <v>460</v>
      </c>
      <c r="J164" s="35"/>
      <c r="K164" s="44"/>
      <c r="L164" s="44"/>
      <c r="M164" s="44"/>
      <c r="N164" s="44"/>
      <c r="O164" s="44"/>
      <c r="P164" s="44"/>
      <c r="Q164" s="44"/>
      <c r="R164" s="44"/>
      <c r="S164" s="44"/>
      <c r="T164" s="26"/>
      <c r="U164" s="140"/>
      <c r="V164" s="140"/>
      <c r="W164" s="140"/>
      <c r="X164" s="140"/>
      <c r="Y164" s="140"/>
      <c r="Z164" s="140"/>
      <c r="AA164" s="140"/>
      <c r="AB164" s="140"/>
      <c r="AC164" s="138" t="s">
        <v>518</v>
      </c>
      <c r="AE164" s="26"/>
      <c r="AF164" s="26"/>
      <c r="AG164" s="26"/>
      <c r="AH164" s="26"/>
      <c r="AI164" s="26"/>
      <c r="AJ164" s="26"/>
      <c r="AK164" s="26"/>
      <c r="AL164" s="26"/>
      <c r="AM164" s="26"/>
      <c r="AN164" s="26"/>
      <c r="AO164" s="26"/>
      <c r="AP164" s="26"/>
      <c r="AQ164" s="26"/>
      <c r="AR164" s="26"/>
      <c r="AS164" s="26"/>
      <c r="AT164" s="26"/>
      <c r="AU164" s="26"/>
      <c r="AV164" s="26"/>
      <c r="AW164" s="26"/>
    </row>
    <row r="165" spans="1:49" ht="24.75" customHeight="1">
      <c r="A165" s="137" t="s">
        <v>522</v>
      </c>
      <c r="B165" s="138" t="s">
        <v>437</v>
      </c>
      <c r="C165" s="138" t="s">
        <v>463</v>
      </c>
      <c r="D165" s="139" t="s">
        <v>516</v>
      </c>
      <c r="E165" s="139" t="s">
        <v>517</v>
      </c>
      <c r="F165" s="140"/>
      <c r="G165" s="138" t="s">
        <v>453</v>
      </c>
      <c r="H165" s="138" t="s">
        <v>442</v>
      </c>
      <c r="I165" s="138" t="s">
        <v>464</v>
      </c>
      <c r="J165" s="35"/>
      <c r="K165" s="44"/>
      <c r="L165" s="44"/>
      <c r="M165" s="44"/>
      <c r="N165" s="44"/>
      <c r="O165" s="44"/>
      <c r="P165" s="44"/>
      <c r="Q165" s="44"/>
      <c r="R165" s="44"/>
      <c r="S165" s="44"/>
      <c r="T165" s="26"/>
      <c r="U165" s="140"/>
      <c r="V165" s="140"/>
      <c r="W165" s="140"/>
      <c r="X165" s="140"/>
      <c r="Y165" s="140"/>
      <c r="Z165" s="140"/>
      <c r="AA165" s="140"/>
      <c r="AB165" s="140"/>
      <c r="AC165" s="138" t="s">
        <v>518</v>
      </c>
      <c r="AE165" s="26"/>
      <c r="AF165" s="26"/>
      <c r="AG165" s="26"/>
      <c r="AH165" s="26"/>
      <c r="AI165" s="26"/>
      <c r="AJ165" s="26"/>
      <c r="AK165" s="26"/>
      <c r="AL165" s="26"/>
      <c r="AM165" s="26"/>
      <c r="AN165" s="26"/>
      <c r="AO165" s="26"/>
      <c r="AP165" s="26"/>
      <c r="AQ165" s="26"/>
      <c r="AR165" s="26"/>
      <c r="AS165" s="26"/>
      <c r="AT165" s="26"/>
      <c r="AU165" s="26"/>
      <c r="AV165" s="26"/>
      <c r="AW165" s="26"/>
    </row>
    <row r="166" spans="1:49" ht="24.75" customHeight="1">
      <c r="A166" s="137" t="s">
        <v>523</v>
      </c>
      <c r="B166" s="138" t="s">
        <v>437</v>
      </c>
      <c r="C166" s="138" t="s">
        <v>463</v>
      </c>
      <c r="D166" s="139" t="s">
        <v>516</v>
      </c>
      <c r="E166" s="139" t="s">
        <v>517</v>
      </c>
      <c r="F166" s="140"/>
      <c r="G166" s="138" t="s">
        <v>453</v>
      </c>
      <c r="H166" s="138" t="s">
        <v>442</v>
      </c>
      <c r="I166" s="138" t="s">
        <v>464</v>
      </c>
      <c r="J166" s="35"/>
      <c r="K166" s="44"/>
      <c r="L166" s="44"/>
      <c r="M166" s="44"/>
      <c r="N166" s="44"/>
      <c r="O166" s="44"/>
      <c r="P166" s="44"/>
      <c r="Q166" s="44"/>
      <c r="R166" s="44"/>
      <c r="S166" s="44"/>
      <c r="T166" s="26"/>
      <c r="U166" s="140"/>
      <c r="V166" s="140"/>
      <c r="W166" s="140"/>
      <c r="X166" s="140"/>
      <c r="Y166" s="140"/>
      <c r="Z166" s="140"/>
      <c r="AA166" s="140"/>
      <c r="AB166" s="140"/>
      <c r="AC166" s="138" t="s">
        <v>518</v>
      </c>
      <c r="AE166" s="26"/>
      <c r="AF166" s="26"/>
      <c r="AG166" s="26"/>
      <c r="AH166" s="26"/>
      <c r="AI166" s="26"/>
      <c r="AJ166" s="26"/>
      <c r="AK166" s="26"/>
      <c r="AL166" s="26"/>
      <c r="AM166" s="26"/>
      <c r="AN166" s="26"/>
      <c r="AO166" s="26"/>
      <c r="AP166" s="26"/>
      <c r="AQ166" s="26"/>
      <c r="AR166" s="26"/>
      <c r="AS166" s="26"/>
      <c r="AT166" s="26"/>
      <c r="AU166" s="26"/>
      <c r="AV166" s="26"/>
      <c r="AW166" s="26"/>
    </row>
    <row r="167" spans="1:49" ht="24.75" customHeight="1">
      <c r="A167" s="137" t="s">
        <v>524</v>
      </c>
      <c r="B167" s="138" t="s">
        <v>437</v>
      </c>
      <c r="C167" s="138" t="s">
        <v>475</v>
      </c>
      <c r="D167" s="139" t="s">
        <v>516</v>
      </c>
      <c r="E167" s="139" t="s">
        <v>517</v>
      </c>
      <c r="F167" s="140"/>
      <c r="G167" s="141" t="s">
        <v>261</v>
      </c>
      <c r="H167" s="138" t="s">
        <v>442</v>
      </c>
      <c r="I167" s="138" t="s">
        <v>476</v>
      </c>
      <c r="J167" s="35"/>
      <c r="K167" s="44"/>
      <c r="L167" s="44"/>
      <c r="M167" s="44"/>
      <c r="N167" s="44"/>
      <c r="O167" s="44"/>
      <c r="P167" s="44"/>
      <c r="Q167" s="44"/>
      <c r="R167" s="44"/>
      <c r="S167" s="44"/>
      <c r="T167" s="26"/>
      <c r="U167" s="140"/>
      <c r="V167" s="140"/>
      <c r="W167" s="140"/>
      <c r="X167" s="140"/>
      <c r="Y167" s="140"/>
      <c r="Z167" s="140"/>
      <c r="AA167" s="140"/>
      <c r="AB167" s="138" t="s">
        <v>477</v>
      </c>
      <c r="AC167" s="138" t="s">
        <v>518</v>
      </c>
      <c r="AE167" s="26"/>
      <c r="AF167" s="26"/>
      <c r="AG167" s="26"/>
      <c r="AH167" s="26"/>
      <c r="AI167" s="26"/>
      <c r="AJ167" s="26"/>
      <c r="AK167" s="26"/>
      <c r="AL167" s="26"/>
      <c r="AM167" s="26"/>
      <c r="AN167" s="26"/>
      <c r="AO167" s="26"/>
      <c r="AP167" s="26"/>
      <c r="AQ167" s="26"/>
      <c r="AR167" s="26"/>
      <c r="AS167" s="26"/>
      <c r="AT167" s="26"/>
      <c r="AU167" s="26"/>
      <c r="AV167" s="26"/>
      <c r="AW167" s="26"/>
    </row>
    <row r="168" spans="1:49" ht="24.75" customHeight="1">
      <c r="A168" s="137" t="s">
        <v>525</v>
      </c>
      <c r="B168" s="138" t="s">
        <v>437</v>
      </c>
      <c r="C168" s="138" t="s">
        <v>475</v>
      </c>
      <c r="D168" s="139" t="s">
        <v>516</v>
      </c>
      <c r="E168" s="139" t="s">
        <v>517</v>
      </c>
      <c r="F168" s="140"/>
      <c r="G168" s="141" t="s">
        <v>261</v>
      </c>
      <c r="H168" s="138" t="s">
        <v>442</v>
      </c>
      <c r="I168" s="138" t="s">
        <v>476</v>
      </c>
      <c r="J168" s="35"/>
      <c r="K168" s="44"/>
      <c r="L168" s="44"/>
      <c r="M168" s="44"/>
      <c r="N168" s="44"/>
      <c r="O168" s="44"/>
      <c r="P168" s="44"/>
      <c r="Q168" s="44"/>
      <c r="R168" s="44"/>
      <c r="S168" s="44"/>
      <c r="T168" s="26"/>
      <c r="U168" s="140"/>
      <c r="V168" s="140"/>
      <c r="W168" s="140"/>
      <c r="X168" s="140"/>
      <c r="Y168" s="140"/>
      <c r="Z168" s="140"/>
      <c r="AA168" s="140"/>
      <c r="AB168" s="138" t="s">
        <v>477</v>
      </c>
      <c r="AC168" s="138" t="s">
        <v>518</v>
      </c>
      <c r="AE168" s="26"/>
      <c r="AF168" s="26"/>
      <c r="AG168" s="26"/>
      <c r="AH168" s="26"/>
      <c r="AI168" s="26"/>
      <c r="AJ168" s="26"/>
      <c r="AK168" s="26"/>
      <c r="AL168" s="26"/>
      <c r="AM168" s="26"/>
      <c r="AN168" s="26"/>
      <c r="AO168" s="26"/>
      <c r="AP168" s="26"/>
      <c r="AQ168" s="26"/>
      <c r="AR168" s="26"/>
      <c r="AS168" s="26"/>
      <c r="AT168" s="26"/>
      <c r="AU168" s="26"/>
      <c r="AV168" s="26"/>
      <c r="AW168" s="26"/>
    </row>
    <row r="169" spans="1:49" ht="24.75" customHeight="1">
      <c r="A169" s="137" t="s">
        <v>526</v>
      </c>
      <c r="B169" s="138" t="s">
        <v>437</v>
      </c>
      <c r="C169" s="138" t="s">
        <v>475</v>
      </c>
      <c r="D169" s="139" t="s">
        <v>516</v>
      </c>
      <c r="E169" s="139" t="s">
        <v>517</v>
      </c>
      <c r="F169" s="140"/>
      <c r="G169" s="141" t="s">
        <v>261</v>
      </c>
      <c r="H169" s="138" t="s">
        <v>442</v>
      </c>
      <c r="I169" s="138" t="s">
        <v>476</v>
      </c>
      <c r="J169" s="35"/>
      <c r="K169" s="44"/>
      <c r="L169" s="44"/>
      <c r="M169" s="44"/>
      <c r="N169" s="44"/>
      <c r="O169" s="44"/>
      <c r="P169" s="44"/>
      <c r="Q169" s="44"/>
      <c r="R169" s="44"/>
      <c r="S169" s="44"/>
      <c r="T169" s="26"/>
      <c r="U169" s="140"/>
      <c r="V169" s="140"/>
      <c r="W169" s="140"/>
      <c r="X169" s="140"/>
      <c r="Y169" s="140"/>
      <c r="Z169" s="140"/>
      <c r="AA169" s="140"/>
      <c r="AB169" s="138" t="s">
        <v>477</v>
      </c>
      <c r="AC169" s="138" t="s">
        <v>518</v>
      </c>
      <c r="AE169" s="26"/>
      <c r="AF169" s="26"/>
      <c r="AG169" s="26"/>
      <c r="AH169" s="26"/>
      <c r="AI169" s="26"/>
      <c r="AJ169" s="26"/>
      <c r="AK169" s="26"/>
      <c r="AL169" s="26"/>
      <c r="AM169" s="26"/>
      <c r="AN169" s="26"/>
      <c r="AO169" s="26"/>
      <c r="AP169" s="26"/>
      <c r="AQ169" s="26"/>
      <c r="AR169" s="26"/>
      <c r="AS169" s="26"/>
      <c r="AT169" s="26"/>
      <c r="AU169" s="26"/>
      <c r="AV169" s="26"/>
      <c r="AW169" s="26"/>
    </row>
    <row r="170" spans="1:49" ht="24.75" customHeight="1">
      <c r="A170" s="137" t="s">
        <v>527</v>
      </c>
      <c r="B170" s="138" t="s">
        <v>437</v>
      </c>
      <c r="C170" s="138" t="s">
        <v>475</v>
      </c>
      <c r="D170" s="139" t="s">
        <v>516</v>
      </c>
      <c r="E170" s="139" t="s">
        <v>517</v>
      </c>
      <c r="F170" s="140"/>
      <c r="G170" s="141" t="s">
        <v>261</v>
      </c>
      <c r="H170" s="138" t="s">
        <v>442</v>
      </c>
      <c r="I170" s="138" t="s">
        <v>476</v>
      </c>
      <c r="J170" s="35"/>
      <c r="K170" s="44"/>
      <c r="L170" s="44"/>
      <c r="M170" s="44"/>
      <c r="N170" s="44"/>
      <c r="O170" s="44"/>
      <c r="P170" s="44"/>
      <c r="Q170" s="44"/>
      <c r="R170" s="44"/>
      <c r="S170" s="44"/>
      <c r="T170" s="26"/>
      <c r="U170" s="140"/>
      <c r="V170" s="140"/>
      <c r="W170" s="140"/>
      <c r="X170" s="140"/>
      <c r="Y170" s="140"/>
      <c r="Z170" s="140"/>
      <c r="AA170" s="140"/>
      <c r="AB170" s="138" t="s">
        <v>477</v>
      </c>
      <c r="AC170" s="138" t="s">
        <v>518</v>
      </c>
      <c r="AE170" s="26"/>
      <c r="AF170" s="26"/>
      <c r="AG170" s="26"/>
      <c r="AH170" s="26"/>
      <c r="AI170" s="26"/>
      <c r="AJ170" s="26"/>
      <c r="AK170" s="26"/>
      <c r="AL170" s="26"/>
      <c r="AM170" s="26"/>
      <c r="AN170" s="26"/>
      <c r="AO170" s="26"/>
      <c r="AP170" s="26"/>
      <c r="AQ170" s="26"/>
      <c r="AR170" s="26"/>
      <c r="AS170" s="26"/>
      <c r="AT170" s="26"/>
      <c r="AU170" s="26"/>
      <c r="AV170" s="26"/>
      <c r="AW170" s="26"/>
    </row>
    <row r="171" spans="1:49" ht="24.75" customHeight="1">
      <c r="A171" s="137" t="s">
        <v>528</v>
      </c>
      <c r="B171" s="138" t="s">
        <v>437</v>
      </c>
      <c r="C171" s="138" t="s">
        <v>475</v>
      </c>
      <c r="D171" s="139" t="s">
        <v>516</v>
      </c>
      <c r="E171" s="139" t="s">
        <v>517</v>
      </c>
      <c r="F171" s="140"/>
      <c r="G171" s="141" t="s">
        <v>261</v>
      </c>
      <c r="H171" s="138" t="s">
        <v>442</v>
      </c>
      <c r="I171" s="138" t="s">
        <v>476</v>
      </c>
      <c r="J171" s="35"/>
      <c r="K171" s="44"/>
      <c r="L171" s="44"/>
      <c r="M171" s="44"/>
      <c r="N171" s="44"/>
      <c r="O171" s="44"/>
      <c r="P171" s="44"/>
      <c r="Q171" s="44"/>
      <c r="R171" s="44"/>
      <c r="S171" s="44"/>
      <c r="T171" s="26"/>
      <c r="U171" s="140"/>
      <c r="V171" s="140"/>
      <c r="W171" s="140"/>
      <c r="X171" s="140"/>
      <c r="Y171" s="140"/>
      <c r="Z171" s="140"/>
      <c r="AA171" s="140"/>
      <c r="AB171" s="138" t="s">
        <v>477</v>
      </c>
      <c r="AC171" s="138" t="s">
        <v>518</v>
      </c>
      <c r="AE171" s="26"/>
      <c r="AF171" s="26"/>
      <c r="AG171" s="26"/>
      <c r="AH171" s="26"/>
      <c r="AI171" s="26"/>
      <c r="AJ171" s="26"/>
      <c r="AK171" s="26"/>
      <c r="AL171" s="26"/>
      <c r="AM171" s="26"/>
      <c r="AN171" s="26"/>
      <c r="AO171" s="26"/>
      <c r="AP171" s="26"/>
      <c r="AQ171" s="26"/>
      <c r="AR171" s="26"/>
      <c r="AS171" s="26"/>
      <c r="AT171" s="26"/>
      <c r="AU171" s="26"/>
      <c r="AV171" s="26"/>
      <c r="AW171" s="26"/>
    </row>
    <row r="172" spans="1:49" ht="24.75" customHeight="1">
      <c r="A172" s="137" t="s">
        <v>529</v>
      </c>
      <c r="B172" s="138" t="s">
        <v>437</v>
      </c>
      <c r="C172" s="138" t="s">
        <v>475</v>
      </c>
      <c r="D172" s="139" t="s">
        <v>516</v>
      </c>
      <c r="E172" s="139" t="s">
        <v>517</v>
      </c>
      <c r="F172" s="140"/>
      <c r="G172" s="141" t="s">
        <v>261</v>
      </c>
      <c r="H172" s="138" t="s">
        <v>442</v>
      </c>
      <c r="I172" s="138" t="s">
        <v>476</v>
      </c>
      <c r="J172" s="35"/>
      <c r="K172" s="44"/>
      <c r="L172" s="44"/>
      <c r="M172" s="44"/>
      <c r="N172" s="44"/>
      <c r="O172" s="44"/>
      <c r="P172" s="44"/>
      <c r="Q172" s="44"/>
      <c r="R172" s="44"/>
      <c r="S172" s="44"/>
      <c r="T172" s="26"/>
      <c r="U172" s="140"/>
      <c r="V172" s="140"/>
      <c r="W172" s="140"/>
      <c r="X172" s="140"/>
      <c r="Y172" s="140"/>
      <c r="Z172" s="140"/>
      <c r="AA172" s="140"/>
      <c r="AB172" s="138" t="s">
        <v>477</v>
      </c>
      <c r="AC172" s="138" t="s">
        <v>518</v>
      </c>
      <c r="AE172" s="26"/>
      <c r="AF172" s="26"/>
      <c r="AG172" s="26"/>
      <c r="AH172" s="26"/>
      <c r="AI172" s="26"/>
      <c r="AJ172" s="26"/>
      <c r="AK172" s="26"/>
      <c r="AL172" s="26"/>
      <c r="AM172" s="26"/>
      <c r="AN172" s="26"/>
      <c r="AO172" s="26"/>
      <c r="AP172" s="26"/>
      <c r="AQ172" s="26"/>
      <c r="AR172" s="26"/>
      <c r="AS172" s="26"/>
      <c r="AT172" s="26"/>
      <c r="AU172" s="26"/>
      <c r="AV172" s="26"/>
      <c r="AW172" s="26"/>
    </row>
    <row r="173" spans="1:49" ht="24.75" customHeight="1">
      <c r="A173" s="137" t="s">
        <v>530</v>
      </c>
      <c r="B173" s="138" t="s">
        <v>437</v>
      </c>
      <c r="C173" s="138" t="s">
        <v>484</v>
      </c>
      <c r="D173" s="139" t="s">
        <v>516</v>
      </c>
      <c r="E173" s="139" t="s">
        <v>517</v>
      </c>
      <c r="F173" s="140"/>
      <c r="G173" s="141" t="s">
        <v>261</v>
      </c>
      <c r="H173" s="138" t="s">
        <v>485</v>
      </c>
      <c r="I173" s="138" t="s">
        <v>486</v>
      </c>
      <c r="J173" s="35"/>
      <c r="K173" s="44"/>
      <c r="L173" s="44"/>
      <c r="M173" s="44"/>
      <c r="N173" s="44"/>
      <c r="O173" s="44"/>
      <c r="P173" s="44"/>
      <c r="Q173" s="44"/>
      <c r="R173" s="44"/>
      <c r="S173" s="44"/>
      <c r="T173" s="26"/>
      <c r="U173" s="140"/>
      <c r="V173" s="140"/>
      <c r="W173" s="140"/>
      <c r="X173" s="140"/>
      <c r="Y173" s="140"/>
      <c r="Z173" s="140"/>
      <c r="AA173" s="140"/>
      <c r="AB173" s="138" t="s">
        <v>487</v>
      </c>
      <c r="AC173" s="138" t="s">
        <v>518</v>
      </c>
      <c r="AE173" s="26"/>
      <c r="AF173" s="26"/>
      <c r="AG173" s="26"/>
      <c r="AH173" s="26"/>
      <c r="AI173" s="26"/>
      <c r="AJ173" s="26"/>
      <c r="AK173" s="26"/>
      <c r="AL173" s="26"/>
      <c r="AM173" s="26"/>
      <c r="AN173" s="26"/>
      <c r="AO173" s="26"/>
      <c r="AP173" s="26"/>
      <c r="AQ173" s="26"/>
      <c r="AR173" s="26"/>
      <c r="AS173" s="26"/>
      <c r="AT173" s="26"/>
      <c r="AU173" s="26"/>
      <c r="AV173" s="26"/>
      <c r="AW173" s="26"/>
    </row>
    <row r="174" spans="1:49" ht="24.75" customHeight="1">
      <c r="A174" s="137" t="s">
        <v>531</v>
      </c>
      <c r="B174" s="138" t="s">
        <v>437</v>
      </c>
      <c r="C174" s="138" t="s">
        <v>489</v>
      </c>
      <c r="D174" s="139" t="s">
        <v>516</v>
      </c>
      <c r="E174" s="139" t="s">
        <v>517</v>
      </c>
      <c r="F174" s="140"/>
      <c r="G174" s="141" t="s">
        <v>261</v>
      </c>
      <c r="H174" s="138" t="s">
        <v>485</v>
      </c>
      <c r="I174" s="138" t="s">
        <v>486</v>
      </c>
      <c r="J174" s="35"/>
      <c r="K174" s="44"/>
      <c r="L174" s="44"/>
      <c r="M174" s="44"/>
      <c r="N174" s="44"/>
      <c r="O174" s="44"/>
      <c r="P174" s="44"/>
      <c r="Q174" s="44"/>
      <c r="R174" s="44"/>
      <c r="S174" s="44"/>
      <c r="T174" s="26"/>
      <c r="U174" s="140"/>
      <c r="V174" s="140"/>
      <c r="W174" s="140"/>
      <c r="X174" s="140"/>
      <c r="Y174" s="140"/>
      <c r="Z174" s="140"/>
      <c r="AA174" s="140"/>
      <c r="AB174" s="138" t="s">
        <v>487</v>
      </c>
      <c r="AC174" s="138" t="s">
        <v>518</v>
      </c>
      <c r="AE174" s="26"/>
      <c r="AF174" s="26"/>
      <c r="AG174" s="26"/>
      <c r="AH174" s="26"/>
      <c r="AI174" s="26"/>
      <c r="AJ174" s="26"/>
      <c r="AK174" s="26"/>
      <c r="AL174" s="26"/>
      <c r="AM174" s="26"/>
      <c r="AN174" s="26"/>
      <c r="AO174" s="26"/>
      <c r="AP174" s="26"/>
      <c r="AQ174" s="26"/>
      <c r="AR174" s="26"/>
      <c r="AS174" s="26"/>
      <c r="AT174" s="26"/>
      <c r="AU174" s="26"/>
      <c r="AV174" s="26"/>
      <c r="AW174" s="26"/>
    </row>
    <row r="175" spans="1:49" ht="24.75" customHeight="1">
      <c r="A175" s="137" t="s">
        <v>532</v>
      </c>
      <c r="B175" s="138" t="s">
        <v>437</v>
      </c>
      <c r="C175" s="138" t="s">
        <v>491</v>
      </c>
      <c r="D175" s="139" t="s">
        <v>516</v>
      </c>
      <c r="E175" s="139" t="s">
        <v>517</v>
      </c>
      <c r="F175" s="140"/>
      <c r="G175" s="138" t="s">
        <v>492</v>
      </c>
      <c r="H175" s="138" t="s">
        <v>493</v>
      </c>
      <c r="I175" s="138" t="s">
        <v>494</v>
      </c>
      <c r="J175" s="35"/>
      <c r="K175" s="44"/>
      <c r="L175" s="44"/>
      <c r="M175" s="44"/>
      <c r="N175" s="44"/>
      <c r="O175" s="44"/>
      <c r="P175" s="44"/>
      <c r="Q175" s="44"/>
      <c r="R175" s="44"/>
      <c r="S175" s="44"/>
      <c r="T175" s="26"/>
      <c r="U175" s="140"/>
      <c r="V175" s="140"/>
      <c r="W175" s="140"/>
      <c r="X175" s="140"/>
      <c r="Y175" s="140"/>
      <c r="Z175" s="140"/>
      <c r="AA175" s="140"/>
      <c r="AB175" s="140"/>
      <c r="AC175" s="138" t="s">
        <v>518</v>
      </c>
      <c r="AE175" s="26"/>
      <c r="AF175" s="26"/>
      <c r="AG175" s="26"/>
      <c r="AH175" s="26"/>
      <c r="AI175" s="26"/>
      <c r="AJ175" s="26"/>
      <c r="AK175" s="26"/>
      <c r="AL175" s="26"/>
      <c r="AM175" s="26"/>
      <c r="AN175" s="26"/>
      <c r="AO175" s="26"/>
      <c r="AP175" s="26"/>
      <c r="AQ175" s="26"/>
      <c r="AR175" s="26"/>
      <c r="AS175" s="26"/>
      <c r="AT175" s="26"/>
      <c r="AU175" s="26"/>
      <c r="AV175" s="26"/>
      <c r="AW175" s="26"/>
    </row>
    <row r="176" spans="1:49" ht="24.75" customHeight="1">
      <c r="A176" s="237" t="s">
        <v>533</v>
      </c>
      <c r="B176" s="234"/>
      <c r="C176" s="234"/>
      <c r="D176" s="234"/>
      <c r="E176" s="234"/>
      <c r="F176" s="234"/>
      <c r="G176" s="234"/>
      <c r="H176" s="234"/>
      <c r="I176" s="235"/>
      <c r="J176" s="35"/>
      <c r="K176" s="233"/>
      <c r="L176" s="234"/>
      <c r="M176" s="234"/>
      <c r="N176" s="234"/>
      <c r="O176" s="234"/>
      <c r="P176" s="234"/>
      <c r="Q176" s="234"/>
      <c r="R176" s="234"/>
      <c r="S176" s="235"/>
      <c r="T176" s="35"/>
      <c r="U176" s="236"/>
      <c r="V176" s="234"/>
      <c r="W176" s="234"/>
      <c r="X176" s="234"/>
      <c r="Y176" s="234"/>
      <c r="Z176" s="234"/>
      <c r="AA176" s="235"/>
      <c r="AB176" s="45"/>
      <c r="AC176" s="45"/>
      <c r="AD176" s="27"/>
      <c r="AE176" s="27"/>
      <c r="AF176" s="27"/>
      <c r="AG176" s="27"/>
      <c r="AH176" s="27"/>
      <c r="AI176" s="27"/>
      <c r="AJ176" s="27"/>
      <c r="AK176" s="27"/>
      <c r="AL176" s="27"/>
      <c r="AM176" s="27"/>
      <c r="AN176" s="27"/>
      <c r="AO176" s="27"/>
      <c r="AP176" s="27"/>
      <c r="AQ176" s="27"/>
      <c r="AR176" s="27"/>
      <c r="AS176" s="27"/>
      <c r="AT176" s="27"/>
      <c r="AU176" s="27"/>
      <c r="AV176" s="27"/>
      <c r="AW176" s="27"/>
    </row>
    <row r="177" spans="1:49" ht="28.5">
      <c r="A177" s="142" t="s">
        <v>534</v>
      </c>
      <c r="B177" s="143" t="s">
        <v>437</v>
      </c>
      <c r="C177" s="143" t="s">
        <v>438</v>
      </c>
      <c r="D177" s="144" t="s">
        <v>535</v>
      </c>
      <c r="E177" s="144" t="s">
        <v>536</v>
      </c>
      <c r="F177" s="145"/>
      <c r="G177" s="143" t="s">
        <v>441</v>
      </c>
      <c r="H177" s="143" t="s">
        <v>442</v>
      </c>
      <c r="I177" s="143" t="s">
        <v>443</v>
      </c>
      <c r="J177" s="122"/>
      <c r="K177" s="13"/>
      <c r="L177" s="13"/>
      <c r="M177" s="13"/>
      <c r="N177" s="13"/>
      <c r="O177" s="13"/>
      <c r="P177" s="13"/>
      <c r="Q177" s="13"/>
      <c r="R177" s="13"/>
      <c r="S177" s="13"/>
      <c r="T177" s="122"/>
      <c r="U177" s="145"/>
      <c r="V177" s="145"/>
      <c r="W177" s="145"/>
      <c r="X177" s="145"/>
      <c r="Y177" s="145"/>
      <c r="Z177" s="145"/>
      <c r="AA177" s="145"/>
      <c r="AB177" s="145"/>
      <c r="AC177" s="143" t="s">
        <v>537</v>
      </c>
    </row>
    <row r="178" spans="1:49" ht="24.75" customHeight="1">
      <c r="A178" s="142" t="s">
        <v>538</v>
      </c>
      <c r="B178" s="143" t="s">
        <v>437</v>
      </c>
      <c r="C178" s="143" t="s">
        <v>446</v>
      </c>
      <c r="D178" s="144" t="s">
        <v>535</v>
      </c>
      <c r="E178" s="144" t="s">
        <v>536</v>
      </c>
      <c r="F178" s="145"/>
      <c r="G178" s="143" t="s">
        <v>447</v>
      </c>
      <c r="H178" s="143" t="s">
        <v>448</v>
      </c>
      <c r="I178" s="143" t="s">
        <v>449</v>
      </c>
      <c r="J178" s="35"/>
      <c r="K178" s="36"/>
      <c r="L178" s="36"/>
      <c r="M178" s="36"/>
      <c r="N178" s="36"/>
      <c r="O178" s="36"/>
      <c r="P178" s="36"/>
      <c r="Q178" s="36"/>
      <c r="R178" s="36"/>
      <c r="S178" s="36"/>
      <c r="T178" s="26"/>
      <c r="U178" s="145"/>
      <c r="V178" s="145"/>
      <c r="W178" s="145"/>
      <c r="X178" s="145"/>
      <c r="Y178" s="145"/>
      <c r="Z178" s="145"/>
      <c r="AA178" s="145"/>
      <c r="AB178" s="145"/>
      <c r="AC178" s="143" t="s">
        <v>537</v>
      </c>
      <c r="AE178" s="26"/>
      <c r="AF178" s="26"/>
      <c r="AG178" s="26"/>
      <c r="AH178" s="26"/>
      <c r="AI178" s="26"/>
      <c r="AJ178" s="26"/>
      <c r="AK178" s="26"/>
      <c r="AL178" s="26"/>
      <c r="AM178" s="26"/>
      <c r="AN178" s="26"/>
      <c r="AO178" s="26"/>
      <c r="AP178" s="26"/>
      <c r="AQ178" s="26"/>
      <c r="AR178" s="26"/>
      <c r="AS178" s="26"/>
      <c r="AT178" s="26"/>
      <c r="AU178" s="26"/>
      <c r="AV178" s="26"/>
      <c r="AW178" s="26"/>
    </row>
    <row r="179" spans="1:49" ht="24.75" customHeight="1">
      <c r="A179" s="142" t="s">
        <v>539</v>
      </c>
      <c r="B179" s="143" t="s">
        <v>437</v>
      </c>
      <c r="C179" s="143" t="s">
        <v>459</v>
      </c>
      <c r="D179" s="144" t="s">
        <v>535</v>
      </c>
      <c r="E179" s="144" t="s">
        <v>536</v>
      </c>
      <c r="F179" s="145"/>
      <c r="G179" s="143" t="s">
        <v>453</v>
      </c>
      <c r="H179" s="143" t="s">
        <v>442</v>
      </c>
      <c r="I179" s="143" t="s">
        <v>460</v>
      </c>
      <c r="J179" s="35"/>
      <c r="K179" s="44"/>
      <c r="L179" s="44"/>
      <c r="M179" s="44"/>
      <c r="N179" s="44"/>
      <c r="O179" s="44"/>
      <c r="P179" s="44"/>
      <c r="Q179" s="44"/>
      <c r="R179" s="44"/>
      <c r="S179" s="44"/>
      <c r="T179" s="26"/>
      <c r="U179" s="145"/>
      <c r="V179" s="145"/>
      <c r="W179" s="145"/>
      <c r="X179" s="145"/>
      <c r="Y179" s="145"/>
      <c r="Z179" s="145"/>
      <c r="AA179" s="145"/>
      <c r="AB179" s="145"/>
      <c r="AC179" s="143" t="s">
        <v>537</v>
      </c>
      <c r="AE179" s="26"/>
      <c r="AF179" s="26"/>
      <c r="AG179" s="26"/>
      <c r="AH179" s="26"/>
      <c r="AI179" s="26"/>
      <c r="AJ179" s="26"/>
      <c r="AK179" s="26"/>
      <c r="AL179" s="26"/>
      <c r="AM179" s="26"/>
      <c r="AN179" s="26"/>
      <c r="AO179" s="26"/>
      <c r="AP179" s="26"/>
      <c r="AQ179" s="26"/>
      <c r="AR179" s="26"/>
      <c r="AS179" s="26"/>
      <c r="AT179" s="26"/>
      <c r="AU179" s="26"/>
      <c r="AV179" s="26"/>
      <c r="AW179" s="26"/>
    </row>
    <row r="180" spans="1:49" ht="24.75" customHeight="1">
      <c r="A180" s="142" t="s">
        <v>540</v>
      </c>
      <c r="B180" s="143" t="s">
        <v>437</v>
      </c>
      <c r="C180" s="143" t="s">
        <v>459</v>
      </c>
      <c r="D180" s="144" t="s">
        <v>535</v>
      </c>
      <c r="E180" s="144" t="s">
        <v>536</v>
      </c>
      <c r="F180" s="145"/>
      <c r="G180" s="143" t="s">
        <v>453</v>
      </c>
      <c r="H180" s="143" t="s">
        <v>442</v>
      </c>
      <c r="I180" s="143" t="s">
        <v>460</v>
      </c>
      <c r="J180" s="35"/>
      <c r="K180" s="44"/>
      <c r="L180" s="44"/>
      <c r="M180" s="44"/>
      <c r="N180" s="44"/>
      <c r="O180" s="44"/>
      <c r="P180" s="44"/>
      <c r="Q180" s="44"/>
      <c r="R180" s="44"/>
      <c r="S180" s="44"/>
      <c r="T180" s="26"/>
      <c r="U180" s="145"/>
      <c r="V180" s="145"/>
      <c r="W180" s="145"/>
      <c r="X180" s="145"/>
      <c r="Y180" s="145"/>
      <c r="Z180" s="145"/>
      <c r="AA180" s="145"/>
      <c r="AB180" s="145"/>
      <c r="AC180" s="143" t="s">
        <v>537</v>
      </c>
      <c r="AE180" s="26"/>
      <c r="AF180" s="26"/>
      <c r="AG180" s="26"/>
      <c r="AH180" s="26"/>
      <c r="AI180" s="26"/>
      <c r="AJ180" s="26"/>
      <c r="AK180" s="26"/>
      <c r="AL180" s="26"/>
      <c r="AM180" s="26"/>
      <c r="AN180" s="26"/>
      <c r="AO180" s="26"/>
      <c r="AP180" s="26"/>
      <c r="AQ180" s="26"/>
      <c r="AR180" s="26"/>
      <c r="AS180" s="26"/>
      <c r="AT180" s="26"/>
      <c r="AU180" s="26"/>
      <c r="AV180" s="26"/>
      <c r="AW180" s="26"/>
    </row>
    <row r="181" spans="1:49" ht="24.75" customHeight="1">
      <c r="A181" s="142" t="s">
        <v>541</v>
      </c>
      <c r="B181" s="143" t="s">
        <v>437</v>
      </c>
      <c r="C181" s="143" t="s">
        <v>463</v>
      </c>
      <c r="D181" s="144" t="s">
        <v>535</v>
      </c>
      <c r="E181" s="144" t="s">
        <v>536</v>
      </c>
      <c r="F181" s="145"/>
      <c r="G181" s="143" t="s">
        <v>453</v>
      </c>
      <c r="H181" s="143" t="s">
        <v>442</v>
      </c>
      <c r="I181" s="143" t="s">
        <v>464</v>
      </c>
      <c r="J181" s="35"/>
      <c r="K181" s="44"/>
      <c r="L181" s="44"/>
      <c r="M181" s="44"/>
      <c r="N181" s="44"/>
      <c r="O181" s="44"/>
      <c r="P181" s="44"/>
      <c r="Q181" s="44"/>
      <c r="R181" s="44"/>
      <c r="S181" s="44"/>
      <c r="T181" s="26"/>
      <c r="U181" s="145"/>
      <c r="V181" s="145"/>
      <c r="W181" s="145"/>
      <c r="X181" s="145"/>
      <c r="Y181" s="145"/>
      <c r="Z181" s="145"/>
      <c r="AA181" s="145"/>
      <c r="AB181" s="145"/>
      <c r="AC181" s="143" t="s">
        <v>537</v>
      </c>
      <c r="AE181" s="26"/>
      <c r="AF181" s="26"/>
      <c r="AG181" s="26"/>
      <c r="AH181" s="26"/>
      <c r="AI181" s="26"/>
      <c r="AJ181" s="26"/>
      <c r="AK181" s="26"/>
      <c r="AL181" s="26"/>
      <c r="AM181" s="26"/>
      <c r="AN181" s="26"/>
      <c r="AO181" s="26"/>
      <c r="AP181" s="26"/>
      <c r="AQ181" s="26"/>
      <c r="AR181" s="26"/>
      <c r="AS181" s="26"/>
      <c r="AT181" s="26"/>
      <c r="AU181" s="26"/>
      <c r="AV181" s="26"/>
      <c r="AW181" s="26"/>
    </row>
    <row r="182" spans="1:49" ht="24.75" customHeight="1">
      <c r="A182" s="142" t="s">
        <v>542</v>
      </c>
      <c r="B182" s="143" t="s">
        <v>437</v>
      </c>
      <c r="C182" s="143" t="s">
        <v>463</v>
      </c>
      <c r="D182" s="144" t="s">
        <v>535</v>
      </c>
      <c r="E182" s="144" t="s">
        <v>536</v>
      </c>
      <c r="F182" s="145"/>
      <c r="G182" s="143" t="s">
        <v>453</v>
      </c>
      <c r="H182" s="143" t="s">
        <v>442</v>
      </c>
      <c r="I182" s="143" t="s">
        <v>464</v>
      </c>
      <c r="J182" s="35"/>
      <c r="K182" s="44"/>
      <c r="L182" s="44"/>
      <c r="M182" s="44"/>
      <c r="N182" s="44"/>
      <c r="O182" s="44"/>
      <c r="P182" s="44"/>
      <c r="Q182" s="44"/>
      <c r="R182" s="44"/>
      <c r="S182" s="44"/>
      <c r="T182" s="26"/>
      <c r="U182" s="145"/>
      <c r="V182" s="145"/>
      <c r="W182" s="145"/>
      <c r="X182" s="145"/>
      <c r="Y182" s="145"/>
      <c r="Z182" s="145"/>
      <c r="AA182" s="145"/>
      <c r="AB182" s="145"/>
      <c r="AC182" s="143" t="s">
        <v>537</v>
      </c>
      <c r="AE182" s="26"/>
      <c r="AF182" s="26"/>
      <c r="AG182" s="26"/>
      <c r="AH182" s="26"/>
      <c r="AI182" s="26"/>
      <c r="AJ182" s="26"/>
      <c r="AK182" s="26"/>
      <c r="AL182" s="26"/>
      <c r="AM182" s="26"/>
      <c r="AN182" s="26"/>
      <c r="AO182" s="26"/>
      <c r="AP182" s="26"/>
      <c r="AQ182" s="26"/>
      <c r="AR182" s="26"/>
      <c r="AS182" s="26"/>
      <c r="AT182" s="26"/>
      <c r="AU182" s="26"/>
      <c r="AV182" s="26"/>
      <c r="AW182" s="26"/>
    </row>
    <row r="183" spans="1:49" ht="24.75" customHeight="1">
      <c r="A183" s="142" t="s">
        <v>543</v>
      </c>
      <c r="B183" s="143" t="s">
        <v>437</v>
      </c>
      <c r="C183" s="143" t="s">
        <v>475</v>
      </c>
      <c r="D183" s="144" t="s">
        <v>535</v>
      </c>
      <c r="E183" s="144" t="s">
        <v>536</v>
      </c>
      <c r="F183" s="145"/>
      <c r="G183" s="146" t="s">
        <v>261</v>
      </c>
      <c r="H183" s="143" t="s">
        <v>442</v>
      </c>
      <c r="I183" s="143" t="s">
        <v>476</v>
      </c>
      <c r="J183" s="35"/>
      <c r="K183" s="44"/>
      <c r="L183" s="44"/>
      <c r="M183" s="44"/>
      <c r="N183" s="44"/>
      <c r="O183" s="44"/>
      <c r="P183" s="44"/>
      <c r="Q183" s="44"/>
      <c r="R183" s="44"/>
      <c r="S183" s="44"/>
      <c r="T183" s="26"/>
      <c r="U183" s="145"/>
      <c r="V183" s="145"/>
      <c r="W183" s="145"/>
      <c r="X183" s="145"/>
      <c r="Y183" s="145"/>
      <c r="Z183" s="145"/>
      <c r="AA183" s="145"/>
      <c r="AB183" s="143" t="s">
        <v>477</v>
      </c>
      <c r="AC183" s="143" t="s">
        <v>537</v>
      </c>
      <c r="AE183" s="26"/>
      <c r="AF183" s="26"/>
      <c r="AG183" s="26"/>
      <c r="AH183" s="26"/>
      <c r="AI183" s="26"/>
      <c r="AJ183" s="26"/>
      <c r="AK183" s="26"/>
      <c r="AL183" s="26"/>
      <c r="AM183" s="26"/>
      <c r="AN183" s="26"/>
      <c r="AO183" s="26"/>
      <c r="AP183" s="26"/>
      <c r="AQ183" s="26"/>
      <c r="AR183" s="26"/>
      <c r="AS183" s="26"/>
      <c r="AT183" s="26"/>
      <c r="AU183" s="26"/>
      <c r="AV183" s="26"/>
      <c r="AW183" s="26"/>
    </row>
    <row r="184" spans="1:49" ht="24.75" customHeight="1">
      <c r="A184" s="142" t="s">
        <v>544</v>
      </c>
      <c r="B184" s="143" t="s">
        <v>437</v>
      </c>
      <c r="C184" s="143" t="s">
        <v>475</v>
      </c>
      <c r="D184" s="144" t="s">
        <v>535</v>
      </c>
      <c r="E184" s="144" t="s">
        <v>536</v>
      </c>
      <c r="F184" s="145"/>
      <c r="G184" s="146" t="s">
        <v>261</v>
      </c>
      <c r="H184" s="143" t="s">
        <v>442</v>
      </c>
      <c r="I184" s="143" t="s">
        <v>476</v>
      </c>
      <c r="J184" s="35"/>
      <c r="K184" s="44"/>
      <c r="L184" s="44"/>
      <c r="M184" s="44"/>
      <c r="N184" s="44"/>
      <c r="O184" s="44"/>
      <c r="P184" s="44"/>
      <c r="Q184" s="44"/>
      <c r="R184" s="44"/>
      <c r="S184" s="44"/>
      <c r="T184" s="26"/>
      <c r="U184" s="145"/>
      <c r="V184" s="145"/>
      <c r="W184" s="145"/>
      <c r="X184" s="145"/>
      <c r="Y184" s="145"/>
      <c r="Z184" s="145"/>
      <c r="AA184" s="145"/>
      <c r="AB184" s="143" t="s">
        <v>477</v>
      </c>
      <c r="AC184" s="143" t="s">
        <v>537</v>
      </c>
      <c r="AE184" s="26"/>
      <c r="AF184" s="26"/>
      <c r="AG184" s="26"/>
      <c r="AH184" s="26"/>
      <c r="AI184" s="26"/>
      <c r="AJ184" s="26"/>
      <c r="AK184" s="26"/>
      <c r="AL184" s="26"/>
      <c r="AM184" s="26"/>
      <c r="AN184" s="26"/>
      <c r="AO184" s="26"/>
      <c r="AP184" s="26"/>
      <c r="AQ184" s="26"/>
      <c r="AR184" s="26"/>
      <c r="AS184" s="26"/>
      <c r="AT184" s="26"/>
      <c r="AU184" s="26"/>
      <c r="AV184" s="26"/>
      <c r="AW184" s="26"/>
    </row>
    <row r="185" spans="1:49" ht="24.75" customHeight="1">
      <c r="A185" s="142" t="s">
        <v>545</v>
      </c>
      <c r="B185" s="143" t="s">
        <v>437</v>
      </c>
      <c r="C185" s="143" t="s">
        <v>475</v>
      </c>
      <c r="D185" s="144" t="s">
        <v>535</v>
      </c>
      <c r="E185" s="144" t="s">
        <v>536</v>
      </c>
      <c r="F185" s="145"/>
      <c r="G185" s="146" t="s">
        <v>261</v>
      </c>
      <c r="H185" s="143" t="s">
        <v>442</v>
      </c>
      <c r="I185" s="143" t="s">
        <v>476</v>
      </c>
      <c r="J185" s="35"/>
      <c r="K185" s="44"/>
      <c r="L185" s="44"/>
      <c r="M185" s="44"/>
      <c r="N185" s="44"/>
      <c r="O185" s="44"/>
      <c r="P185" s="44"/>
      <c r="Q185" s="44"/>
      <c r="R185" s="44"/>
      <c r="S185" s="44"/>
      <c r="T185" s="26"/>
      <c r="U185" s="145"/>
      <c r="V185" s="145"/>
      <c r="W185" s="145"/>
      <c r="X185" s="145"/>
      <c r="Y185" s="145"/>
      <c r="Z185" s="145"/>
      <c r="AA185" s="145"/>
      <c r="AB185" s="143" t="s">
        <v>477</v>
      </c>
      <c r="AC185" s="143" t="s">
        <v>537</v>
      </c>
      <c r="AE185" s="26"/>
      <c r="AF185" s="26"/>
      <c r="AG185" s="26"/>
      <c r="AH185" s="26"/>
      <c r="AI185" s="26"/>
      <c r="AJ185" s="26"/>
      <c r="AK185" s="26"/>
      <c r="AL185" s="26"/>
      <c r="AM185" s="26"/>
      <c r="AN185" s="26"/>
      <c r="AO185" s="26"/>
      <c r="AP185" s="26"/>
      <c r="AQ185" s="26"/>
      <c r="AR185" s="26"/>
      <c r="AS185" s="26"/>
      <c r="AT185" s="26"/>
      <c r="AU185" s="26"/>
      <c r="AV185" s="26"/>
      <c r="AW185" s="26"/>
    </row>
    <row r="186" spans="1:49" ht="24.75" customHeight="1">
      <c r="A186" s="142" t="s">
        <v>546</v>
      </c>
      <c r="B186" s="143" t="s">
        <v>437</v>
      </c>
      <c r="C186" s="143" t="s">
        <v>475</v>
      </c>
      <c r="D186" s="144" t="s">
        <v>535</v>
      </c>
      <c r="E186" s="144" t="s">
        <v>536</v>
      </c>
      <c r="F186" s="145"/>
      <c r="G186" s="146" t="s">
        <v>261</v>
      </c>
      <c r="H186" s="143" t="s">
        <v>442</v>
      </c>
      <c r="I186" s="143" t="s">
        <v>476</v>
      </c>
      <c r="J186" s="35"/>
      <c r="K186" s="44"/>
      <c r="L186" s="44"/>
      <c r="M186" s="44"/>
      <c r="N186" s="44"/>
      <c r="O186" s="44"/>
      <c r="P186" s="44"/>
      <c r="Q186" s="44"/>
      <c r="R186" s="44"/>
      <c r="S186" s="44"/>
      <c r="T186" s="26"/>
      <c r="U186" s="145"/>
      <c r="V186" s="145"/>
      <c r="W186" s="145"/>
      <c r="X186" s="145"/>
      <c r="Y186" s="145"/>
      <c r="Z186" s="145"/>
      <c r="AA186" s="145"/>
      <c r="AB186" s="143" t="s">
        <v>477</v>
      </c>
      <c r="AC186" s="143" t="s">
        <v>537</v>
      </c>
      <c r="AE186" s="26"/>
      <c r="AF186" s="26"/>
      <c r="AG186" s="26"/>
      <c r="AH186" s="26"/>
      <c r="AI186" s="26"/>
      <c r="AJ186" s="26"/>
      <c r="AK186" s="26"/>
      <c r="AL186" s="26"/>
      <c r="AM186" s="26"/>
      <c r="AN186" s="26"/>
      <c r="AO186" s="26"/>
      <c r="AP186" s="26"/>
      <c r="AQ186" s="26"/>
      <c r="AR186" s="26"/>
      <c r="AS186" s="26"/>
      <c r="AT186" s="26"/>
      <c r="AU186" s="26"/>
      <c r="AV186" s="26"/>
      <c r="AW186" s="26"/>
    </row>
    <row r="187" spans="1:49" ht="24.75" customHeight="1">
      <c r="A187" s="142" t="s">
        <v>547</v>
      </c>
      <c r="B187" s="143" t="s">
        <v>437</v>
      </c>
      <c r="C187" s="143" t="s">
        <v>475</v>
      </c>
      <c r="D187" s="144" t="s">
        <v>535</v>
      </c>
      <c r="E187" s="144" t="s">
        <v>536</v>
      </c>
      <c r="F187" s="145"/>
      <c r="G187" s="146" t="s">
        <v>261</v>
      </c>
      <c r="H187" s="143" t="s">
        <v>442</v>
      </c>
      <c r="I187" s="143" t="s">
        <v>476</v>
      </c>
      <c r="J187" s="35"/>
      <c r="K187" s="44"/>
      <c r="L187" s="44"/>
      <c r="M187" s="44"/>
      <c r="N187" s="44"/>
      <c r="O187" s="44"/>
      <c r="P187" s="44"/>
      <c r="Q187" s="44"/>
      <c r="R187" s="44"/>
      <c r="S187" s="44"/>
      <c r="T187" s="26"/>
      <c r="U187" s="145"/>
      <c r="V187" s="145"/>
      <c r="W187" s="145"/>
      <c r="X187" s="145"/>
      <c r="Y187" s="145"/>
      <c r="Z187" s="145"/>
      <c r="AA187" s="145"/>
      <c r="AB187" s="143" t="s">
        <v>477</v>
      </c>
      <c r="AC187" s="143" t="s">
        <v>537</v>
      </c>
      <c r="AE187" s="26"/>
      <c r="AF187" s="26"/>
      <c r="AG187" s="26"/>
      <c r="AH187" s="26"/>
      <c r="AI187" s="26"/>
      <c r="AJ187" s="26"/>
      <c r="AK187" s="26"/>
      <c r="AL187" s="26"/>
      <c r="AM187" s="26"/>
      <c r="AN187" s="26"/>
      <c r="AO187" s="26"/>
      <c r="AP187" s="26"/>
      <c r="AQ187" s="26"/>
      <c r="AR187" s="26"/>
      <c r="AS187" s="26"/>
      <c r="AT187" s="26"/>
      <c r="AU187" s="26"/>
      <c r="AV187" s="26"/>
      <c r="AW187" s="26"/>
    </row>
    <row r="188" spans="1:49" ht="24.75" customHeight="1">
      <c r="A188" s="142" t="s">
        <v>548</v>
      </c>
      <c r="B188" s="143" t="s">
        <v>437</v>
      </c>
      <c r="C188" s="143" t="s">
        <v>475</v>
      </c>
      <c r="D188" s="144" t="s">
        <v>535</v>
      </c>
      <c r="E188" s="144" t="s">
        <v>536</v>
      </c>
      <c r="F188" s="145"/>
      <c r="G188" s="146" t="s">
        <v>261</v>
      </c>
      <c r="H188" s="143" t="s">
        <v>442</v>
      </c>
      <c r="I188" s="143" t="s">
        <v>476</v>
      </c>
      <c r="J188" s="35"/>
      <c r="K188" s="44"/>
      <c r="L188" s="44"/>
      <c r="M188" s="44"/>
      <c r="N188" s="44"/>
      <c r="O188" s="44"/>
      <c r="P188" s="44"/>
      <c r="Q188" s="44"/>
      <c r="R188" s="44"/>
      <c r="S188" s="44"/>
      <c r="T188" s="26"/>
      <c r="U188" s="145"/>
      <c r="V188" s="145"/>
      <c r="W188" s="145"/>
      <c r="X188" s="145"/>
      <c r="Y188" s="145"/>
      <c r="Z188" s="145"/>
      <c r="AA188" s="145"/>
      <c r="AB188" s="143" t="s">
        <v>477</v>
      </c>
      <c r="AC188" s="143" t="s">
        <v>537</v>
      </c>
      <c r="AE188" s="26"/>
      <c r="AF188" s="26"/>
      <c r="AG188" s="26"/>
      <c r="AH188" s="26"/>
      <c r="AI188" s="26"/>
      <c r="AJ188" s="26"/>
      <c r="AK188" s="26"/>
      <c r="AL188" s="26"/>
      <c r="AM188" s="26"/>
      <c r="AN188" s="26"/>
      <c r="AO188" s="26"/>
      <c r="AP188" s="26"/>
      <c r="AQ188" s="26"/>
      <c r="AR188" s="26"/>
      <c r="AS188" s="26"/>
      <c r="AT188" s="26"/>
      <c r="AU188" s="26"/>
      <c r="AV188" s="26"/>
      <c r="AW188" s="26"/>
    </row>
    <row r="189" spans="1:49" ht="24.75" customHeight="1">
      <c r="A189" s="142" t="s">
        <v>549</v>
      </c>
      <c r="B189" s="143" t="s">
        <v>437</v>
      </c>
      <c r="C189" s="143" t="s">
        <v>484</v>
      </c>
      <c r="D189" s="144" t="s">
        <v>535</v>
      </c>
      <c r="E189" s="144" t="s">
        <v>536</v>
      </c>
      <c r="F189" s="145"/>
      <c r="G189" s="146" t="s">
        <v>261</v>
      </c>
      <c r="H189" s="143" t="s">
        <v>485</v>
      </c>
      <c r="I189" s="143" t="s">
        <v>486</v>
      </c>
      <c r="J189" s="35"/>
      <c r="K189" s="44"/>
      <c r="L189" s="44"/>
      <c r="M189" s="44"/>
      <c r="N189" s="44"/>
      <c r="O189" s="44"/>
      <c r="P189" s="44"/>
      <c r="Q189" s="44"/>
      <c r="R189" s="44"/>
      <c r="S189" s="44"/>
      <c r="T189" s="26"/>
      <c r="U189" s="145"/>
      <c r="V189" s="145"/>
      <c r="W189" s="145"/>
      <c r="X189" s="145"/>
      <c r="Y189" s="145"/>
      <c r="Z189" s="145"/>
      <c r="AA189" s="145"/>
      <c r="AB189" s="143" t="s">
        <v>487</v>
      </c>
      <c r="AC189" s="143" t="s">
        <v>537</v>
      </c>
      <c r="AE189" s="26"/>
      <c r="AF189" s="26"/>
      <c r="AG189" s="26"/>
      <c r="AH189" s="26"/>
      <c r="AI189" s="26"/>
      <c r="AJ189" s="26"/>
      <c r="AK189" s="26"/>
      <c r="AL189" s="26"/>
      <c r="AM189" s="26"/>
      <c r="AN189" s="26"/>
      <c r="AO189" s="26"/>
      <c r="AP189" s="26"/>
      <c r="AQ189" s="26"/>
      <c r="AR189" s="26"/>
      <c r="AS189" s="26"/>
      <c r="AT189" s="26"/>
      <c r="AU189" s="26"/>
      <c r="AV189" s="26"/>
      <c r="AW189" s="26"/>
    </row>
    <row r="190" spans="1:49" ht="24.75" customHeight="1">
      <c r="A190" s="142" t="s">
        <v>550</v>
      </c>
      <c r="B190" s="143" t="s">
        <v>437</v>
      </c>
      <c r="C190" s="143" t="s">
        <v>489</v>
      </c>
      <c r="D190" s="144" t="s">
        <v>535</v>
      </c>
      <c r="E190" s="144" t="s">
        <v>536</v>
      </c>
      <c r="F190" s="145"/>
      <c r="G190" s="146" t="s">
        <v>261</v>
      </c>
      <c r="H190" s="143" t="s">
        <v>485</v>
      </c>
      <c r="I190" s="143" t="s">
        <v>486</v>
      </c>
      <c r="J190" s="35"/>
      <c r="K190" s="44"/>
      <c r="L190" s="44"/>
      <c r="M190" s="44"/>
      <c r="N190" s="44"/>
      <c r="O190" s="44"/>
      <c r="P190" s="44"/>
      <c r="Q190" s="44"/>
      <c r="R190" s="44"/>
      <c r="S190" s="44"/>
      <c r="T190" s="26"/>
      <c r="U190" s="145"/>
      <c r="V190" s="145"/>
      <c r="W190" s="145"/>
      <c r="X190" s="145"/>
      <c r="Y190" s="145"/>
      <c r="Z190" s="145"/>
      <c r="AA190" s="145"/>
      <c r="AB190" s="143" t="s">
        <v>487</v>
      </c>
      <c r="AC190" s="143" t="s">
        <v>537</v>
      </c>
      <c r="AE190" s="26"/>
      <c r="AF190" s="26"/>
      <c r="AG190" s="26"/>
      <c r="AH190" s="26"/>
      <c r="AI190" s="26"/>
      <c r="AJ190" s="26"/>
      <c r="AK190" s="26"/>
      <c r="AL190" s="26"/>
      <c r="AM190" s="26"/>
      <c r="AN190" s="26"/>
      <c r="AO190" s="26"/>
      <c r="AP190" s="26"/>
      <c r="AQ190" s="26"/>
      <c r="AR190" s="26"/>
      <c r="AS190" s="26"/>
      <c r="AT190" s="26"/>
      <c r="AU190" s="26"/>
      <c r="AV190" s="26"/>
      <c r="AW190" s="26"/>
    </row>
    <row r="191" spans="1:49" ht="24.75" customHeight="1">
      <c r="A191" s="142" t="s">
        <v>551</v>
      </c>
      <c r="B191" s="143" t="s">
        <v>437</v>
      </c>
      <c r="C191" s="143" t="s">
        <v>491</v>
      </c>
      <c r="D191" s="144" t="s">
        <v>535</v>
      </c>
      <c r="E191" s="144" t="s">
        <v>536</v>
      </c>
      <c r="F191" s="145"/>
      <c r="G191" s="143" t="s">
        <v>492</v>
      </c>
      <c r="H191" s="143" t="s">
        <v>493</v>
      </c>
      <c r="I191" s="143" t="s">
        <v>494</v>
      </c>
      <c r="J191" s="35"/>
      <c r="K191" s="44"/>
      <c r="L191" s="44"/>
      <c r="M191" s="44"/>
      <c r="N191" s="44"/>
      <c r="O191" s="44"/>
      <c r="P191" s="44"/>
      <c r="Q191" s="44"/>
      <c r="R191" s="44"/>
      <c r="S191" s="44"/>
      <c r="T191" s="26"/>
      <c r="U191" s="145"/>
      <c r="V191" s="145"/>
      <c r="W191" s="145"/>
      <c r="X191" s="145"/>
      <c r="Y191" s="145"/>
      <c r="Z191" s="145"/>
      <c r="AA191" s="145"/>
      <c r="AB191" s="145"/>
      <c r="AC191" s="143" t="s">
        <v>537</v>
      </c>
      <c r="AE191" s="26"/>
      <c r="AF191" s="26"/>
      <c r="AG191" s="26"/>
      <c r="AH191" s="26"/>
      <c r="AI191" s="26"/>
      <c r="AJ191" s="26"/>
      <c r="AK191" s="26"/>
      <c r="AL191" s="26"/>
      <c r="AM191" s="26"/>
      <c r="AN191" s="26"/>
      <c r="AO191" s="26"/>
      <c r="AP191" s="26"/>
      <c r="AQ191" s="26"/>
      <c r="AR191" s="26"/>
      <c r="AS191" s="26"/>
      <c r="AT191" s="26"/>
      <c r="AU191" s="26"/>
      <c r="AV191" s="26"/>
      <c r="AW191" s="26"/>
    </row>
    <row r="192" spans="1:49" ht="24.75" customHeight="1">
      <c r="A192" s="237" t="s">
        <v>552</v>
      </c>
      <c r="B192" s="234"/>
      <c r="C192" s="234"/>
      <c r="D192" s="234"/>
      <c r="E192" s="234"/>
      <c r="F192" s="234"/>
      <c r="G192" s="234"/>
      <c r="H192" s="234"/>
      <c r="I192" s="235"/>
      <c r="J192" s="35"/>
      <c r="K192" s="233"/>
      <c r="L192" s="234"/>
      <c r="M192" s="234"/>
      <c r="N192" s="234"/>
      <c r="O192" s="234"/>
      <c r="P192" s="234"/>
      <c r="Q192" s="234"/>
      <c r="R192" s="234"/>
      <c r="S192" s="235"/>
      <c r="T192" s="35"/>
      <c r="U192" s="236"/>
      <c r="V192" s="234"/>
      <c r="W192" s="234"/>
      <c r="X192" s="234"/>
      <c r="Y192" s="234"/>
      <c r="Z192" s="234"/>
      <c r="AA192" s="235"/>
      <c r="AB192" s="45"/>
      <c r="AC192" s="45"/>
      <c r="AD192" s="27"/>
      <c r="AE192" s="27"/>
      <c r="AF192" s="27"/>
      <c r="AG192" s="27"/>
      <c r="AH192" s="27"/>
      <c r="AI192" s="27"/>
      <c r="AJ192" s="27"/>
      <c r="AK192" s="27"/>
      <c r="AL192" s="27"/>
      <c r="AM192" s="27"/>
      <c r="AN192" s="27"/>
      <c r="AO192" s="27"/>
      <c r="AP192" s="27"/>
      <c r="AQ192" s="27"/>
      <c r="AR192" s="27"/>
      <c r="AS192" s="27"/>
      <c r="AT192" s="27"/>
      <c r="AU192" s="27"/>
      <c r="AV192" s="27"/>
      <c r="AW192" s="27"/>
    </row>
    <row r="193" spans="1:49" ht="28.5">
      <c r="A193" s="147" t="s">
        <v>553</v>
      </c>
      <c r="B193" s="148" t="s">
        <v>437</v>
      </c>
      <c r="C193" s="148" t="s">
        <v>438</v>
      </c>
      <c r="D193" s="149" t="s">
        <v>554</v>
      </c>
      <c r="E193" s="149" t="s">
        <v>555</v>
      </c>
      <c r="F193" s="150"/>
      <c r="G193" s="148" t="s">
        <v>441</v>
      </c>
      <c r="H193" s="148" t="s">
        <v>442</v>
      </c>
      <c r="I193" s="148" t="s">
        <v>443</v>
      </c>
      <c r="J193" s="122"/>
      <c r="K193" s="13"/>
      <c r="L193" s="13"/>
      <c r="M193" s="13"/>
      <c r="N193" s="13"/>
      <c r="O193" s="13"/>
      <c r="P193" s="13"/>
      <c r="Q193" s="13"/>
      <c r="R193" s="13"/>
      <c r="S193" s="13"/>
      <c r="T193" s="122"/>
      <c r="U193" s="150"/>
      <c r="V193" s="150"/>
      <c r="W193" s="150"/>
      <c r="X193" s="150"/>
      <c r="Y193" s="150"/>
      <c r="Z193" s="150"/>
      <c r="AA193" s="150"/>
      <c r="AB193" s="150"/>
      <c r="AC193" s="148" t="s">
        <v>556</v>
      </c>
    </row>
    <row r="194" spans="1:49" ht="28.5">
      <c r="A194" s="147" t="s">
        <v>557</v>
      </c>
      <c r="B194" s="148" t="s">
        <v>437</v>
      </c>
      <c r="C194" s="148" t="s">
        <v>463</v>
      </c>
      <c r="D194" s="149" t="s">
        <v>554</v>
      </c>
      <c r="E194" s="149" t="s">
        <v>555</v>
      </c>
      <c r="F194" s="150"/>
      <c r="G194" s="148" t="s">
        <v>453</v>
      </c>
      <c r="H194" s="148" t="s">
        <v>442</v>
      </c>
      <c r="I194" s="148" t="s">
        <v>464</v>
      </c>
      <c r="J194" s="122"/>
      <c r="K194" s="13"/>
      <c r="L194" s="13"/>
      <c r="M194" s="13"/>
      <c r="N194" s="13"/>
      <c r="O194" s="13"/>
      <c r="P194" s="13"/>
      <c r="Q194" s="13"/>
      <c r="R194" s="13"/>
      <c r="S194" s="13"/>
      <c r="T194" s="122"/>
      <c r="U194" s="150"/>
      <c r="V194" s="150"/>
      <c r="W194" s="150"/>
      <c r="X194" s="150"/>
      <c r="Y194" s="150"/>
      <c r="Z194" s="150"/>
      <c r="AA194" s="150"/>
      <c r="AB194" s="150"/>
      <c r="AC194" s="148" t="s">
        <v>556</v>
      </c>
    </row>
    <row r="195" spans="1:49" ht="28.5">
      <c r="A195" s="147" t="s">
        <v>558</v>
      </c>
      <c r="B195" s="148" t="s">
        <v>437</v>
      </c>
      <c r="C195" s="148" t="s">
        <v>559</v>
      </c>
      <c r="D195" s="149" t="s">
        <v>554</v>
      </c>
      <c r="E195" s="149" t="s">
        <v>555</v>
      </c>
      <c r="F195" s="150"/>
      <c r="G195" s="151" t="s">
        <v>261</v>
      </c>
      <c r="H195" s="148" t="s">
        <v>485</v>
      </c>
      <c r="I195" s="148" t="s">
        <v>486</v>
      </c>
      <c r="J195" s="122"/>
      <c r="K195" s="13"/>
      <c r="L195" s="13"/>
      <c r="M195" s="13"/>
      <c r="N195" s="13"/>
      <c r="O195" s="13"/>
      <c r="P195" s="13"/>
      <c r="Q195" s="13"/>
      <c r="R195" s="13"/>
      <c r="S195" s="13"/>
      <c r="T195" s="122"/>
      <c r="U195" s="150"/>
      <c r="V195" s="150"/>
      <c r="W195" s="150"/>
      <c r="X195" s="150"/>
      <c r="Y195" s="150"/>
      <c r="Z195" s="150"/>
      <c r="AA195" s="150"/>
      <c r="AB195" s="148" t="s">
        <v>487</v>
      </c>
      <c r="AC195" s="148" t="s">
        <v>556</v>
      </c>
    </row>
    <row r="196" spans="1:49" ht="24.75" customHeight="1">
      <c r="A196" s="237" t="s">
        <v>560</v>
      </c>
      <c r="B196" s="234"/>
      <c r="C196" s="234"/>
      <c r="D196" s="234"/>
      <c r="E196" s="234"/>
      <c r="F196" s="234"/>
      <c r="G196" s="234"/>
      <c r="H196" s="234"/>
      <c r="I196" s="235"/>
      <c r="J196" s="35"/>
      <c r="K196" s="233"/>
      <c r="L196" s="234"/>
      <c r="M196" s="234"/>
      <c r="N196" s="234"/>
      <c r="O196" s="234"/>
      <c r="P196" s="234"/>
      <c r="Q196" s="234"/>
      <c r="R196" s="234"/>
      <c r="S196" s="235"/>
      <c r="T196" s="35"/>
      <c r="U196" s="236"/>
      <c r="V196" s="234"/>
      <c r="W196" s="234"/>
      <c r="X196" s="234"/>
      <c r="Y196" s="234"/>
      <c r="Z196" s="234"/>
      <c r="AA196" s="235"/>
      <c r="AB196" s="45"/>
      <c r="AC196" s="45"/>
      <c r="AD196" s="27"/>
      <c r="AE196" s="27"/>
      <c r="AF196" s="27"/>
      <c r="AG196" s="27"/>
      <c r="AH196" s="27"/>
      <c r="AI196" s="27"/>
      <c r="AJ196" s="27"/>
      <c r="AK196" s="27"/>
      <c r="AL196" s="27"/>
      <c r="AM196" s="27"/>
      <c r="AN196" s="27"/>
      <c r="AO196" s="27"/>
      <c r="AP196" s="27"/>
      <c r="AQ196" s="27"/>
      <c r="AR196" s="27"/>
      <c r="AS196" s="27"/>
      <c r="AT196" s="27"/>
      <c r="AU196" s="27"/>
      <c r="AV196" s="27"/>
      <c r="AW196" s="27"/>
    </row>
    <row r="197" spans="1:49" ht="28.5">
      <c r="A197" s="152" t="s">
        <v>561</v>
      </c>
      <c r="B197" s="153" t="s">
        <v>437</v>
      </c>
      <c r="C197" s="153" t="s">
        <v>438</v>
      </c>
      <c r="D197" s="154" t="s">
        <v>562</v>
      </c>
      <c r="E197" s="154" t="s">
        <v>563</v>
      </c>
      <c r="F197" s="155"/>
      <c r="G197" s="153" t="s">
        <v>441</v>
      </c>
      <c r="H197" s="153" t="s">
        <v>442</v>
      </c>
      <c r="I197" s="153" t="s">
        <v>443</v>
      </c>
      <c r="J197" s="122"/>
      <c r="K197" s="13"/>
      <c r="L197" s="13"/>
      <c r="M197" s="13"/>
      <c r="N197" s="13"/>
      <c r="O197" s="13"/>
      <c r="P197" s="13"/>
      <c r="Q197" s="13"/>
      <c r="R197" s="13"/>
      <c r="S197" s="13"/>
      <c r="T197" s="122"/>
      <c r="U197" s="155"/>
      <c r="V197" s="155"/>
      <c r="W197" s="155"/>
      <c r="X197" s="155"/>
      <c r="Y197" s="155"/>
      <c r="Z197" s="155"/>
      <c r="AA197" s="155"/>
      <c r="AB197" s="155"/>
      <c r="AC197" s="153" t="s">
        <v>564</v>
      </c>
    </row>
    <row r="198" spans="1:49" ht="28.5">
      <c r="A198" s="152" t="s">
        <v>565</v>
      </c>
      <c r="B198" s="153" t="s">
        <v>437</v>
      </c>
      <c r="C198" s="153" t="s">
        <v>463</v>
      </c>
      <c r="D198" s="154" t="s">
        <v>562</v>
      </c>
      <c r="E198" s="154" t="s">
        <v>563</v>
      </c>
      <c r="F198" s="155"/>
      <c r="G198" s="153" t="s">
        <v>453</v>
      </c>
      <c r="H198" s="153" t="s">
        <v>442</v>
      </c>
      <c r="I198" s="153" t="s">
        <v>464</v>
      </c>
      <c r="J198" s="122"/>
      <c r="K198" s="13"/>
      <c r="L198" s="13"/>
      <c r="M198" s="13"/>
      <c r="N198" s="13"/>
      <c r="O198" s="13"/>
      <c r="P198" s="13"/>
      <c r="Q198" s="13"/>
      <c r="R198" s="13"/>
      <c r="S198" s="13"/>
      <c r="T198" s="122"/>
      <c r="U198" s="155"/>
      <c r="V198" s="155"/>
      <c r="W198" s="155"/>
      <c r="X198" s="155"/>
      <c r="Y198" s="155"/>
      <c r="Z198" s="155"/>
      <c r="AA198" s="155"/>
      <c r="AB198" s="155"/>
      <c r="AC198" s="153" t="s">
        <v>564</v>
      </c>
    </row>
    <row r="199" spans="1:49" ht="28.5">
      <c r="A199" s="152" t="s">
        <v>566</v>
      </c>
      <c r="B199" s="153" t="s">
        <v>437</v>
      </c>
      <c r="C199" s="153" t="s">
        <v>559</v>
      </c>
      <c r="D199" s="154" t="s">
        <v>562</v>
      </c>
      <c r="E199" s="154" t="s">
        <v>563</v>
      </c>
      <c r="F199" s="155"/>
      <c r="G199" s="156" t="s">
        <v>261</v>
      </c>
      <c r="H199" s="153" t="s">
        <v>485</v>
      </c>
      <c r="I199" s="153" t="s">
        <v>486</v>
      </c>
      <c r="J199" s="122"/>
      <c r="K199" s="13"/>
      <c r="L199" s="13"/>
      <c r="M199" s="13"/>
      <c r="N199" s="13"/>
      <c r="O199" s="13"/>
      <c r="P199" s="13"/>
      <c r="Q199" s="13"/>
      <c r="R199" s="13"/>
      <c r="S199" s="13"/>
      <c r="T199" s="122"/>
      <c r="U199" s="155"/>
      <c r="V199" s="155"/>
      <c r="W199" s="155"/>
      <c r="X199" s="155"/>
      <c r="Y199" s="155"/>
      <c r="Z199" s="155"/>
      <c r="AA199" s="155"/>
      <c r="AB199" s="153" t="s">
        <v>487</v>
      </c>
      <c r="AC199" s="153" t="s">
        <v>564</v>
      </c>
    </row>
    <row r="200" spans="1:49" ht="24.75" customHeight="1">
      <c r="A200" s="237" t="s">
        <v>567</v>
      </c>
      <c r="B200" s="234"/>
      <c r="C200" s="234"/>
      <c r="D200" s="234"/>
      <c r="E200" s="234"/>
      <c r="F200" s="234"/>
      <c r="G200" s="234"/>
      <c r="H200" s="234"/>
      <c r="I200" s="235"/>
      <c r="J200" s="35"/>
      <c r="K200" s="233"/>
      <c r="L200" s="234"/>
      <c r="M200" s="234"/>
      <c r="N200" s="234"/>
      <c r="O200" s="234"/>
      <c r="P200" s="234"/>
      <c r="Q200" s="234"/>
      <c r="R200" s="234"/>
      <c r="S200" s="235"/>
      <c r="T200" s="35"/>
      <c r="U200" s="236"/>
      <c r="V200" s="234"/>
      <c r="W200" s="234"/>
      <c r="X200" s="234"/>
      <c r="Y200" s="234"/>
      <c r="Z200" s="234"/>
      <c r="AA200" s="235"/>
      <c r="AB200" s="45"/>
      <c r="AC200" s="45"/>
      <c r="AD200" s="27"/>
      <c r="AE200" s="27"/>
      <c r="AF200" s="27"/>
      <c r="AG200" s="27"/>
      <c r="AH200" s="27"/>
      <c r="AI200" s="27"/>
      <c r="AJ200" s="27"/>
      <c r="AK200" s="27"/>
      <c r="AL200" s="27"/>
      <c r="AM200" s="27"/>
      <c r="AN200" s="27"/>
      <c r="AO200" s="27"/>
      <c r="AP200" s="27"/>
      <c r="AQ200" s="27"/>
      <c r="AR200" s="27"/>
      <c r="AS200" s="27"/>
      <c r="AT200" s="27"/>
      <c r="AU200" s="27"/>
      <c r="AV200" s="27"/>
      <c r="AW200" s="27"/>
    </row>
    <row r="201" spans="1:49" ht="28.5">
      <c r="A201" s="157" t="s">
        <v>568</v>
      </c>
      <c r="B201" s="158" t="s">
        <v>437</v>
      </c>
      <c r="C201" s="158" t="s">
        <v>438</v>
      </c>
      <c r="D201" s="159" t="s">
        <v>569</v>
      </c>
      <c r="E201" s="159" t="s">
        <v>570</v>
      </c>
      <c r="F201" s="160"/>
      <c r="G201" s="158" t="s">
        <v>441</v>
      </c>
      <c r="H201" s="158" t="s">
        <v>442</v>
      </c>
      <c r="I201" s="158" t="s">
        <v>443</v>
      </c>
      <c r="J201" s="122"/>
      <c r="K201" s="13"/>
      <c r="L201" s="13"/>
      <c r="M201" s="13"/>
      <c r="N201" s="13"/>
      <c r="O201" s="13"/>
      <c r="P201" s="13"/>
      <c r="Q201" s="13"/>
      <c r="R201" s="13"/>
      <c r="S201" s="13"/>
      <c r="T201" s="122"/>
      <c r="U201" s="160"/>
      <c r="V201" s="160"/>
      <c r="W201" s="160"/>
      <c r="X201" s="160"/>
      <c r="Y201" s="160"/>
      <c r="Z201" s="160"/>
      <c r="AA201" s="160"/>
      <c r="AB201" s="160"/>
      <c r="AC201" s="158" t="s">
        <v>571</v>
      </c>
    </row>
    <row r="202" spans="1:49" ht="28.5">
      <c r="A202" s="157" t="s">
        <v>572</v>
      </c>
      <c r="B202" s="158" t="s">
        <v>437</v>
      </c>
      <c r="C202" s="158" t="s">
        <v>463</v>
      </c>
      <c r="D202" s="159" t="s">
        <v>569</v>
      </c>
      <c r="E202" s="159" t="s">
        <v>570</v>
      </c>
      <c r="F202" s="160"/>
      <c r="G202" s="158" t="s">
        <v>453</v>
      </c>
      <c r="H202" s="158" t="s">
        <v>442</v>
      </c>
      <c r="I202" s="158" t="s">
        <v>464</v>
      </c>
      <c r="J202" s="122"/>
      <c r="K202" s="13"/>
      <c r="L202" s="13"/>
      <c r="M202" s="13"/>
      <c r="N202" s="13"/>
      <c r="O202" s="13"/>
      <c r="P202" s="13"/>
      <c r="Q202" s="13"/>
      <c r="R202" s="13"/>
      <c r="S202" s="13"/>
      <c r="T202" s="122"/>
      <c r="U202" s="160"/>
      <c r="V202" s="160"/>
      <c r="W202" s="160"/>
      <c r="X202" s="160"/>
      <c r="Y202" s="160"/>
      <c r="Z202" s="160"/>
      <c r="AA202" s="160"/>
      <c r="AB202" s="160"/>
      <c r="AC202" s="158" t="s">
        <v>571</v>
      </c>
    </row>
    <row r="203" spans="1:49" ht="28.5">
      <c r="A203" s="157" t="s">
        <v>573</v>
      </c>
      <c r="B203" s="158" t="s">
        <v>437</v>
      </c>
      <c r="C203" s="158" t="s">
        <v>559</v>
      </c>
      <c r="D203" s="159" t="s">
        <v>569</v>
      </c>
      <c r="E203" s="159" t="s">
        <v>570</v>
      </c>
      <c r="F203" s="160"/>
      <c r="G203" s="161" t="s">
        <v>261</v>
      </c>
      <c r="H203" s="158" t="s">
        <v>485</v>
      </c>
      <c r="I203" s="158" t="s">
        <v>486</v>
      </c>
      <c r="J203" s="122"/>
      <c r="K203" s="13"/>
      <c r="L203" s="13"/>
      <c r="M203" s="13"/>
      <c r="N203" s="13"/>
      <c r="O203" s="13"/>
      <c r="P203" s="13"/>
      <c r="Q203" s="13"/>
      <c r="R203" s="13"/>
      <c r="S203" s="13"/>
      <c r="T203" s="122"/>
      <c r="U203" s="160"/>
      <c r="V203" s="160"/>
      <c r="W203" s="160"/>
      <c r="X203" s="160"/>
      <c r="Y203" s="160"/>
      <c r="Z203" s="160"/>
      <c r="AA203" s="160"/>
      <c r="AB203" s="158" t="s">
        <v>487</v>
      </c>
      <c r="AC203" s="158" t="s">
        <v>571</v>
      </c>
    </row>
    <row r="204" spans="1:49" ht="24.75" customHeight="1">
      <c r="A204" s="237" t="s">
        <v>574</v>
      </c>
      <c r="B204" s="234"/>
      <c r="C204" s="234"/>
      <c r="D204" s="234"/>
      <c r="E204" s="234"/>
      <c r="F204" s="234"/>
      <c r="G204" s="234"/>
      <c r="H204" s="234"/>
      <c r="I204" s="235"/>
      <c r="J204" s="35"/>
      <c r="K204" s="233"/>
      <c r="L204" s="234"/>
      <c r="M204" s="234"/>
      <c r="N204" s="234"/>
      <c r="O204" s="234"/>
      <c r="P204" s="234"/>
      <c r="Q204" s="234"/>
      <c r="R204" s="234"/>
      <c r="S204" s="235"/>
      <c r="T204" s="35"/>
      <c r="U204" s="236"/>
      <c r="V204" s="234"/>
      <c r="W204" s="234"/>
      <c r="X204" s="234"/>
      <c r="Y204" s="234"/>
      <c r="Z204" s="234"/>
      <c r="AA204" s="235"/>
      <c r="AB204" s="45"/>
      <c r="AC204" s="45"/>
      <c r="AD204" s="27"/>
      <c r="AE204" s="27"/>
      <c r="AF204" s="27"/>
      <c r="AG204" s="27"/>
      <c r="AH204" s="27"/>
      <c r="AI204" s="27"/>
      <c r="AJ204" s="27"/>
      <c r="AK204" s="27"/>
      <c r="AL204" s="27"/>
      <c r="AM204" s="27"/>
      <c r="AN204" s="27"/>
      <c r="AO204" s="27"/>
      <c r="AP204" s="27"/>
      <c r="AQ204" s="27"/>
      <c r="AR204" s="27"/>
      <c r="AS204" s="27"/>
      <c r="AT204" s="27"/>
      <c r="AU204" s="27"/>
      <c r="AV204" s="27"/>
      <c r="AW204" s="27"/>
    </row>
    <row r="205" spans="1:49" ht="28.5">
      <c r="A205" s="162" t="s">
        <v>575</v>
      </c>
      <c r="B205" s="163" t="s">
        <v>437</v>
      </c>
      <c r="C205" s="163" t="s">
        <v>438</v>
      </c>
      <c r="D205" s="164" t="s">
        <v>576</v>
      </c>
      <c r="E205" s="164" t="s">
        <v>577</v>
      </c>
      <c r="F205" s="165"/>
      <c r="G205" s="163" t="s">
        <v>441</v>
      </c>
      <c r="H205" s="163" t="s">
        <v>442</v>
      </c>
      <c r="I205" s="163" t="s">
        <v>443</v>
      </c>
      <c r="J205" s="122"/>
      <c r="K205" s="13"/>
      <c r="L205" s="13"/>
      <c r="M205" s="13"/>
      <c r="N205" s="13"/>
      <c r="O205" s="13"/>
      <c r="P205" s="13"/>
      <c r="Q205" s="13"/>
      <c r="R205" s="13"/>
      <c r="S205" s="13"/>
      <c r="T205" s="122"/>
      <c r="U205" s="165"/>
      <c r="V205" s="165"/>
      <c r="W205" s="165"/>
      <c r="X205" s="165"/>
      <c r="Y205" s="165"/>
      <c r="Z205" s="165"/>
      <c r="AA205" s="165"/>
      <c r="AB205" s="165"/>
      <c r="AC205" s="163" t="s">
        <v>578</v>
      </c>
    </row>
    <row r="206" spans="1:49" ht="28.5">
      <c r="A206" s="162" t="s">
        <v>579</v>
      </c>
      <c r="B206" s="163" t="s">
        <v>437</v>
      </c>
      <c r="C206" s="163" t="s">
        <v>463</v>
      </c>
      <c r="D206" s="164" t="s">
        <v>576</v>
      </c>
      <c r="E206" s="164" t="s">
        <v>577</v>
      </c>
      <c r="F206" s="165"/>
      <c r="G206" s="163" t="s">
        <v>453</v>
      </c>
      <c r="H206" s="163" t="s">
        <v>442</v>
      </c>
      <c r="I206" s="163" t="s">
        <v>464</v>
      </c>
      <c r="J206" s="122"/>
      <c r="K206" s="13"/>
      <c r="L206" s="13"/>
      <c r="M206" s="13"/>
      <c r="N206" s="13"/>
      <c r="O206" s="13"/>
      <c r="P206" s="13"/>
      <c r="Q206" s="13"/>
      <c r="R206" s="13"/>
      <c r="S206" s="13"/>
      <c r="T206" s="122"/>
      <c r="U206" s="165"/>
      <c r="V206" s="165"/>
      <c r="W206" s="165"/>
      <c r="X206" s="165"/>
      <c r="Y206" s="165"/>
      <c r="Z206" s="165"/>
      <c r="AA206" s="165"/>
      <c r="AB206" s="165"/>
      <c r="AC206" s="163" t="s">
        <v>578</v>
      </c>
    </row>
    <row r="207" spans="1:49" ht="28.5">
      <c r="A207" s="162" t="s">
        <v>580</v>
      </c>
      <c r="B207" s="163" t="s">
        <v>437</v>
      </c>
      <c r="C207" s="163" t="s">
        <v>581</v>
      </c>
      <c r="D207" s="164" t="s">
        <v>576</v>
      </c>
      <c r="E207" s="164" t="s">
        <v>577</v>
      </c>
      <c r="F207" s="165"/>
      <c r="G207" s="166" t="s">
        <v>261</v>
      </c>
      <c r="H207" s="163" t="s">
        <v>485</v>
      </c>
      <c r="I207" s="163" t="s">
        <v>486</v>
      </c>
      <c r="J207" s="122"/>
      <c r="K207" s="13"/>
      <c r="L207" s="13"/>
      <c r="M207" s="13"/>
      <c r="N207" s="13"/>
      <c r="O207" s="13"/>
      <c r="P207" s="13"/>
      <c r="Q207" s="13"/>
      <c r="R207" s="13"/>
      <c r="S207" s="13"/>
      <c r="T207" s="122"/>
      <c r="U207" s="165"/>
      <c r="V207" s="165"/>
      <c r="W207" s="165"/>
      <c r="X207" s="165"/>
      <c r="Y207" s="165"/>
      <c r="Z207" s="165"/>
      <c r="AA207" s="165"/>
      <c r="AB207" s="163" t="s">
        <v>487</v>
      </c>
      <c r="AC207" s="163" t="s">
        <v>578</v>
      </c>
    </row>
    <row r="208" spans="1:49" ht="24.75" customHeight="1">
      <c r="A208" s="237" t="s">
        <v>582</v>
      </c>
      <c r="B208" s="234"/>
      <c r="C208" s="234"/>
      <c r="D208" s="234"/>
      <c r="E208" s="234"/>
      <c r="F208" s="234"/>
      <c r="G208" s="234"/>
      <c r="H208" s="234"/>
      <c r="I208" s="235"/>
      <c r="J208" s="35"/>
      <c r="K208" s="233"/>
      <c r="L208" s="234"/>
      <c r="M208" s="234"/>
      <c r="N208" s="234"/>
      <c r="O208" s="234"/>
      <c r="P208" s="234"/>
      <c r="Q208" s="234"/>
      <c r="R208" s="234"/>
      <c r="S208" s="235"/>
      <c r="T208" s="35"/>
      <c r="U208" s="236"/>
      <c r="V208" s="234"/>
      <c r="W208" s="234"/>
      <c r="X208" s="234"/>
      <c r="Y208" s="234"/>
      <c r="Z208" s="234"/>
      <c r="AA208" s="235"/>
      <c r="AB208" s="45"/>
      <c r="AC208" s="45"/>
      <c r="AD208" s="27"/>
      <c r="AE208" s="27"/>
      <c r="AF208" s="27"/>
      <c r="AG208" s="27"/>
      <c r="AH208" s="27"/>
      <c r="AI208" s="27"/>
      <c r="AJ208" s="27"/>
      <c r="AK208" s="27"/>
      <c r="AL208" s="27"/>
      <c r="AM208" s="27"/>
      <c r="AN208" s="27"/>
      <c r="AO208" s="27"/>
      <c r="AP208" s="27"/>
      <c r="AQ208" s="27"/>
      <c r="AR208" s="27"/>
      <c r="AS208" s="27"/>
      <c r="AT208" s="27"/>
      <c r="AU208" s="27"/>
      <c r="AV208" s="27"/>
      <c r="AW208" s="27"/>
    </row>
    <row r="209" spans="1:49" ht="28.5">
      <c r="A209" s="167" t="s">
        <v>583</v>
      </c>
      <c r="B209" s="168" t="s">
        <v>437</v>
      </c>
      <c r="C209" s="168" t="s">
        <v>438</v>
      </c>
      <c r="D209" s="169" t="s">
        <v>584</v>
      </c>
      <c r="E209" s="169" t="s">
        <v>585</v>
      </c>
      <c r="F209" s="170"/>
      <c r="G209" s="168" t="s">
        <v>441</v>
      </c>
      <c r="H209" s="168" t="s">
        <v>442</v>
      </c>
      <c r="I209" s="168" t="s">
        <v>443</v>
      </c>
      <c r="J209" s="122"/>
      <c r="K209" s="13"/>
      <c r="L209" s="13"/>
      <c r="M209" s="13"/>
      <c r="N209" s="13"/>
      <c r="O209" s="13"/>
      <c r="P209" s="13"/>
      <c r="Q209" s="13"/>
      <c r="R209" s="13"/>
      <c r="S209" s="13"/>
      <c r="T209" s="122"/>
      <c r="U209" s="170"/>
      <c r="V209" s="170"/>
      <c r="W209" s="170"/>
      <c r="X209" s="170"/>
      <c r="Y209" s="170"/>
      <c r="Z209" s="170"/>
      <c r="AA209" s="170"/>
      <c r="AB209" s="170"/>
      <c r="AC209" s="168" t="s">
        <v>586</v>
      </c>
    </row>
    <row r="210" spans="1:49" ht="28.5">
      <c r="A210" s="167" t="s">
        <v>587</v>
      </c>
      <c r="B210" s="168" t="s">
        <v>437</v>
      </c>
      <c r="C210" s="168" t="s">
        <v>463</v>
      </c>
      <c r="D210" s="169" t="s">
        <v>584</v>
      </c>
      <c r="E210" s="169" t="s">
        <v>585</v>
      </c>
      <c r="F210" s="170"/>
      <c r="G210" s="168" t="s">
        <v>453</v>
      </c>
      <c r="H210" s="168" t="s">
        <v>442</v>
      </c>
      <c r="I210" s="168" t="s">
        <v>464</v>
      </c>
      <c r="J210" s="122"/>
      <c r="K210" s="13"/>
      <c r="L210" s="13"/>
      <c r="M210" s="13"/>
      <c r="N210" s="13"/>
      <c r="O210" s="13"/>
      <c r="P210" s="13"/>
      <c r="Q210" s="13"/>
      <c r="R210" s="13"/>
      <c r="S210" s="13"/>
      <c r="T210" s="122"/>
      <c r="U210" s="170"/>
      <c r="V210" s="170"/>
      <c r="W210" s="170"/>
      <c r="X210" s="170"/>
      <c r="Y210" s="170"/>
      <c r="Z210" s="170"/>
      <c r="AA210" s="170"/>
      <c r="AB210" s="170"/>
      <c r="AC210" s="168" t="s">
        <v>586</v>
      </c>
    </row>
    <row r="211" spans="1:49" ht="28.5">
      <c r="A211" s="167" t="s">
        <v>588</v>
      </c>
      <c r="B211" s="168" t="s">
        <v>437</v>
      </c>
      <c r="C211" s="168" t="s">
        <v>484</v>
      </c>
      <c r="D211" s="169" t="s">
        <v>584</v>
      </c>
      <c r="E211" s="169" t="s">
        <v>585</v>
      </c>
      <c r="F211" s="170"/>
      <c r="G211" s="171" t="s">
        <v>261</v>
      </c>
      <c r="H211" s="168" t="s">
        <v>485</v>
      </c>
      <c r="I211" s="168" t="s">
        <v>486</v>
      </c>
      <c r="J211" s="122"/>
      <c r="K211" s="13"/>
      <c r="L211" s="13"/>
      <c r="M211" s="13"/>
      <c r="N211" s="13"/>
      <c r="O211" s="13"/>
      <c r="P211" s="13"/>
      <c r="Q211" s="13"/>
      <c r="R211" s="13"/>
      <c r="S211" s="13"/>
      <c r="T211" s="122"/>
      <c r="U211" s="170"/>
      <c r="V211" s="170"/>
      <c r="W211" s="170"/>
      <c r="X211" s="170"/>
      <c r="Y211" s="170"/>
      <c r="Z211" s="170"/>
      <c r="AA211" s="170"/>
      <c r="AB211" s="168" t="s">
        <v>487</v>
      </c>
      <c r="AC211" s="168" t="s">
        <v>586</v>
      </c>
    </row>
    <row r="212" spans="1:49" ht="24.75" customHeight="1">
      <c r="A212" s="237" t="s">
        <v>589</v>
      </c>
      <c r="B212" s="234"/>
      <c r="C212" s="234"/>
      <c r="D212" s="234"/>
      <c r="E212" s="234"/>
      <c r="F212" s="234"/>
      <c r="G212" s="234"/>
      <c r="H212" s="234"/>
      <c r="I212" s="235"/>
      <c r="J212" s="35"/>
      <c r="K212" s="233"/>
      <c r="L212" s="234"/>
      <c r="M212" s="234"/>
      <c r="N212" s="234"/>
      <c r="O212" s="234"/>
      <c r="P212" s="234"/>
      <c r="Q212" s="234"/>
      <c r="R212" s="234"/>
      <c r="S212" s="235"/>
      <c r="T212" s="35"/>
      <c r="U212" s="236"/>
      <c r="V212" s="234"/>
      <c r="W212" s="234"/>
      <c r="X212" s="234"/>
      <c r="Y212" s="234"/>
      <c r="Z212" s="234"/>
      <c r="AA212" s="235"/>
      <c r="AB212" s="45"/>
      <c r="AC212" s="45"/>
      <c r="AD212" s="27"/>
      <c r="AE212" s="27"/>
      <c r="AF212" s="27"/>
      <c r="AG212" s="27"/>
      <c r="AH212" s="27"/>
      <c r="AI212" s="27"/>
      <c r="AJ212" s="27"/>
      <c r="AK212" s="27"/>
      <c r="AL212" s="27"/>
      <c r="AM212" s="27"/>
      <c r="AN212" s="27"/>
      <c r="AO212" s="27"/>
      <c r="AP212" s="27"/>
      <c r="AQ212" s="27"/>
      <c r="AR212" s="27"/>
      <c r="AS212" s="27"/>
      <c r="AT212" s="27"/>
      <c r="AU212" s="27"/>
      <c r="AV212" s="27"/>
      <c r="AW212" s="27"/>
    </row>
    <row r="213" spans="1:49" ht="28.5">
      <c r="A213" s="167" t="s">
        <v>583</v>
      </c>
      <c r="B213" s="168" t="s">
        <v>437</v>
      </c>
      <c r="C213" s="168" t="s">
        <v>438</v>
      </c>
      <c r="D213" s="169" t="s">
        <v>584</v>
      </c>
      <c r="E213" s="169" t="s">
        <v>585</v>
      </c>
      <c r="F213" s="170"/>
      <c r="G213" s="168" t="s">
        <v>441</v>
      </c>
      <c r="H213" s="168" t="s">
        <v>442</v>
      </c>
      <c r="I213" s="168" t="s">
        <v>443</v>
      </c>
      <c r="J213" s="122"/>
      <c r="K213" s="13"/>
      <c r="L213" s="13"/>
      <c r="M213" s="13"/>
      <c r="N213" s="13"/>
      <c r="O213" s="13"/>
      <c r="P213" s="13"/>
      <c r="Q213" s="13"/>
      <c r="R213" s="13"/>
      <c r="S213" s="13"/>
      <c r="T213" s="122"/>
      <c r="U213" s="170"/>
      <c r="V213" s="170"/>
      <c r="W213" s="170"/>
      <c r="X213" s="170"/>
      <c r="Y213" s="170"/>
      <c r="Z213" s="170"/>
      <c r="AA213" s="170"/>
      <c r="AB213" s="170"/>
      <c r="AC213" s="168" t="s">
        <v>590</v>
      </c>
    </row>
    <row r="214" spans="1:49" ht="28.5">
      <c r="A214" s="167" t="s">
        <v>591</v>
      </c>
      <c r="B214" s="168" t="s">
        <v>437</v>
      </c>
      <c r="C214" s="168" t="s">
        <v>463</v>
      </c>
      <c r="D214" s="169" t="s">
        <v>584</v>
      </c>
      <c r="E214" s="169" t="s">
        <v>585</v>
      </c>
      <c r="F214" s="170"/>
      <c r="G214" s="168" t="s">
        <v>453</v>
      </c>
      <c r="H214" s="168" t="s">
        <v>442</v>
      </c>
      <c r="I214" s="168" t="s">
        <v>464</v>
      </c>
      <c r="J214" s="122"/>
      <c r="K214" s="13"/>
      <c r="L214" s="13"/>
      <c r="M214" s="13"/>
      <c r="N214" s="13"/>
      <c r="O214" s="13"/>
      <c r="P214" s="13"/>
      <c r="Q214" s="13"/>
      <c r="R214" s="13"/>
      <c r="S214" s="13"/>
      <c r="T214" s="122"/>
      <c r="U214" s="170"/>
      <c r="V214" s="170"/>
      <c r="W214" s="170"/>
      <c r="X214" s="170"/>
      <c r="Y214" s="170"/>
      <c r="Z214" s="170"/>
      <c r="AA214" s="170"/>
      <c r="AB214" s="170"/>
      <c r="AC214" s="168" t="s">
        <v>590</v>
      </c>
    </row>
    <row r="215" spans="1:49" ht="28.5">
      <c r="A215" s="167" t="s">
        <v>592</v>
      </c>
      <c r="B215" s="168" t="s">
        <v>437</v>
      </c>
      <c r="C215" s="168" t="s">
        <v>593</v>
      </c>
      <c r="D215" s="169" t="s">
        <v>584</v>
      </c>
      <c r="E215" s="169" t="s">
        <v>585</v>
      </c>
      <c r="F215" s="170"/>
      <c r="G215" s="171" t="s">
        <v>261</v>
      </c>
      <c r="H215" s="168" t="s">
        <v>485</v>
      </c>
      <c r="I215" s="168" t="s">
        <v>486</v>
      </c>
      <c r="J215" s="122"/>
      <c r="K215" s="13"/>
      <c r="L215" s="13"/>
      <c r="M215" s="13"/>
      <c r="N215" s="13"/>
      <c r="O215" s="13"/>
      <c r="P215" s="13"/>
      <c r="Q215" s="13"/>
      <c r="R215" s="13"/>
      <c r="S215" s="13"/>
      <c r="T215" s="122"/>
      <c r="U215" s="170"/>
      <c r="V215" s="170"/>
      <c r="W215" s="170"/>
      <c r="X215" s="170"/>
      <c r="Y215" s="170"/>
      <c r="Z215" s="170"/>
      <c r="AA215" s="170"/>
      <c r="AB215" s="168" t="s">
        <v>487</v>
      </c>
      <c r="AC215" s="168" t="s">
        <v>590</v>
      </c>
    </row>
    <row r="216" spans="1:49" ht="24.75" customHeight="1">
      <c r="A216" s="237" t="s">
        <v>594</v>
      </c>
      <c r="B216" s="234"/>
      <c r="C216" s="234"/>
      <c r="D216" s="234"/>
      <c r="E216" s="234"/>
      <c r="F216" s="234"/>
      <c r="G216" s="234"/>
      <c r="H216" s="234"/>
      <c r="I216" s="235"/>
      <c r="J216" s="35"/>
      <c r="K216" s="233"/>
      <c r="L216" s="234"/>
      <c r="M216" s="234"/>
      <c r="N216" s="234"/>
      <c r="O216" s="234"/>
      <c r="P216" s="234"/>
      <c r="Q216" s="234"/>
      <c r="R216" s="234"/>
      <c r="S216" s="235"/>
      <c r="T216" s="35"/>
      <c r="U216" s="236"/>
      <c r="V216" s="234"/>
      <c r="W216" s="234"/>
      <c r="X216" s="234"/>
      <c r="Y216" s="234"/>
      <c r="Z216" s="234"/>
      <c r="AA216" s="235"/>
      <c r="AB216" s="45"/>
      <c r="AC216" s="45"/>
      <c r="AD216" s="27"/>
      <c r="AE216" s="27"/>
      <c r="AF216" s="27"/>
      <c r="AG216" s="27"/>
      <c r="AH216" s="27"/>
      <c r="AI216" s="27"/>
      <c r="AJ216" s="27"/>
      <c r="AK216" s="27"/>
      <c r="AL216" s="27"/>
      <c r="AM216" s="27"/>
      <c r="AN216" s="27"/>
      <c r="AO216" s="27"/>
      <c r="AP216" s="27"/>
      <c r="AQ216" s="27"/>
      <c r="AR216" s="27"/>
      <c r="AS216" s="27"/>
      <c r="AT216" s="27"/>
      <c r="AU216" s="27"/>
      <c r="AV216" s="27"/>
      <c r="AW216" s="27"/>
    </row>
    <row r="217" spans="1:49" ht="28.5">
      <c r="A217" s="172" t="s">
        <v>595</v>
      </c>
      <c r="B217" s="173" t="s">
        <v>437</v>
      </c>
      <c r="C217" s="173" t="s">
        <v>438</v>
      </c>
      <c r="D217" s="174" t="s">
        <v>596</v>
      </c>
      <c r="E217" s="174" t="s">
        <v>597</v>
      </c>
      <c r="F217" s="175"/>
      <c r="G217" s="173" t="s">
        <v>441</v>
      </c>
      <c r="H217" s="173" t="s">
        <v>442</v>
      </c>
      <c r="I217" s="173" t="s">
        <v>443</v>
      </c>
      <c r="J217" s="122"/>
      <c r="K217" s="13"/>
      <c r="L217" s="13"/>
      <c r="M217" s="13"/>
      <c r="N217" s="13"/>
      <c r="O217" s="13"/>
      <c r="P217" s="13"/>
      <c r="Q217" s="13"/>
      <c r="R217" s="13"/>
      <c r="S217" s="13"/>
      <c r="T217" s="122"/>
      <c r="U217" s="175"/>
      <c r="V217" s="175"/>
      <c r="W217" s="175"/>
      <c r="X217" s="175"/>
      <c r="Y217" s="175"/>
      <c r="Z217" s="175"/>
      <c r="AA217" s="175"/>
      <c r="AB217" s="175"/>
      <c r="AC217" s="173" t="s">
        <v>598</v>
      </c>
    </row>
    <row r="218" spans="1:49" ht="28.5">
      <c r="A218" s="172" t="s">
        <v>599</v>
      </c>
      <c r="B218" s="173" t="s">
        <v>437</v>
      </c>
      <c r="C218" s="173" t="s">
        <v>600</v>
      </c>
      <c r="D218" s="174" t="s">
        <v>596</v>
      </c>
      <c r="E218" s="174" t="s">
        <v>597</v>
      </c>
      <c r="F218" s="175"/>
      <c r="G218" s="173" t="s">
        <v>453</v>
      </c>
      <c r="H218" s="173" t="s">
        <v>442</v>
      </c>
      <c r="I218" s="173" t="s">
        <v>601</v>
      </c>
      <c r="J218" s="122"/>
      <c r="K218" s="13"/>
      <c r="L218" s="13"/>
      <c r="M218" s="13"/>
      <c r="N218" s="13"/>
      <c r="O218" s="13"/>
      <c r="P218" s="13"/>
      <c r="Q218" s="13"/>
      <c r="R218" s="13"/>
      <c r="S218" s="13"/>
      <c r="T218" s="122"/>
      <c r="U218" s="175"/>
      <c r="V218" s="175"/>
      <c r="W218" s="175"/>
      <c r="X218" s="175"/>
      <c r="Y218" s="175"/>
      <c r="Z218" s="175"/>
      <c r="AA218" s="175"/>
      <c r="AB218" s="175"/>
      <c r="AC218" s="173" t="s">
        <v>598</v>
      </c>
    </row>
    <row r="219" spans="1:49" ht="28.5">
      <c r="A219" s="172" t="s">
        <v>602</v>
      </c>
      <c r="B219" s="173" t="s">
        <v>437</v>
      </c>
      <c r="C219" s="173" t="s">
        <v>603</v>
      </c>
      <c r="D219" s="174" t="s">
        <v>596</v>
      </c>
      <c r="E219" s="174" t="s">
        <v>597</v>
      </c>
      <c r="F219" s="175"/>
      <c r="G219" s="176" t="s">
        <v>261</v>
      </c>
      <c r="H219" s="173" t="s">
        <v>604</v>
      </c>
      <c r="I219" s="173">
        <v>711</v>
      </c>
      <c r="J219" s="122"/>
      <c r="K219" s="13"/>
      <c r="L219" s="13"/>
      <c r="M219" s="13"/>
      <c r="N219" s="13"/>
      <c r="O219" s="13"/>
      <c r="P219" s="13"/>
      <c r="Q219" s="13"/>
      <c r="R219" s="13"/>
      <c r="S219" s="13"/>
      <c r="T219" s="122"/>
      <c r="U219" s="175"/>
      <c r="V219" s="175"/>
      <c r="W219" s="175"/>
      <c r="X219" s="175"/>
      <c r="Y219" s="175"/>
      <c r="Z219" s="175"/>
      <c r="AA219" s="175"/>
      <c r="AB219" s="173" t="s">
        <v>605</v>
      </c>
      <c r="AC219" s="173" t="s">
        <v>598</v>
      </c>
    </row>
    <row r="220" spans="1:49" ht="24.75" customHeight="1">
      <c r="A220" s="237" t="s">
        <v>606</v>
      </c>
      <c r="B220" s="234"/>
      <c r="C220" s="234"/>
      <c r="D220" s="234"/>
      <c r="E220" s="234"/>
      <c r="F220" s="234"/>
      <c r="G220" s="234"/>
      <c r="H220" s="234"/>
      <c r="I220" s="235"/>
      <c r="J220" s="35"/>
      <c r="K220" s="233"/>
      <c r="L220" s="234"/>
      <c r="M220" s="234"/>
      <c r="N220" s="234"/>
      <c r="O220" s="234"/>
      <c r="P220" s="234"/>
      <c r="Q220" s="234"/>
      <c r="R220" s="234"/>
      <c r="S220" s="235"/>
      <c r="T220" s="35"/>
      <c r="U220" s="236"/>
      <c r="V220" s="234"/>
      <c r="W220" s="234"/>
      <c r="X220" s="234"/>
      <c r="Y220" s="234"/>
      <c r="Z220" s="234"/>
      <c r="AA220" s="235"/>
      <c r="AB220" s="45"/>
      <c r="AC220" s="45"/>
      <c r="AD220" s="27"/>
      <c r="AE220" s="27"/>
      <c r="AF220" s="27"/>
      <c r="AG220" s="27"/>
      <c r="AH220" s="27"/>
      <c r="AI220" s="27"/>
      <c r="AJ220" s="27"/>
      <c r="AK220" s="27"/>
      <c r="AL220" s="27"/>
      <c r="AM220" s="27"/>
      <c r="AN220" s="27"/>
      <c r="AO220" s="27"/>
      <c r="AP220" s="27"/>
      <c r="AQ220" s="27"/>
      <c r="AR220" s="27"/>
      <c r="AS220" s="27"/>
      <c r="AT220" s="27"/>
      <c r="AU220" s="27"/>
      <c r="AV220" s="27"/>
      <c r="AW220" s="27"/>
    </row>
    <row r="221" spans="1:49" ht="28.5">
      <c r="A221" s="177" t="s">
        <v>607</v>
      </c>
      <c r="B221" s="178" t="s">
        <v>437</v>
      </c>
      <c r="C221" s="178" t="s">
        <v>438</v>
      </c>
      <c r="D221" s="179" t="s">
        <v>608</v>
      </c>
      <c r="E221" s="179" t="s">
        <v>609</v>
      </c>
      <c r="F221" s="45"/>
      <c r="G221" s="180" t="s">
        <v>441</v>
      </c>
      <c r="H221" s="180" t="s">
        <v>442</v>
      </c>
      <c r="I221" s="180" t="s">
        <v>443</v>
      </c>
      <c r="J221" s="122"/>
      <c r="K221" s="13"/>
      <c r="L221" s="13"/>
      <c r="M221" s="13"/>
      <c r="N221" s="13"/>
      <c r="O221" s="13"/>
      <c r="P221" s="13"/>
      <c r="Q221" s="13"/>
      <c r="R221" s="13"/>
      <c r="S221" s="13"/>
      <c r="T221" s="122"/>
      <c r="U221" s="181"/>
      <c r="V221" s="181"/>
      <c r="W221" s="181"/>
      <c r="X221" s="181"/>
      <c r="Y221" s="181"/>
      <c r="Z221" s="181"/>
      <c r="AA221" s="181"/>
      <c r="AB221" s="181"/>
      <c r="AC221" s="178" t="s">
        <v>610</v>
      </c>
    </row>
    <row r="222" spans="1:49" ht="28.5">
      <c r="A222" s="177" t="s">
        <v>611</v>
      </c>
      <c r="B222" s="178" t="s">
        <v>437</v>
      </c>
      <c r="C222" s="178" t="s">
        <v>600</v>
      </c>
      <c r="D222" s="179" t="s">
        <v>608</v>
      </c>
      <c r="E222" s="179" t="s">
        <v>609</v>
      </c>
      <c r="F222" s="45"/>
      <c r="G222" s="178" t="s">
        <v>453</v>
      </c>
      <c r="H222" s="178" t="s">
        <v>442</v>
      </c>
      <c r="I222" s="178" t="s">
        <v>601</v>
      </c>
      <c r="J222" s="122"/>
      <c r="K222" s="13"/>
      <c r="L222" s="13"/>
      <c r="M222" s="13"/>
      <c r="N222" s="13"/>
      <c r="O222" s="13"/>
      <c r="P222" s="13"/>
      <c r="Q222" s="13"/>
      <c r="R222" s="13"/>
      <c r="S222" s="13"/>
      <c r="T222" s="122"/>
      <c r="U222" s="45"/>
      <c r="V222" s="45"/>
      <c r="W222" s="45"/>
      <c r="X222" s="45"/>
      <c r="Y222" s="45"/>
      <c r="Z222" s="45"/>
      <c r="AA222" s="45"/>
      <c r="AB222" s="45"/>
      <c r="AC222" s="178" t="s">
        <v>610</v>
      </c>
    </row>
    <row r="223" spans="1:49" ht="28.5">
      <c r="A223" s="177" t="s">
        <v>612</v>
      </c>
      <c r="B223" s="178" t="s">
        <v>437</v>
      </c>
      <c r="C223" s="178" t="s">
        <v>603</v>
      </c>
      <c r="D223" s="179" t="s">
        <v>608</v>
      </c>
      <c r="E223" s="179" t="s">
        <v>609</v>
      </c>
      <c r="F223" s="45"/>
      <c r="G223" s="182" t="s">
        <v>261</v>
      </c>
      <c r="H223" s="178" t="s">
        <v>604</v>
      </c>
      <c r="I223" s="178">
        <v>711</v>
      </c>
      <c r="J223" s="122"/>
      <c r="K223" s="13"/>
      <c r="L223" s="13"/>
      <c r="M223" s="13"/>
      <c r="N223" s="13"/>
      <c r="O223" s="13"/>
      <c r="P223" s="13"/>
      <c r="Q223" s="13"/>
      <c r="R223" s="13"/>
      <c r="S223" s="13"/>
      <c r="T223" s="122"/>
      <c r="U223" s="70"/>
      <c r="V223" s="70"/>
      <c r="W223" s="70"/>
      <c r="X223" s="70"/>
      <c r="Y223" s="70"/>
      <c r="Z223" s="70"/>
      <c r="AA223" s="70"/>
      <c r="AB223" s="178" t="s">
        <v>605</v>
      </c>
      <c r="AC223" s="178" t="s">
        <v>610</v>
      </c>
    </row>
    <row r="224" spans="1:49" ht="24.75" customHeight="1">
      <c r="A224" s="237" t="s">
        <v>613</v>
      </c>
      <c r="B224" s="234"/>
      <c r="C224" s="234"/>
      <c r="D224" s="234"/>
      <c r="E224" s="234"/>
      <c r="F224" s="234"/>
      <c r="G224" s="234"/>
      <c r="H224" s="234"/>
      <c r="I224" s="235"/>
      <c r="J224" s="35"/>
      <c r="K224" s="233"/>
      <c r="L224" s="234"/>
      <c r="M224" s="234"/>
      <c r="N224" s="234"/>
      <c r="O224" s="234"/>
      <c r="P224" s="234"/>
      <c r="Q224" s="234"/>
      <c r="R224" s="234"/>
      <c r="S224" s="235"/>
      <c r="T224" s="35"/>
      <c r="U224" s="236"/>
      <c r="V224" s="234"/>
      <c r="W224" s="234"/>
      <c r="X224" s="234"/>
      <c r="Y224" s="234"/>
      <c r="Z224" s="234"/>
      <c r="AA224" s="235"/>
      <c r="AB224" s="45"/>
      <c r="AC224" s="45"/>
      <c r="AD224" s="27"/>
      <c r="AE224" s="27"/>
      <c r="AF224" s="27"/>
      <c r="AG224" s="27"/>
      <c r="AH224" s="27"/>
      <c r="AI224" s="27"/>
      <c r="AJ224" s="27"/>
      <c r="AK224" s="27"/>
      <c r="AL224" s="27"/>
      <c r="AM224" s="27"/>
      <c r="AN224" s="27"/>
      <c r="AO224" s="27"/>
      <c r="AP224" s="27"/>
      <c r="AQ224" s="27"/>
      <c r="AR224" s="27"/>
      <c r="AS224" s="27"/>
      <c r="AT224" s="27"/>
      <c r="AU224" s="27"/>
      <c r="AV224" s="27"/>
      <c r="AW224" s="27"/>
    </row>
    <row r="225" spans="1:49" ht="85.5">
      <c r="A225" s="183" t="s">
        <v>614</v>
      </c>
      <c r="B225" s="184" t="s">
        <v>437</v>
      </c>
      <c r="C225" s="184" t="s">
        <v>615</v>
      </c>
      <c r="D225" s="185" t="s">
        <v>616</v>
      </c>
      <c r="E225" s="185" t="s">
        <v>617</v>
      </c>
      <c r="F225" s="186"/>
      <c r="G225" s="184" t="s">
        <v>618</v>
      </c>
      <c r="H225" s="184" t="s">
        <v>619</v>
      </c>
      <c r="I225" s="184" t="s">
        <v>620</v>
      </c>
      <c r="J225" s="122"/>
      <c r="K225" s="13"/>
      <c r="L225" s="13"/>
      <c r="M225" s="13"/>
      <c r="N225" s="13"/>
      <c r="O225" s="13"/>
      <c r="P225" s="13"/>
      <c r="Q225" s="13"/>
      <c r="R225" s="13"/>
      <c r="S225" s="13"/>
      <c r="T225" s="122"/>
      <c r="U225" s="186"/>
      <c r="V225" s="186"/>
      <c r="W225" s="186"/>
      <c r="X225" s="186"/>
      <c r="Y225" s="186"/>
      <c r="Z225" s="186"/>
      <c r="AA225" s="186"/>
      <c r="AB225" s="186"/>
      <c r="AC225" s="184" t="s">
        <v>621</v>
      </c>
    </row>
    <row r="226" spans="1:49" ht="42.75">
      <c r="A226" s="183" t="s">
        <v>622</v>
      </c>
      <c r="B226" s="184" t="s">
        <v>437</v>
      </c>
      <c r="C226" s="184" t="s">
        <v>623</v>
      </c>
      <c r="D226" s="185" t="s">
        <v>616</v>
      </c>
      <c r="E226" s="185" t="s">
        <v>617</v>
      </c>
      <c r="F226" s="186"/>
      <c r="G226" s="187" t="s">
        <v>261</v>
      </c>
      <c r="H226" s="184" t="s">
        <v>624</v>
      </c>
      <c r="I226" s="184" t="s">
        <v>625</v>
      </c>
      <c r="J226" s="122"/>
      <c r="K226" s="13"/>
      <c r="L226" s="13"/>
      <c r="M226" s="13"/>
      <c r="N226" s="13"/>
      <c r="O226" s="13"/>
      <c r="P226" s="13"/>
      <c r="Q226" s="13"/>
      <c r="R226" s="13"/>
      <c r="S226" s="13"/>
      <c r="T226" s="122"/>
      <c r="U226" s="186"/>
      <c r="V226" s="186"/>
      <c r="W226" s="186"/>
      <c r="X226" s="186"/>
      <c r="Y226" s="186"/>
      <c r="Z226" s="186"/>
      <c r="AA226" s="186"/>
      <c r="AB226" s="184" t="s">
        <v>626</v>
      </c>
      <c r="AC226" s="184" t="s">
        <v>621</v>
      </c>
    </row>
    <row r="227" spans="1:49" ht="24.75" customHeight="1">
      <c r="A227" s="237" t="s">
        <v>627</v>
      </c>
      <c r="B227" s="234"/>
      <c r="C227" s="234"/>
      <c r="D227" s="234"/>
      <c r="E227" s="234"/>
      <c r="F227" s="234"/>
      <c r="G227" s="234"/>
      <c r="H227" s="234"/>
      <c r="I227" s="235"/>
      <c r="J227" s="35"/>
      <c r="K227" s="233"/>
      <c r="L227" s="234"/>
      <c r="M227" s="234"/>
      <c r="N227" s="234"/>
      <c r="O227" s="234"/>
      <c r="P227" s="234"/>
      <c r="Q227" s="234"/>
      <c r="R227" s="234"/>
      <c r="S227" s="235"/>
      <c r="T227" s="35"/>
      <c r="U227" s="236"/>
      <c r="V227" s="234"/>
      <c r="W227" s="234"/>
      <c r="X227" s="234"/>
      <c r="Y227" s="234"/>
      <c r="Z227" s="234"/>
      <c r="AA227" s="235"/>
      <c r="AB227" s="45"/>
      <c r="AC227" s="45"/>
      <c r="AD227" s="27"/>
      <c r="AE227" s="27"/>
      <c r="AF227" s="27"/>
      <c r="AG227" s="27"/>
      <c r="AH227" s="27"/>
      <c r="AI227" s="27"/>
      <c r="AJ227" s="27"/>
      <c r="AK227" s="27"/>
      <c r="AL227" s="27"/>
      <c r="AM227" s="27"/>
      <c r="AN227" s="27"/>
      <c r="AO227" s="27"/>
      <c r="AP227" s="27"/>
      <c r="AQ227" s="27"/>
      <c r="AR227" s="27"/>
      <c r="AS227" s="27"/>
      <c r="AT227" s="27"/>
      <c r="AU227" s="27"/>
      <c r="AV227" s="27"/>
      <c r="AW227" s="27"/>
    </row>
    <row r="228" spans="1:49" ht="85.5">
      <c r="A228" s="188" t="s">
        <v>628</v>
      </c>
      <c r="B228" s="189" t="s">
        <v>437</v>
      </c>
      <c r="C228" s="189" t="s">
        <v>615</v>
      </c>
      <c r="D228" s="190" t="s">
        <v>629</v>
      </c>
      <c r="E228" s="190" t="s">
        <v>630</v>
      </c>
      <c r="F228" s="191"/>
      <c r="G228" s="189" t="s">
        <v>618</v>
      </c>
      <c r="H228" s="189" t="s">
        <v>619</v>
      </c>
      <c r="I228" s="189" t="s">
        <v>620</v>
      </c>
      <c r="J228" s="122"/>
      <c r="K228" s="13"/>
      <c r="L228" s="13"/>
      <c r="M228" s="13"/>
      <c r="N228" s="13"/>
      <c r="O228" s="13"/>
      <c r="P228" s="13"/>
      <c r="Q228" s="13"/>
      <c r="R228" s="13"/>
      <c r="S228" s="13"/>
      <c r="T228" s="122"/>
      <c r="U228" s="191"/>
      <c r="V228" s="191"/>
      <c r="W228" s="191"/>
      <c r="X228" s="191"/>
      <c r="Y228" s="191"/>
      <c r="Z228" s="191"/>
      <c r="AA228" s="191"/>
      <c r="AB228" s="191"/>
      <c r="AC228" s="189" t="s">
        <v>631</v>
      </c>
    </row>
    <row r="229" spans="1:49" ht="42.75">
      <c r="A229" s="188" t="s">
        <v>632</v>
      </c>
      <c r="B229" s="189" t="s">
        <v>437</v>
      </c>
      <c r="C229" s="189" t="s">
        <v>623</v>
      </c>
      <c r="D229" s="190" t="s">
        <v>629</v>
      </c>
      <c r="E229" s="190" t="s">
        <v>630</v>
      </c>
      <c r="F229" s="191"/>
      <c r="G229" s="192" t="s">
        <v>261</v>
      </c>
      <c r="H229" s="189" t="s">
        <v>624</v>
      </c>
      <c r="I229" s="189" t="s">
        <v>625</v>
      </c>
      <c r="J229" s="122"/>
      <c r="K229" s="13"/>
      <c r="L229" s="13"/>
      <c r="M229" s="13"/>
      <c r="N229" s="13"/>
      <c r="O229" s="13"/>
      <c r="P229" s="13"/>
      <c r="Q229" s="13"/>
      <c r="R229" s="13"/>
      <c r="S229" s="13"/>
      <c r="T229" s="122"/>
      <c r="U229" s="191"/>
      <c r="V229" s="191"/>
      <c r="W229" s="191"/>
      <c r="X229" s="191"/>
      <c r="Y229" s="191"/>
      <c r="Z229" s="191"/>
      <c r="AA229" s="191"/>
      <c r="AB229" s="189" t="s">
        <v>626</v>
      </c>
      <c r="AC229" s="189" t="s">
        <v>631</v>
      </c>
    </row>
    <row r="252" spans="10:20" ht="14.25">
      <c r="J252" s="122"/>
      <c r="K252" s="122"/>
      <c r="T252" s="122"/>
    </row>
    <row r="253" spans="10:20" ht="14.25">
      <c r="J253" s="122"/>
      <c r="K253" s="122"/>
      <c r="T253" s="122"/>
    </row>
    <row r="254" spans="10:20" ht="14.25">
      <c r="J254" s="122"/>
      <c r="K254" s="122"/>
      <c r="T254" s="122"/>
    </row>
    <row r="255" spans="10:20" ht="14.25">
      <c r="J255" s="122"/>
      <c r="K255" s="122"/>
    </row>
    <row r="256" spans="10:20" ht="14.25">
      <c r="J256" s="122"/>
      <c r="K256" s="122"/>
    </row>
    <row r="257" spans="10:11" ht="14.25">
      <c r="J257" s="122"/>
      <c r="K257" s="122"/>
    </row>
    <row r="258" spans="10:11" ht="14.25">
      <c r="J258" s="122"/>
      <c r="K258" s="122"/>
    </row>
    <row r="259" spans="10:11" ht="14.25">
      <c r="J259" s="122"/>
      <c r="K259" s="122"/>
    </row>
    <row r="260" spans="10:11" ht="14.25">
      <c r="J260" s="122"/>
      <c r="K260" s="122"/>
    </row>
    <row r="261" spans="10:11" ht="14.25">
      <c r="J261" s="122"/>
      <c r="K261" s="122"/>
    </row>
    <row r="262" spans="10:11" ht="14.25">
      <c r="J262" s="122"/>
      <c r="K262" s="122"/>
    </row>
    <row r="263" spans="10:11" ht="14.25">
      <c r="J263" s="122"/>
      <c r="K263" s="122"/>
    </row>
    <row r="264" spans="10:11" ht="14.25">
      <c r="J264" s="122"/>
      <c r="K264" s="122"/>
    </row>
    <row r="265" spans="10:11" ht="14.25">
      <c r="J265" s="122"/>
      <c r="K265" s="122"/>
    </row>
    <row r="266" spans="10:11" ht="14.25">
      <c r="J266" s="122"/>
      <c r="K266" s="122"/>
    </row>
    <row r="267" spans="10:11" ht="14.25">
      <c r="J267" s="122"/>
      <c r="K267" s="122"/>
    </row>
    <row r="268" spans="10:11" ht="14.25">
      <c r="J268" s="122"/>
      <c r="K268" s="122"/>
    </row>
    <row r="269" spans="10:11" ht="14.25">
      <c r="J269" s="122"/>
      <c r="K269" s="122"/>
    </row>
    <row r="270" spans="10:11" ht="14.25">
      <c r="J270" s="122"/>
      <c r="K270" s="122"/>
    </row>
    <row r="271" spans="10:11" ht="14.25">
      <c r="J271" s="122"/>
      <c r="K271" s="122"/>
    </row>
    <row r="272" spans="10:11" ht="14.25">
      <c r="J272" s="122"/>
      <c r="K272" s="122"/>
    </row>
    <row r="273" spans="10:11" ht="14.25">
      <c r="J273" s="122"/>
      <c r="K273" s="122"/>
    </row>
    <row r="274" spans="10:11" ht="14.25">
      <c r="J274" s="122"/>
      <c r="K274" s="122"/>
    </row>
    <row r="275" spans="10:11" ht="14.25">
      <c r="J275" s="122"/>
      <c r="K275" s="122"/>
    </row>
    <row r="276" spans="10:11" ht="14.25">
      <c r="J276" s="122"/>
      <c r="K276" s="122"/>
    </row>
    <row r="277" spans="10:11" ht="14.25">
      <c r="J277" s="122"/>
      <c r="K277" s="122"/>
    </row>
    <row r="278" spans="10:11" ht="14.25">
      <c r="J278" s="122"/>
      <c r="K278" s="122"/>
    </row>
    <row r="279" spans="10:11" ht="14.25">
      <c r="J279" s="122"/>
      <c r="K279" s="122"/>
    </row>
    <row r="280" spans="10:11" ht="14.25">
      <c r="J280" s="122"/>
      <c r="K280" s="122"/>
    </row>
    <row r="281" spans="10:11" ht="14.25">
      <c r="J281" s="122"/>
      <c r="K281" s="122"/>
    </row>
    <row r="282" spans="10:11" ht="14.25">
      <c r="J282" s="122"/>
      <c r="K282" s="122"/>
    </row>
    <row r="283" spans="10:11" ht="14.25">
      <c r="J283" s="122"/>
      <c r="K283" s="122"/>
    </row>
    <row r="284" spans="10:11" ht="14.25">
      <c r="J284" s="122"/>
      <c r="K284" s="122"/>
    </row>
    <row r="285" spans="10:11" ht="14.25">
      <c r="J285" s="122"/>
      <c r="K285" s="122"/>
    </row>
    <row r="286" spans="10:11" ht="14.25">
      <c r="J286" s="122"/>
      <c r="K286" s="122"/>
    </row>
    <row r="287" spans="10:11" ht="14.25">
      <c r="J287" s="122"/>
      <c r="K287" s="122"/>
    </row>
    <row r="288" spans="10:11" ht="14.25">
      <c r="J288" s="122"/>
      <c r="K288" s="122"/>
    </row>
    <row r="289" spans="10:11" ht="14.25">
      <c r="J289" s="122"/>
      <c r="K289" s="122"/>
    </row>
    <row r="290" spans="10:11" ht="14.25">
      <c r="J290" s="122"/>
      <c r="K290" s="122"/>
    </row>
    <row r="291" spans="10:11" ht="14.25">
      <c r="J291" s="122"/>
      <c r="K291" s="122"/>
    </row>
    <row r="292" spans="10:11" ht="14.25">
      <c r="J292" s="122"/>
      <c r="K292" s="122"/>
    </row>
    <row r="293" spans="10:11" ht="14.25">
      <c r="J293" s="122"/>
      <c r="K293" s="122"/>
    </row>
    <row r="294" spans="10:11" ht="14.25">
      <c r="J294" s="122"/>
      <c r="K294" s="122"/>
    </row>
    <row r="295" spans="10:11" ht="14.25">
      <c r="J295" s="122"/>
      <c r="K295" s="122"/>
    </row>
    <row r="296" spans="10:11" ht="14.25">
      <c r="J296" s="122"/>
      <c r="K296" s="122"/>
    </row>
    <row r="297" spans="10:11" ht="14.25">
      <c r="J297" s="122"/>
      <c r="K297" s="122"/>
    </row>
    <row r="298" spans="10:11" ht="14.25">
      <c r="J298" s="122"/>
      <c r="K298" s="122"/>
    </row>
    <row r="299" spans="10:11" ht="14.25">
      <c r="J299" s="122"/>
      <c r="K299" s="122"/>
    </row>
    <row r="300" spans="10:11" ht="14.25">
      <c r="J300" s="122"/>
      <c r="K300" s="122"/>
    </row>
    <row r="301" spans="10:11" ht="14.25">
      <c r="J301" s="122"/>
      <c r="K301" s="122"/>
    </row>
    <row r="302" spans="10:11" ht="14.25">
      <c r="J302" s="122"/>
      <c r="K302" s="122"/>
    </row>
    <row r="303" spans="10:11" ht="14.25">
      <c r="J303" s="122"/>
      <c r="K303" s="122"/>
    </row>
    <row r="304" spans="10:11" ht="14.25">
      <c r="J304" s="122"/>
      <c r="K304" s="122"/>
    </row>
    <row r="305" spans="10:11" ht="14.25">
      <c r="J305" s="122"/>
      <c r="K305" s="122"/>
    </row>
    <row r="306" spans="10:11" ht="14.25">
      <c r="J306" s="122"/>
      <c r="K306" s="122"/>
    </row>
    <row r="307" spans="10:11" ht="14.25">
      <c r="J307" s="122"/>
      <c r="K307" s="122"/>
    </row>
    <row r="308" spans="10:11" ht="14.25">
      <c r="J308" s="122"/>
      <c r="K308" s="122"/>
    </row>
    <row r="309" spans="10:11" ht="14.25">
      <c r="J309" s="122"/>
      <c r="K309" s="122"/>
    </row>
    <row r="310" spans="10:11" ht="14.25">
      <c r="J310" s="122"/>
      <c r="K310" s="122"/>
    </row>
    <row r="311" spans="10:11" ht="14.25">
      <c r="J311" s="122"/>
      <c r="K311" s="122"/>
    </row>
    <row r="312" spans="10:11" ht="14.25">
      <c r="J312" s="122"/>
      <c r="K312" s="122"/>
    </row>
    <row r="313" spans="10:11" ht="14.25">
      <c r="J313" s="122"/>
      <c r="K313" s="122"/>
    </row>
    <row r="314" spans="10:11" ht="14.25">
      <c r="J314" s="122"/>
      <c r="K314" s="122"/>
    </row>
    <row r="315" spans="10:11" ht="14.25">
      <c r="J315" s="122"/>
      <c r="K315" s="122"/>
    </row>
    <row r="316" spans="10:11" ht="14.25">
      <c r="J316" s="122"/>
      <c r="K316" s="122"/>
    </row>
    <row r="317" spans="10:11" ht="14.25">
      <c r="J317" s="122"/>
      <c r="K317" s="122"/>
    </row>
    <row r="318" spans="10:11" ht="14.25">
      <c r="J318" s="122"/>
      <c r="K318" s="122"/>
    </row>
    <row r="319" spans="10:11" ht="14.25">
      <c r="J319" s="122"/>
      <c r="K319" s="122"/>
    </row>
    <row r="320" spans="10:11" ht="14.25">
      <c r="J320" s="122"/>
      <c r="K320" s="122"/>
    </row>
    <row r="321" spans="10:11" ht="14.25">
      <c r="J321" s="122"/>
      <c r="K321" s="122"/>
    </row>
    <row r="322" spans="10:11" ht="14.25">
      <c r="J322" s="122"/>
      <c r="K322" s="122"/>
    </row>
    <row r="323" spans="10:11" ht="14.25">
      <c r="J323" s="122"/>
      <c r="K323" s="122"/>
    </row>
    <row r="324" spans="10:11" ht="14.25">
      <c r="J324" s="122"/>
      <c r="K324" s="122"/>
    </row>
    <row r="325" spans="10:11" ht="14.25">
      <c r="J325" s="122"/>
      <c r="K325" s="122"/>
    </row>
    <row r="326" spans="10:11" ht="14.25">
      <c r="J326" s="122"/>
      <c r="K326" s="122"/>
    </row>
    <row r="327" spans="10:11" ht="14.25">
      <c r="J327" s="122"/>
      <c r="K327" s="122"/>
    </row>
    <row r="328" spans="10:11" ht="14.25">
      <c r="J328" s="122"/>
      <c r="K328" s="122"/>
    </row>
    <row r="329" spans="10:11" ht="14.25">
      <c r="J329" s="122"/>
      <c r="K329" s="122"/>
    </row>
    <row r="330" spans="10:11" ht="14.25">
      <c r="J330" s="122"/>
      <c r="K330" s="122"/>
    </row>
    <row r="331" spans="10:11" ht="14.25">
      <c r="J331" s="122"/>
      <c r="K331" s="122"/>
    </row>
    <row r="332" spans="10:11" ht="14.25">
      <c r="J332" s="122"/>
      <c r="K332" s="122"/>
    </row>
    <row r="333" spans="10:11" ht="14.25">
      <c r="J333" s="122"/>
      <c r="K333" s="122"/>
    </row>
    <row r="334" spans="10:11" ht="14.25">
      <c r="J334" s="122"/>
      <c r="K334" s="122"/>
    </row>
    <row r="335" spans="10:11" ht="14.25">
      <c r="J335" s="122"/>
      <c r="K335" s="122"/>
    </row>
    <row r="336" spans="10:11" ht="14.25">
      <c r="J336" s="122"/>
      <c r="K336" s="122"/>
    </row>
    <row r="337" spans="10:11" ht="14.25">
      <c r="J337" s="122"/>
      <c r="K337" s="122"/>
    </row>
    <row r="338" spans="10:11" ht="14.25">
      <c r="J338" s="122"/>
      <c r="K338" s="122"/>
    </row>
    <row r="339" spans="10:11" ht="14.25">
      <c r="J339" s="122"/>
      <c r="K339" s="122"/>
    </row>
    <row r="340" spans="10:11" ht="14.25">
      <c r="J340" s="122"/>
      <c r="K340" s="122"/>
    </row>
    <row r="341" spans="10:11" ht="14.25">
      <c r="J341" s="122"/>
      <c r="K341" s="122"/>
    </row>
    <row r="342" spans="10:11" ht="14.25">
      <c r="J342" s="122"/>
      <c r="K342" s="122"/>
    </row>
    <row r="343" spans="10:11" ht="14.25">
      <c r="J343" s="122"/>
      <c r="K343" s="122"/>
    </row>
    <row r="344" spans="10:11" ht="14.25">
      <c r="J344" s="122"/>
      <c r="K344" s="122"/>
    </row>
    <row r="345" spans="10:11" ht="14.25">
      <c r="J345" s="122"/>
      <c r="K345" s="122"/>
    </row>
    <row r="346" spans="10:11" ht="14.25">
      <c r="J346" s="122"/>
      <c r="K346" s="122"/>
    </row>
    <row r="347" spans="10:11" ht="14.25">
      <c r="J347" s="122"/>
      <c r="K347" s="122"/>
    </row>
    <row r="348" spans="10:11" ht="14.25">
      <c r="J348" s="122"/>
      <c r="K348" s="122"/>
    </row>
    <row r="349" spans="10:11" ht="14.25">
      <c r="J349" s="122"/>
      <c r="K349" s="122"/>
    </row>
    <row r="350" spans="10:11" ht="14.25">
      <c r="J350" s="122"/>
      <c r="K350" s="122"/>
    </row>
    <row r="351" spans="10:11" ht="14.25">
      <c r="J351" s="122"/>
      <c r="K351" s="122"/>
    </row>
    <row r="352" spans="10:11" ht="14.25">
      <c r="J352" s="122"/>
      <c r="K352" s="122"/>
    </row>
    <row r="353" spans="10:11" ht="14.25">
      <c r="J353" s="122"/>
      <c r="K353" s="122"/>
    </row>
    <row r="354" spans="10:11" ht="14.25">
      <c r="J354" s="122"/>
      <c r="K354" s="122"/>
    </row>
    <row r="355" spans="10:11" ht="14.25">
      <c r="J355" s="122"/>
      <c r="K355" s="122"/>
    </row>
    <row r="356" spans="10:11" ht="14.25">
      <c r="J356" s="122"/>
      <c r="K356" s="122"/>
    </row>
    <row r="357" spans="10:11" ht="14.25">
      <c r="J357" s="122"/>
      <c r="K357" s="122"/>
    </row>
    <row r="358" spans="10:11" ht="14.25">
      <c r="J358" s="122"/>
      <c r="K358" s="122"/>
    </row>
    <row r="359" spans="10:11" ht="14.25">
      <c r="J359" s="122"/>
      <c r="K359" s="122"/>
    </row>
    <row r="360" spans="10:11" ht="14.25">
      <c r="J360" s="122"/>
      <c r="K360" s="122"/>
    </row>
    <row r="361" spans="10:11" ht="14.25">
      <c r="J361" s="122"/>
      <c r="K361" s="122"/>
    </row>
    <row r="362" spans="10:11" ht="14.25">
      <c r="J362" s="122"/>
      <c r="K362" s="122"/>
    </row>
    <row r="363" spans="10:11" ht="14.25">
      <c r="J363" s="122"/>
      <c r="K363" s="122"/>
    </row>
    <row r="364" spans="10:11" ht="14.25">
      <c r="J364" s="122"/>
      <c r="K364" s="122"/>
    </row>
    <row r="365" spans="10:11" ht="14.25">
      <c r="J365" s="122"/>
      <c r="K365" s="122"/>
    </row>
    <row r="366" spans="10:11" ht="14.25">
      <c r="J366" s="122"/>
      <c r="K366" s="122"/>
    </row>
    <row r="367" spans="10:11" ht="14.25">
      <c r="J367" s="122"/>
      <c r="K367" s="122"/>
    </row>
    <row r="368" spans="10:11" ht="14.25">
      <c r="J368" s="122"/>
      <c r="K368" s="122"/>
    </row>
    <row r="369" spans="10:11" ht="14.25">
      <c r="J369" s="122"/>
      <c r="K369" s="122"/>
    </row>
    <row r="370" spans="10:11" ht="14.25">
      <c r="J370" s="122"/>
      <c r="K370" s="122"/>
    </row>
    <row r="371" spans="10:11" ht="14.25">
      <c r="J371" s="122"/>
      <c r="K371" s="122"/>
    </row>
    <row r="372" spans="10:11" ht="14.25">
      <c r="J372" s="122"/>
      <c r="K372" s="122"/>
    </row>
    <row r="373" spans="10:11" ht="14.25">
      <c r="J373" s="122"/>
      <c r="K373" s="122"/>
    </row>
    <row r="374" spans="10:11" ht="14.25">
      <c r="J374" s="122"/>
      <c r="K374" s="122"/>
    </row>
    <row r="375" spans="10:11" ht="14.25">
      <c r="J375" s="122"/>
      <c r="K375" s="122"/>
    </row>
    <row r="376" spans="10:11" ht="14.25">
      <c r="J376" s="122"/>
      <c r="K376" s="122"/>
    </row>
    <row r="377" spans="10:11" ht="14.25">
      <c r="J377" s="122"/>
      <c r="K377" s="122"/>
    </row>
    <row r="378" spans="10:11" ht="14.25">
      <c r="J378" s="122"/>
      <c r="K378" s="122"/>
    </row>
    <row r="379" spans="10:11" ht="14.25">
      <c r="J379" s="122"/>
      <c r="K379" s="122"/>
    </row>
    <row r="380" spans="10:11" ht="14.25">
      <c r="J380" s="122"/>
      <c r="K380" s="122"/>
    </row>
    <row r="381" spans="10:11" ht="14.25">
      <c r="J381" s="122"/>
      <c r="K381" s="122"/>
    </row>
    <row r="382" spans="10:11" ht="14.25">
      <c r="J382" s="122"/>
      <c r="K382" s="122"/>
    </row>
    <row r="383" spans="10:11" ht="14.25">
      <c r="J383" s="122"/>
      <c r="K383" s="122"/>
    </row>
    <row r="384" spans="10:11" ht="14.25">
      <c r="J384" s="122"/>
      <c r="K384" s="122"/>
    </row>
    <row r="385" spans="10:11" ht="14.25">
      <c r="J385" s="122"/>
      <c r="K385" s="122"/>
    </row>
    <row r="386" spans="10:11" ht="14.25">
      <c r="J386" s="122"/>
      <c r="K386" s="122"/>
    </row>
    <row r="387" spans="10:11" ht="14.25">
      <c r="J387" s="122"/>
      <c r="K387" s="122"/>
    </row>
    <row r="388" spans="10:11" ht="14.25">
      <c r="J388" s="122"/>
      <c r="K388" s="122"/>
    </row>
    <row r="389" spans="10:11" ht="14.25">
      <c r="J389" s="122"/>
      <c r="K389" s="122"/>
    </row>
    <row r="390" spans="10:11" ht="14.25">
      <c r="J390" s="122"/>
      <c r="K390" s="122"/>
    </row>
    <row r="391" spans="10:11" ht="14.25">
      <c r="J391" s="122"/>
      <c r="K391" s="122"/>
    </row>
    <row r="392" spans="10:11" ht="14.25">
      <c r="J392" s="122"/>
      <c r="K392" s="122"/>
    </row>
    <row r="393" spans="10:11" ht="14.25">
      <c r="J393" s="122"/>
      <c r="K393" s="122"/>
    </row>
    <row r="394" spans="10:11" ht="14.25">
      <c r="J394" s="122"/>
      <c r="K394" s="122"/>
    </row>
    <row r="395" spans="10:11" ht="14.25">
      <c r="J395" s="122"/>
      <c r="K395" s="122"/>
    </row>
    <row r="396" spans="10:11" ht="14.25">
      <c r="J396" s="122"/>
      <c r="K396" s="122"/>
    </row>
    <row r="397" spans="10:11" ht="14.25">
      <c r="J397" s="122"/>
      <c r="K397" s="122"/>
    </row>
    <row r="398" spans="10:11" ht="14.25">
      <c r="J398" s="122"/>
      <c r="K398" s="122"/>
    </row>
    <row r="399" spans="10:11" ht="14.25">
      <c r="J399" s="122"/>
      <c r="K399" s="122"/>
    </row>
    <row r="400" spans="10:11" ht="14.25">
      <c r="J400" s="122"/>
      <c r="K400" s="122"/>
    </row>
    <row r="401" spans="10:11" ht="14.25">
      <c r="J401" s="122"/>
      <c r="K401" s="122"/>
    </row>
    <row r="402" spans="10:11" ht="14.25">
      <c r="J402" s="122"/>
      <c r="K402" s="122"/>
    </row>
    <row r="403" spans="10:11" ht="14.25">
      <c r="J403" s="122"/>
      <c r="K403" s="122"/>
    </row>
    <row r="404" spans="10:11" ht="14.25">
      <c r="J404" s="122"/>
      <c r="K404" s="122"/>
    </row>
    <row r="405" spans="10:11" ht="14.25">
      <c r="J405" s="122"/>
      <c r="K405" s="122"/>
    </row>
    <row r="406" spans="10:11" ht="14.25">
      <c r="J406" s="122"/>
      <c r="K406" s="122"/>
    </row>
    <row r="407" spans="10:11" ht="14.25">
      <c r="J407" s="122"/>
      <c r="K407" s="122"/>
    </row>
    <row r="408" spans="10:11" ht="14.25">
      <c r="J408" s="122"/>
      <c r="K408" s="122"/>
    </row>
    <row r="409" spans="10:11" ht="14.25">
      <c r="J409" s="122"/>
      <c r="K409" s="122"/>
    </row>
    <row r="410" spans="10:11" ht="14.25">
      <c r="J410" s="122"/>
      <c r="K410" s="122"/>
    </row>
    <row r="411" spans="10:11" ht="14.25">
      <c r="J411" s="122"/>
      <c r="K411" s="122"/>
    </row>
    <row r="412" spans="10:11" ht="14.25">
      <c r="J412" s="122"/>
      <c r="K412" s="122"/>
    </row>
    <row r="413" spans="10:11" ht="14.25">
      <c r="J413" s="122"/>
      <c r="K413" s="122"/>
    </row>
    <row r="414" spans="10:11" ht="14.25">
      <c r="J414" s="122"/>
      <c r="K414" s="122"/>
    </row>
    <row r="415" spans="10:11" ht="14.25">
      <c r="J415" s="122"/>
      <c r="K415" s="122"/>
    </row>
    <row r="416" spans="10:11" ht="14.25">
      <c r="J416" s="122"/>
      <c r="K416" s="122"/>
    </row>
    <row r="417" spans="10:11" ht="14.25">
      <c r="J417" s="122"/>
      <c r="K417" s="122"/>
    </row>
    <row r="418" spans="10:11" ht="14.25">
      <c r="J418" s="122"/>
      <c r="K418" s="122"/>
    </row>
    <row r="419" spans="10:11" ht="14.25">
      <c r="J419" s="122"/>
      <c r="K419" s="122"/>
    </row>
    <row r="420" spans="10:11" ht="14.25">
      <c r="J420" s="122"/>
      <c r="K420" s="122"/>
    </row>
    <row r="421" spans="10:11" ht="14.25">
      <c r="J421" s="122"/>
      <c r="K421" s="122"/>
    </row>
    <row r="422" spans="10:11" ht="14.25">
      <c r="J422" s="122"/>
      <c r="K422" s="122"/>
    </row>
    <row r="423" spans="10:11" ht="14.25">
      <c r="J423" s="122"/>
      <c r="K423" s="122"/>
    </row>
    <row r="424" spans="10:11" ht="14.25">
      <c r="J424" s="122"/>
      <c r="K424" s="122"/>
    </row>
    <row r="425" spans="10:11" ht="14.25">
      <c r="J425" s="122"/>
      <c r="K425" s="122"/>
    </row>
    <row r="426" spans="10:11" ht="14.25">
      <c r="J426" s="122"/>
      <c r="K426" s="122"/>
    </row>
    <row r="427" spans="10:11" ht="14.25">
      <c r="J427" s="122"/>
      <c r="K427" s="122"/>
    </row>
    <row r="428" spans="10:11" ht="14.25">
      <c r="J428" s="122"/>
      <c r="K428" s="122"/>
    </row>
    <row r="429" spans="10:11" ht="14.25">
      <c r="J429" s="122"/>
      <c r="K429" s="122"/>
    </row>
    <row r="430" spans="10:11" ht="14.25">
      <c r="J430" s="122"/>
      <c r="K430" s="122"/>
    </row>
    <row r="431" spans="10:11" ht="14.25">
      <c r="J431" s="122"/>
      <c r="K431" s="122"/>
    </row>
    <row r="432" spans="10:11" ht="14.25">
      <c r="J432" s="122"/>
      <c r="K432" s="122"/>
    </row>
    <row r="433" spans="10:11" ht="14.25">
      <c r="J433" s="122"/>
      <c r="K433" s="122"/>
    </row>
    <row r="434" spans="10:11" ht="14.25">
      <c r="J434" s="122"/>
      <c r="K434" s="122"/>
    </row>
    <row r="435" spans="10:11" ht="14.25">
      <c r="J435" s="122"/>
      <c r="K435" s="122"/>
    </row>
    <row r="436" spans="10:11" ht="14.25">
      <c r="J436" s="122"/>
      <c r="K436" s="122"/>
    </row>
    <row r="437" spans="10:11" ht="14.25">
      <c r="J437" s="122"/>
      <c r="K437" s="122"/>
    </row>
    <row r="438" spans="10:11" ht="14.25">
      <c r="J438" s="122"/>
      <c r="K438" s="122"/>
    </row>
    <row r="439" spans="10:11" ht="14.25">
      <c r="J439" s="122"/>
      <c r="K439" s="122"/>
    </row>
    <row r="440" spans="10:11" ht="14.25">
      <c r="J440" s="122"/>
      <c r="K440" s="122"/>
    </row>
    <row r="441" spans="10:11" ht="14.25">
      <c r="J441" s="122"/>
      <c r="K441" s="122"/>
    </row>
    <row r="442" spans="10:11" ht="14.25">
      <c r="J442" s="122"/>
      <c r="K442" s="122"/>
    </row>
    <row r="443" spans="10:11" ht="14.25">
      <c r="J443" s="122"/>
      <c r="K443" s="122"/>
    </row>
    <row r="444" spans="10:11" ht="14.25">
      <c r="J444" s="122"/>
      <c r="K444" s="122"/>
    </row>
    <row r="445" spans="10:11" ht="14.25">
      <c r="J445" s="122"/>
      <c r="K445" s="122"/>
    </row>
    <row r="446" spans="10:11" ht="14.25">
      <c r="J446" s="122"/>
      <c r="K446" s="122"/>
    </row>
    <row r="447" spans="10:11" ht="14.25">
      <c r="J447" s="122"/>
      <c r="K447" s="122"/>
    </row>
    <row r="448" spans="10:11" ht="14.25">
      <c r="J448" s="122"/>
      <c r="K448" s="122"/>
    </row>
    <row r="449" spans="10:11" ht="14.25">
      <c r="J449" s="122"/>
      <c r="K449" s="122"/>
    </row>
    <row r="450" spans="10:11" ht="14.25">
      <c r="J450" s="122"/>
      <c r="K450" s="122"/>
    </row>
    <row r="451" spans="10:11" ht="14.25">
      <c r="J451" s="122"/>
      <c r="K451" s="122"/>
    </row>
    <row r="452" spans="10:11" ht="14.25">
      <c r="J452" s="122"/>
      <c r="K452" s="122"/>
    </row>
    <row r="453" spans="10:11" ht="14.25">
      <c r="J453" s="122"/>
      <c r="K453" s="122"/>
    </row>
    <row r="454" spans="10:11" ht="14.25">
      <c r="J454" s="122"/>
      <c r="K454" s="122"/>
    </row>
    <row r="455" spans="10:11" ht="14.25">
      <c r="J455" s="122"/>
      <c r="K455" s="122"/>
    </row>
    <row r="456" spans="10:11" ht="14.25">
      <c r="J456" s="122"/>
      <c r="K456" s="122"/>
    </row>
    <row r="457" spans="10:11" ht="14.25">
      <c r="J457" s="122"/>
      <c r="K457" s="122"/>
    </row>
    <row r="458" spans="10:11" ht="14.25">
      <c r="J458" s="122"/>
      <c r="K458" s="122"/>
    </row>
    <row r="459" spans="10:11" ht="14.25">
      <c r="J459" s="122"/>
      <c r="K459" s="122"/>
    </row>
    <row r="460" spans="10:11" ht="14.25">
      <c r="J460" s="122"/>
      <c r="K460" s="122"/>
    </row>
    <row r="461" spans="10:11" ht="14.25">
      <c r="J461" s="122"/>
      <c r="K461" s="122"/>
    </row>
    <row r="462" spans="10:11" ht="14.25">
      <c r="J462" s="122"/>
      <c r="K462" s="122"/>
    </row>
    <row r="463" spans="10:11" ht="14.25">
      <c r="J463" s="122"/>
      <c r="K463" s="122"/>
    </row>
    <row r="464" spans="10:11" ht="14.25">
      <c r="J464" s="122"/>
      <c r="K464" s="122"/>
    </row>
    <row r="465" spans="10:11" ht="14.25">
      <c r="J465" s="122"/>
      <c r="K465" s="122"/>
    </row>
    <row r="466" spans="10:11" ht="14.25">
      <c r="J466" s="122"/>
      <c r="K466" s="122"/>
    </row>
    <row r="467" spans="10:11" ht="14.25">
      <c r="J467" s="122"/>
      <c r="K467" s="122"/>
    </row>
    <row r="468" spans="10:11" ht="14.25">
      <c r="J468" s="122"/>
      <c r="K468" s="122"/>
    </row>
    <row r="469" spans="10:11" ht="14.25">
      <c r="J469" s="122"/>
      <c r="K469" s="122"/>
    </row>
    <row r="470" spans="10:11" ht="14.25">
      <c r="J470" s="122"/>
      <c r="K470" s="122"/>
    </row>
    <row r="471" spans="10:11" ht="14.25">
      <c r="J471" s="122"/>
      <c r="K471" s="122"/>
    </row>
    <row r="472" spans="10:11" ht="14.25">
      <c r="J472" s="122"/>
      <c r="K472" s="122"/>
    </row>
    <row r="473" spans="10:11" ht="14.25">
      <c r="J473" s="122"/>
      <c r="K473" s="122"/>
    </row>
    <row r="474" spans="10:11" ht="14.25">
      <c r="J474" s="122"/>
      <c r="K474" s="122"/>
    </row>
    <row r="475" spans="10:11" ht="14.25">
      <c r="J475" s="122"/>
      <c r="K475" s="122"/>
    </row>
    <row r="476" spans="10:11" ht="14.25">
      <c r="J476" s="122"/>
      <c r="K476" s="122"/>
    </row>
    <row r="477" spans="10:11" ht="14.25">
      <c r="J477" s="122"/>
      <c r="K477" s="122"/>
    </row>
    <row r="478" spans="10:11" ht="14.25">
      <c r="J478" s="122"/>
      <c r="K478" s="122"/>
    </row>
    <row r="479" spans="10:11" ht="14.25">
      <c r="J479" s="122"/>
      <c r="K479" s="122"/>
    </row>
    <row r="480" spans="10:11" ht="14.25">
      <c r="J480" s="122"/>
      <c r="K480" s="122"/>
    </row>
    <row r="481" spans="10:11" ht="14.25">
      <c r="J481" s="122"/>
      <c r="K481" s="122"/>
    </row>
    <row r="482" spans="10:11" ht="14.25">
      <c r="J482" s="122"/>
      <c r="K482" s="122"/>
    </row>
    <row r="483" spans="10:11" ht="14.25">
      <c r="J483" s="122"/>
      <c r="K483" s="122"/>
    </row>
    <row r="484" spans="10:11" ht="14.25">
      <c r="J484" s="122"/>
      <c r="K484" s="122"/>
    </row>
    <row r="485" spans="10:11" ht="14.25">
      <c r="J485" s="122"/>
      <c r="K485" s="122"/>
    </row>
    <row r="486" spans="10:11" ht="14.25">
      <c r="J486" s="122"/>
      <c r="K486" s="122"/>
    </row>
    <row r="487" spans="10:11" ht="14.25">
      <c r="J487" s="122"/>
      <c r="K487" s="122"/>
    </row>
    <row r="488" spans="10:11" ht="14.25">
      <c r="J488" s="122"/>
      <c r="K488" s="122"/>
    </row>
    <row r="489" spans="10:11" ht="14.25">
      <c r="J489" s="122"/>
      <c r="K489" s="122"/>
    </row>
    <row r="490" spans="10:11" ht="14.25">
      <c r="J490" s="122"/>
      <c r="K490" s="122"/>
    </row>
    <row r="491" spans="10:11" ht="14.25">
      <c r="J491" s="122"/>
      <c r="K491" s="122"/>
    </row>
    <row r="492" spans="10:11" ht="14.25">
      <c r="J492" s="122"/>
      <c r="K492" s="122"/>
    </row>
    <row r="493" spans="10:11" ht="14.25">
      <c r="J493" s="122"/>
      <c r="K493" s="122"/>
    </row>
    <row r="494" spans="10:11" ht="14.25">
      <c r="J494" s="122"/>
      <c r="K494" s="122"/>
    </row>
    <row r="495" spans="10:11" ht="14.25">
      <c r="J495" s="122"/>
      <c r="K495" s="122"/>
    </row>
    <row r="496" spans="10:11" ht="14.25">
      <c r="J496" s="122"/>
      <c r="K496" s="122"/>
    </row>
    <row r="497" spans="10:11" ht="14.25">
      <c r="J497" s="122"/>
      <c r="K497" s="122"/>
    </row>
    <row r="498" spans="10:11" ht="14.25">
      <c r="J498" s="122"/>
      <c r="K498" s="122"/>
    </row>
    <row r="499" spans="10:11" ht="14.25">
      <c r="J499" s="122"/>
      <c r="K499" s="122"/>
    </row>
    <row r="500" spans="10:11" ht="14.25">
      <c r="J500" s="122"/>
      <c r="K500" s="122"/>
    </row>
    <row r="501" spans="10:11" ht="14.25">
      <c r="J501" s="122"/>
      <c r="K501" s="122"/>
    </row>
    <row r="502" spans="10:11" ht="14.25">
      <c r="J502" s="122"/>
      <c r="K502" s="122"/>
    </row>
    <row r="503" spans="10:11" ht="14.25">
      <c r="J503" s="122"/>
      <c r="K503" s="122"/>
    </row>
    <row r="504" spans="10:11" ht="14.25">
      <c r="J504" s="122"/>
      <c r="K504" s="122"/>
    </row>
    <row r="505" spans="10:11" ht="14.25">
      <c r="J505" s="122"/>
      <c r="K505" s="122"/>
    </row>
    <row r="506" spans="10:11" ht="14.25">
      <c r="J506" s="122"/>
      <c r="K506" s="122"/>
    </row>
    <row r="507" spans="10:11" ht="14.25">
      <c r="J507" s="122"/>
      <c r="K507" s="122"/>
    </row>
    <row r="508" spans="10:11" ht="14.25">
      <c r="J508" s="122"/>
      <c r="K508" s="122"/>
    </row>
    <row r="509" spans="10:11" ht="14.25">
      <c r="J509" s="122"/>
      <c r="K509" s="122"/>
    </row>
    <row r="510" spans="10:11" ht="14.25">
      <c r="J510" s="122"/>
      <c r="K510" s="122"/>
    </row>
    <row r="511" spans="10:11" ht="14.25">
      <c r="J511" s="122"/>
      <c r="K511" s="122"/>
    </row>
    <row r="512" spans="10:11" ht="14.25">
      <c r="J512" s="122"/>
      <c r="K512" s="122"/>
    </row>
    <row r="513" spans="10:11" ht="14.25">
      <c r="J513" s="122"/>
      <c r="K513" s="122"/>
    </row>
    <row r="514" spans="10:11" ht="14.25">
      <c r="J514" s="122"/>
      <c r="K514" s="122"/>
    </row>
    <row r="515" spans="10:11" ht="14.25">
      <c r="J515" s="122"/>
      <c r="K515" s="122"/>
    </row>
    <row r="516" spans="10:11" ht="14.25">
      <c r="J516" s="122"/>
      <c r="K516" s="122"/>
    </row>
    <row r="517" spans="10:11" ht="14.25">
      <c r="J517" s="122"/>
      <c r="K517" s="122"/>
    </row>
    <row r="518" spans="10:11" ht="14.25">
      <c r="J518" s="122"/>
      <c r="K518" s="122"/>
    </row>
    <row r="519" spans="10:11" ht="14.25">
      <c r="J519" s="122"/>
      <c r="K519" s="122"/>
    </row>
    <row r="520" spans="10:11" ht="14.25">
      <c r="J520" s="122"/>
      <c r="K520" s="122"/>
    </row>
    <row r="521" spans="10:11" ht="14.25">
      <c r="J521" s="122"/>
      <c r="K521" s="122"/>
    </row>
    <row r="522" spans="10:11" ht="14.25">
      <c r="J522" s="122"/>
      <c r="K522" s="122"/>
    </row>
    <row r="523" spans="10:11" ht="14.25">
      <c r="J523" s="122"/>
      <c r="K523" s="122"/>
    </row>
    <row r="524" spans="10:11" ht="14.25">
      <c r="J524" s="122"/>
      <c r="K524" s="122"/>
    </row>
    <row r="525" spans="10:11" ht="14.25">
      <c r="J525" s="122"/>
      <c r="K525" s="122"/>
    </row>
    <row r="526" spans="10:11" ht="14.25">
      <c r="J526" s="122"/>
      <c r="K526" s="122"/>
    </row>
    <row r="527" spans="10:11" ht="14.25">
      <c r="J527" s="122"/>
      <c r="K527" s="122"/>
    </row>
    <row r="528" spans="10:11" ht="14.25">
      <c r="J528" s="122"/>
      <c r="K528" s="122"/>
    </row>
    <row r="529" spans="10:11" ht="14.25">
      <c r="J529" s="122"/>
      <c r="K529" s="122"/>
    </row>
    <row r="530" spans="10:11" ht="14.25">
      <c r="J530" s="122"/>
      <c r="K530" s="122"/>
    </row>
    <row r="531" spans="10:11" ht="14.25">
      <c r="J531" s="122"/>
      <c r="K531" s="122"/>
    </row>
    <row r="532" spans="10:11" ht="14.25">
      <c r="J532" s="122"/>
      <c r="K532" s="122"/>
    </row>
    <row r="533" spans="10:11" ht="14.25">
      <c r="J533" s="122"/>
      <c r="K533" s="122"/>
    </row>
    <row r="534" spans="10:11" ht="14.25">
      <c r="J534" s="122"/>
      <c r="K534" s="122"/>
    </row>
    <row r="535" spans="10:11" ht="14.25">
      <c r="J535" s="122"/>
      <c r="K535" s="122"/>
    </row>
    <row r="536" spans="10:11" ht="14.25">
      <c r="J536" s="122"/>
      <c r="K536" s="122"/>
    </row>
    <row r="537" spans="10:11" ht="14.25">
      <c r="J537" s="122"/>
      <c r="K537" s="122"/>
    </row>
    <row r="538" spans="10:11" ht="14.25">
      <c r="J538" s="122"/>
      <c r="K538" s="122"/>
    </row>
    <row r="539" spans="10:11" ht="14.25">
      <c r="J539" s="122"/>
      <c r="K539" s="122"/>
    </row>
    <row r="540" spans="10:11" ht="14.25">
      <c r="J540" s="122"/>
      <c r="K540" s="122"/>
    </row>
    <row r="541" spans="10:11" ht="14.25">
      <c r="J541" s="122"/>
      <c r="K541" s="122"/>
    </row>
    <row r="542" spans="10:11" ht="14.25">
      <c r="J542" s="122"/>
      <c r="K542" s="122"/>
    </row>
    <row r="543" spans="10:11" ht="14.25">
      <c r="J543" s="122"/>
      <c r="K543" s="122"/>
    </row>
    <row r="544" spans="10:11" ht="14.25">
      <c r="J544" s="122"/>
      <c r="K544" s="122"/>
    </row>
    <row r="545" spans="10:11" ht="14.25">
      <c r="J545" s="122"/>
      <c r="K545" s="122"/>
    </row>
    <row r="546" spans="10:11" ht="14.25">
      <c r="J546" s="122"/>
      <c r="K546" s="122"/>
    </row>
    <row r="547" spans="10:11" ht="14.25">
      <c r="J547" s="122"/>
      <c r="K547" s="122"/>
    </row>
    <row r="548" spans="10:11" ht="14.25">
      <c r="J548" s="122"/>
      <c r="K548" s="122"/>
    </row>
    <row r="549" spans="10:11" ht="14.25">
      <c r="J549" s="122"/>
      <c r="K549" s="122"/>
    </row>
    <row r="550" spans="10:11" ht="14.25">
      <c r="J550" s="122"/>
      <c r="K550" s="122"/>
    </row>
    <row r="551" spans="10:11" ht="14.25">
      <c r="J551" s="122"/>
      <c r="K551" s="122"/>
    </row>
    <row r="552" spans="10:11" ht="14.25">
      <c r="J552" s="122"/>
      <c r="K552" s="122"/>
    </row>
    <row r="553" spans="10:11" ht="14.25">
      <c r="J553" s="122"/>
      <c r="K553" s="122"/>
    </row>
    <row r="554" spans="10:11" ht="14.25">
      <c r="J554" s="122"/>
      <c r="K554" s="122"/>
    </row>
    <row r="555" spans="10:11" ht="14.25">
      <c r="J555" s="122"/>
      <c r="K555" s="122"/>
    </row>
    <row r="556" spans="10:11" ht="14.25">
      <c r="J556" s="122"/>
      <c r="K556" s="122"/>
    </row>
    <row r="557" spans="10:11" ht="14.25">
      <c r="J557" s="122"/>
      <c r="K557" s="122"/>
    </row>
    <row r="558" spans="10:11" ht="14.25">
      <c r="J558" s="122"/>
      <c r="K558" s="122"/>
    </row>
    <row r="559" spans="10:11" ht="14.25">
      <c r="J559" s="122"/>
      <c r="K559" s="122"/>
    </row>
    <row r="560" spans="10:11" ht="14.25">
      <c r="J560" s="122"/>
      <c r="K560" s="122"/>
    </row>
    <row r="561" spans="10:11" ht="14.25">
      <c r="J561" s="122"/>
      <c r="K561" s="122"/>
    </row>
    <row r="562" spans="10:11" ht="14.25">
      <c r="J562" s="122"/>
      <c r="K562" s="122"/>
    </row>
    <row r="563" spans="10:11" ht="14.25">
      <c r="J563" s="122"/>
      <c r="K563" s="122"/>
    </row>
    <row r="564" spans="10:11" ht="14.25">
      <c r="J564" s="122"/>
      <c r="K564" s="122"/>
    </row>
    <row r="565" spans="10:11" ht="14.25">
      <c r="J565" s="122"/>
      <c r="K565" s="122"/>
    </row>
    <row r="566" spans="10:11" ht="14.25">
      <c r="J566" s="122"/>
      <c r="K566" s="122"/>
    </row>
    <row r="567" spans="10:11" ht="14.25">
      <c r="J567" s="122"/>
      <c r="K567" s="122"/>
    </row>
    <row r="568" spans="10:11" ht="14.25">
      <c r="J568" s="122"/>
      <c r="K568" s="122"/>
    </row>
    <row r="569" spans="10:11" ht="14.25">
      <c r="J569" s="122"/>
      <c r="K569" s="122"/>
    </row>
    <row r="570" spans="10:11" ht="14.25">
      <c r="J570" s="122"/>
      <c r="K570" s="122"/>
    </row>
    <row r="571" spans="10:11" ht="14.25">
      <c r="J571" s="122"/>
      <c r="K571" s="122"/>
    </row>
    <row r="572" spans="10:11" ht="14.25">
      <c r="J572" s="122"/>
      <c r="K572" s="122"/>
    </row>
    <row r="573" spans="10:11" ht="14.25">
      <c r="J573" s="122"/>
      <c r="K573" s="122"/>
    </row>
    <row r="574" spans="10:11" ht="14.25">
      <c r="J574" s="122"/>
      <c r="K574" s="122"/>
    </row>
    <row r="575" spans="10:11" ht="14.25">
      <c r="J575" s="122"/>
      <c r="K575" s="122"/>
    </row>
    <row r="576" spans="10:11" ht="14.25">
      <c r="J576" s="122"/>
      <c r="K576" s="122"/>
    </row>
    <row r="577" spans="10:11" ht="14.25">
      <c r="J577" s="122"/>
      <c r="K577" s="122"/>
    </row>
    <row r="578" spans="10:11" ht="14.25">
      <c r="J578" s="122"/>
      <c r="K578" s="122"/>
    </row>
    <row r="579" spans="10:11" ht="14.25">
      <c r="J579" s="122"/>
      <c r="K579" s="122"/>
    </row>
    <row r="580" spans="10:11" ht="14.25">
      <c r="J580" s="122"/>
      <c r="K580" s="122"/>
    </row>
    <row r="581" spans="10:11" ht="14.25">
      <c r="J581" s="122"/>
      <c r="K581" s="122"/>
    </row>
    <row r="582" spans="10:11" ht="14.25">
      <c r="J582" s="122"/>
      <c r="K582" s="122"/>
    </row>
    <row r="583" spans="10:11" ht="14.25">
      <c r="J583" s="122"/>
      <c r="K583" s="122"/>
    </row>
    <row r="584" spans="10:11" ht="14.25">
      <c r="J584" s="122"/>
      <c r="K584" s="122"/>
    </row>
    <row r="585" spans="10:11" ht="14.25">
      <c r="J585" s="122"/>
      <c r="K585" s="122"/>
    </row>
    <row r="586" spans="10:11" ht="14.25">
      <c r="J586" s="122"/>
      <c r="K586" s="122"/>
    </row>
    <row r="587" spans="10:11" ht="14.25">
      <c r="J587" s="122"/>
      <c r="K587" s="122"/>
    </row>
    <row r="588" spans="10:11" ht="14.25">
      <c r="J588" s="122"/>
      <c r="K588" s="122"/>
    </row>
    <row r="589" spans="10:11" ht="14.25">
      <c r="J589" s="122"/>
      <c r="K589" s="122"/>
    </row>
    <row r="590" spans="10:11" ht="14.25">
      <c r="J590" s="122"/>
      <c r="K590" s="122"/>
    </row>
    <row r="591" spans="10:11" ht="14.25">
      <c r="J591" s="122"/>
      <c r="K591" s="122"/>
    </row>
    <row r="592" spans="10:11" ht="14.25">
      <c r="J592" s="122"/>
      <c r="K592" s="122"/>
    </row>
    <row r="593" spans="10:11" ht="14.25">
      <c r="J593" s="122"/>
      <c r="K593" s="122"/>
    </row>
    <row r="594" spans="10:11" ht="14.25">
      <c r="J594" s="122"/>
      <c r="K594" s="122"/>
    </row>
    <row r="595" spans="10:11" ht="14.25">
      <c r="J595" s="122"/>
      <c r="K595" s="122"/>
    </row>
    <row r="596" spans="10:11" ht="14.25">
      <c r="J596" s="122"/>
      <c r="K596" s="122"/>
    </row>
    <row r="597" spans="10:11" ht="14.25">
      <c r="J597" s="122"/>
      <c r="K597" s="122"/>
    </row>
    <row r="598" spans="10:11" ht="14.25">
      <c r="J598" s="122"/>
      <c r="K598" s="122"/>
    </row>
    <row r="599" spans="10:11" ht="14.25">
      <c r="J599" s="122"/>
      <c r="K599" s="122"/>
    </row>
    <row r="600" spans="10:11" ht="14.25">
      <c r="J600" s="122"/>
      <c r="K600" s="122"/>
    </row>
    <row r="601" spans="10:11" ht="14.25">
      <c r="J601" s="122"/>
      <c r="K601" s="122"/>
    </row>
    <row r="602" spans="10:11" ht="14.25">
      <c r="J602" s="122"/>
      <c r="K602" s="122"/>
    </row>
    <row r="603" spans="10:11" ht="14.25">
      <c r="J603" s="122"/>
      <c r="K603" s="122"/>
    </row>
    <row r="604" spans="10:11" ht="14.25">
      <c r="J604" s="122"/>
      <c r="K604" s="122"/>
    </row>
    <row r="605" spans="10:11" ht="14.25">
      <c r="J605" s="122"/>
      <c r="K605" s="122"/>
    </row>
    <row r="606" spans="10:11" ht="14.25">
      <c r="J606" s="122"/>
      <c r="K606" s="122"/>
    </row>
    <row r="607" spans="10:11" ht="14.25">
      <c r="J607" s="122"/>
      <c r="K607" s="122"/>
    </row>
    <row r="608" spans="10:11" ht="14.25">
      <c r="J608" s="122"/>
      <c r="K608" s="122"/>
    </row>
    <row r="609" spans="10:11" ht="14.25">
      <c r="J609" s="122"/>
      <c r="K609" s="122"/>
    </row>
    <row r="610" spans="10:11" ht="14.25">
      <c r="J610" s="122"/>
      <c r="K610" s="122"/>
    </row>
    <row r="611" spans="10:11" ht="14.25">
      <c r="J611" s="122"/>
      <c r="K611" s="122"/>
    </row>
    <row r="612" spans="10:11" ht="14.25">
      <c r="J612" s="122"/>
      <c r="K612" s="122"/>
    </row>
    <row r="613" spans="10:11" ht="14.25">
      <c r="J613" s="122"/>
      <c r="K613" s="122"/>
    </row>
    <row r="614" spans="10:11" ht="14.25">
      <c r="J614" s="122"/>
      <c r="K614" s="122"/>
    </row>
    <row r="615" spans="10:11" ht="14.25">
      <c r="J615" s="122"/>
      <c r="K615" s="122"/>
    </row>
    <row r="616" spans="10:11" ht="14.25">
      <c r="J616" s="122"/>
      <c r="K616" s="122"/>
    </row>
    <row r="617" spans="10:11" ht="14.25">
      <c r="J617" s="122"/>
      <c r="K617" s="122"/>
    </row>
    <row r="618" spans="10:11" ht="14.25">
      <c r="J618" s="122"/>
      <c r="K618" s="122"/>
    </row>
    <row r="619" spans="10:11" ht="14.25">
      <c r="J619" s="122"/>
      <c r="K619" s="122"/>
    </row>
    <row r="620" spans="10:11" ht="14.25">
      <c r="J620" s="122"/>
      <c r="K620" s="122"/>
    </row>
    <row r="621" spans="10:11" ht="14.25">
      <c r="J621" s="122"/>
      <c r="K621" s="122"/>
    </row>
    <row r="622" spans="10:11" ht="14.25">
      <c r="J622" s="122"/>
      <c r="K622" s="122"/>
    </row>
    <row r="623" spans="10:11" ht="14.25">
      <c r="J623" s="122"/>
      <c r="K623" s="122"/>
    </row>
    <row r="624" spans="10:11" ht="14.25">
      <c r="J624" s="122"/>
      <c r="K624" s="122"/>
    </row>
    <row r="625" spans="10:11" ht="14.25">
      <c r="J625" s="122"/>
      <c r="K625" s="122"/>
    </row>
    <row r="626" spans="10:11" ht="14.25">
      <c r="J626" s="122"/>
      <c r="K626" s="122"/>
    </row>
    <row r="627" spans="10:11" ht="14.25">
      <c r="J627" s="122"/>
      <c r="K627" s="122"/>
    </row>
    <row r="628" spans="10:11" ht="14.25">
      <c r="J628" s="122"/>
      <c r="K628" s="122"/>
    </row>
    <row r="629" spans="10:11" ht="14.25">
      <c r="J629" s="122"/>
      <c r="K629" s="122"/>
    </row>
    <row r="630" spans="10:11" ht="14.25">
      <c r="J630" s="122"/>
      <c r="K630" s="122"/>
    </row>
    <row r="631" spans="10:11" ht="14.25">
      <c r="J631" s="122"/>
      <c r="K631" s="122"/>
    </row>
    <row r="632" spans="10:11" ht="14.25">
      <c r="J632" s="122"/>
      <c r="K632" s="122"/>
    </row>
    <row r="633" spans="10:11" ht="14.25">
      <c r="J633" s="122"/>
      <c r="K633" s="122"/>
    </row>
    <row r="634" spans="10:11" ht="14.25">
      <c r="J634" s="122"/>
      <c r="K634" s="122"/>
    </row>
    <row r="635" spans="10:11" ht="14.25">
      <c r="J635" s="122"/>
      <c r="K635" s="122"/>
    </row>
    <row r="636" spans="10:11" ht="14.25">
      <c r="J636" s="122"/>
      <c r="K636" s="122"/>
    </row>
    <row r="637" spans="10:11" ht="14.25">
      <c r="J637" s="122"/>
      <c r="K637" s="122"/>
    </row>
    <row r="638" spans="10:11" ht="14.25">
      <c r="J638" s="122"/>
      <c r="K638" s="122"/>
    </row>
    <row r="639" spans="10:11" ht="14.25">
      <c r="J639" s="122"/>
      <c r="K639" s="122"/>
    </row>
    <row r="640" spans="10:11" ht="14.25">
      <c r="J640" s="122"/>
      <c r="K640" s="122"/>
    </row>
    <row r="641" spans="10:11" ht="14.25">
      <c r="J641" s="122"/>
      <c r="K641" s="122"/>
    </row>
    <row r="642" spans="10:11" ht="14.25">
      <c r="J642" s="122"/>
      <c r="K642" s="122"/>
    </row>
    <row r="643" spans="10:11" ht="14.25">
      <c r="J643" s="122"/>
      <c r="K643" s="122"/>
    </row>
    <row r="644" spans="10:11" ht="14.25">
      <c r="J644" s="122"/>
      <c r="K644" s="122"/>
    </row>
    <row r="645" spans="10:11" ht="14.25">
      <c r="J645" s="122"/>
      <c r="K645" s="122"/>
    </row>
    <row r="646" spans="10:11" ht="14.25">
      <c r="J646" s="122"/>
      <c r="K646" s="122"/>
    </row>
    <row r="647" spans="10:11" ht="14.25">
      <c r="J647" s="122"/>
      <c r="K647" s="122"/>
    </row>
    <row r="648" spans="10:11" ht="14.25">
      <c r="J648" s="122"/>
      <c r="K648" s="122"/>
    </row>
    <row r="649" spans="10:11" ht="14.25">
      <c r="J649" s="122"/>
      <c r="K649" s="122"/>
    </row>
    <row r="650" spans="10:11" ht="14.25">
      <c r="J650" s="122"/>
      <c r="K650" s="122"/>
    </row>
    <row r="651" spans="10:11" ht="14.25">
      <c r="J651" s="122"/>
      <c r="K651" s="122"/>
    </row>
    <row r="652" spans="10:11" ht="14.25">
      <c r="J652" s="122"/>
      <c r="K652" s="122"/>
    </row>
    <row r="653" spans="10:11" ht="14.25">
      <c r="J653" s="122"/>
      <c r="K653" s="122"/>
    </row>
    <row r="654" spans="10:11" ht="14.25">
      <c r="J654" s="122"/>
      <c r="K654" s="122"/>
    </row>
    <row r="655" spans="10:11" ht="14.25">
      <c r="J655" s="122"/>
      <c r="K655" s="122"/>
    </row>
    <row r="656" spans="10:11" ht="14.25">
      <c r="J656" s="122"/>
      <c r="K656" s="122"/>
    </row>
    <row r="657" spans="10:11" ht="14.25">
      <c r="J657" s="122"/>
      <c r="K657" s="122"/>
    </row>
    <row r="658" spans="10:11" ht="14.25">
      <c r="J658" s="122"/>
      <c r="K658" s="122"/>
    </row>
    <row r="659" spans="10:11" ht="14.25">
      <c r="J659" s="122"/>
      <c r="K659" s="122"/>
    </row>
    <row r="660" spans="10:11" ht="14.25">
      <c r="J660" s="122"/>
      <c r="K660" s="122"/>
    </row>
    <row r="661" spans="10:11" ht="14.25">
      <c r="J661" s="122"/>
      <c r="K661" s="122"/>
    </row>
    <row r="662" spans="10:11" ht="14.25">
      <c r="J662" s="122"/>
      <c r="K662" s="122"/>
    </row>
    <row r="663" spans="10:11" ht="14.25">
      <c r="J663" s="122"/>
      <c r="K663" s="122"/>
    </row>
    <row r="664" spans="10:11" ht="14.25">
      <c r="J664" s="122"/>
      <c r="K664" s="122"/>
    </row>
    <row r="665" spans="10:11" ht="14.25">
      <c r="J665" s="122"/>
      <c r="K665" s="122"/>
    </row>
    <row r="666" spans="10:11" ht="14.25">
      <c r="J666" s="122"/>
      <c r="K666" s="122"/>
    </row>
    <row r="667" spans="10:11" ht="14.25">
      <c r="J667" s="122"/>
      <c r="K667" s="122"/>
    </row>
    <row r="668" spans="10:11" ht="14.25">
      <c r="J668" s="122"/>
      <c r="K668" s="122"/>
    </row>
    <row r="669" spans="10:11" ht="14.25">
      <c r="J669" s="122"/>
      <c r="K669" s="122"/>
    </row>
    <row r="670" spans="10:11" ht="14.25">
      <c r="J670" s="122"/>
      <c r="K670" s="122"/>
    </row>
    <row r="671" spans="10:11" ht="14.25">
      <c r="J671" s="122"/>
      <c r="K671" s="122"/>
    </row>
    <row r="672" spans="10:11" ht="14.25">
      <c r="J672" s="122"/>
      <c r="K672" s="122"/>
    </row>
    <row r="673" spans="10:11" ht="14.25">
      <c r="J673" s="122"/>
      <c r="K673" s="122"/>
    </row>
    <row r="674" spans="10:11" ht="14.25">
      <c r="J674" s="122"/>
      <c r="K674" s="122"/>
    </row>
    <row r="675" spans="10:11" ht="14.25">
      <c r="J675" s="122"/>
      <c r="K675" s="122"/>
    </row>
    <row r="676" spans="10:11" ht="14.25">
      <c r="J676" s="122"/>
      <c r="K676" s="122"/>
    </row>
    <row r="677" spans="10:11" ht="14.25">
      <c r="J677" s="122"/>
      <c r="K677" s="122"/>
    </row>
    <row r="678" spans="10:11" ht="14.25">
      <c r="J678" s="122"/>
      <c r="K678" s="122"/>
    </row>
    <row r="679" spans="10:11" ht="14.25">
      <c r="J679" s="122"/>
      <c r="K679" s="122"/>
    </row>
    <row r="680" spans="10:11" ht="14.25">
      <c r="J680" s="122"/>
      <c r="K680" s="122"/>
    </row>
    <row r="681" spans="10:11" ht="14.25">
      <c r="J681" s="122"/>
      <c r="K681" s="122"/>
    </row>
    <row r="682" spans="10:11" ht="14.25">
      <c r="J682" s="122"/>
      <c r="K682" s="122"/>
    </row>
    <row r="683" spans="10:11" ht="14.25">
      <c r="J683" s="122"/>
      <c r="K683" s="122"/>
    </row>
    <row r="684" spans="10:11" ht="14.25">
      <c r="J684" s="122"/>
      <c r="K684" s="122"/>
    </row>
    <row r="685" spans="10:11" ht="14.25">
      <c r="J685" s="122"/>
      <c r="K685" s="122"/>
    </row>
    <row r="686" spans="10:11" ht="14.25">
      <c r="J686" s="122"/>
      <c r="K686" s="122"/>
    </row>
    <row r="687" spans="10:11" ht="14.25">
      <c r="J687" s="122"/>
      <c r="K687" s="122"/>
    </row>
    <row r="688" spans="10:11" ht="14.25">
      <c r="J688" s="122"/>
      <c r="K688" s="122"/>
    </row>
    <row r="689" spans="10:11" ht="14.25">
      <c r="J689" s="122"/>
      <c r="K689" s="122"/>
    </row>
    <row r="690" spans="10:11" ht="14.25">
      <c r="J690" s="122"/>
      <c r="K690" s="122"/>
    </row>
    <row r="691" spans="10:11" ht="14.25">
      <c r="J691" s="122"/>
      <c r="K691" s="122"/>
    </row>
    <row r="692" spans="10:11" ht="14.25">
      <c r="J692" s="122"/>
      <c r="K692" s="122"/>
    </row>
    <row r="693" spans="10:11" ht="14.25">
      <c r="J693" s="122"/>
      <c r="K693" s="122"/>
    </row>
    <row r="694" spans="10:11" ht="14.25">
      <c r="J694" s="122"/>
      <c r="K694" s="122"/>
    </row>
    <row r="695" spans="10:11" ht="14.25">
      <c r="J695" s="122"/>
      <c r="K695" s="122"/>
    </row>
    <row r="696" spans="10:11" ht="14.25">
      <c r="J696" s="122"/>
      <c r="K696" s="122"/>
    </row>
    <row r="697" spans="10:11" ht="14.25">
      <c r="J697" s="122"/>
      <c r="K697" s="122"/>
    </row>
    <row r="698" spans="10:11" ht="14.25">
      <c r="J698" s="122"/>
      <c r="K698" s="122"/>
    </row>
    <row r="699" spans="10:11" ht="14.25">
      <c r="J699" s="122"/>
      <c r="K699" s="122"/>
    </row>
    <row r="700" spans="10:11" ht="14.25">
      <c r="J700" s="122"/>
      <c r="K700" s="122"/>
    </row>
    <row r="701" spans="10:11" ht="14.25">
      <c r="J701" s="122"/>
      <c r="K701" s="122"/>
    </row>
    <row r="702" spans="10:11" ht="14.25">
      <c r="J702" s="122"/>
      <c r="K702" s="122"/>
    </row>
    <row r="703" spans="10:11" ht="14.25">
      <c r="J703" s="122"/>
      <c r="K703" s="122"/>
    </row>
    <row r="704" spans="10:11" ht="14.25">
      <c r="J704" s="122"/>
      <c r="K704" s="122"/>
    </row>
    <row r="705" spans="10:11" ht="14.25">
      <c r="J705" s="122"/>
      <c r="K705" s="122"/>
    </row>
    <row r="706" spans="10:11" ht="14.25">
      <c r="J706" s="122"/>
      <c r="K706" s="122"/>
    </row>
    <row r="707" spans="10:11" ht="14.25">
      <c r="J707" s="122"/>
      <c r="K707" s="122"/>
    </row>
    <row r="708" spans="10:11" ht="14.25">
      <c r="J708" s="122"/>
      <c r="K708" s="122"/>
    </row>
    <row r="709" spans="10:11" ht="14.25">
      <c r="J709" s="122"/>
      <c r="K709" s="122"/>
    </row>
    <row r="710" spans="10:11" ht="14.25">
      <c r="J710" s="122"/>
      <c r="K710" s="122"/>
    </row>
    <row r="711" spans="10:11" ht="14.25">
      <c r="J711" s="122"/>
      <c r="K711" s="122"/>
    </row>
    <row r="712" spans="10:11" ht="14.25">
      <c r="J712" s="122"/>
      <c r="K712" s="122"/>
    </row>
    <row r="713" spans="10:11" ht="14.25">
      <c r="J713" s="122"/>
      <c r="K713" s="122"/>
    </row>
    <row r="714" spans="10:11" ht="14.25">
      <c r="J714" s="122"/>
      <c r="K714" s="122"/>
    </row>
    <row r="715" spans="10:11" ht="14.25">
      <c r="J715" s="122"/>
      <c r="K715" s="122"/>
    </row>
    <row r="716" spans="10:11" ht="14.25">
      <c r="J716" s="122"/>
      <c r="K716" s="122"/>
    </row>
    <row r="717" spans="10:11" ht="14.25">
      <c r="J717" s="122"/>
      <c r="K717" s="122"/>
    </row>
    <row r="718" spans="10:11" ht="14.25">
      <c r="J718" s="122"/>
      <c r="K718" s="122"/>
    </row>
    <row r="719" spans="10:11" ht="14.25">
      <c r="J719" s="122"/>
      <c r="K719" s="122"/>
    </row>
    <row r="720" spans="10:11" ht="14.25">
      <c r="J720" s="122"/>
      <c r="K720" s="122"/>
    </row>
    <row r="721" spans="10:11" ht="14.25">
      <c r="J721" s="122"/>
      <c r="K721" s="122"/>
    </row>
    <row r="722" spans="10:11" ht="14.25">
      <c r="J722" s="122"/>
      <c r="K722" s="122"/>
    </row>
    <row r="723" spans="10:11" ht="14.25">
      <c r="J723" s="122"/>
      <c r="K723" s="122"/>
    </row>
    <row r="724" spans="10:11" ht="14.25">
      <c r="J724" s="122"/>
      <c r="K724" s="122"/>
    </row>
    <row r="725" spans="10:11" ht="14.25">
      <c r="J725" s="122"/>
      <c r="K725" s="122"/>
    </row>
    <row r="726" spans="10:11" ht="14.25">
      <c r="J726" s="122"/>
      <c r="K726" s="122"/>
    </row>
    <row r="727" spans="10:11" ht="14.25">
      <c r="J727" s="122"/>
      <c r="K727" s="122"/>
    </row>
    <row r="728" spans="10:11" ht="14.25">
      <c r="J728" s="122"/>
      <c r="K728" s="122"/>
    </row>
    <row r="729" spans="10:11" ht="14.25">
      <c r="J729" s="122"/>
      <c r="K729" s="122"/>
    </row>
    <row r="730" spans="10:11" ht="14.25">
      <c r="J730" s="122"/>
      <c r="K730" s="122"/>
    </row>
    <row r="731" spans="10:11" ht="14.25">
      <c r="J731" s="122"/>
      <c r="K731" s="122"/>
    </row>
    <row r="732" spans="10:11" ht="14.25">
      <c r="J732" s="122"/>
      <c r="K732" s="122"/>
    </row>
    <row r="733" spans="10:11" ht="14.25">
      <c r="J733" s="122"/>
      <c r="K733" s="122"/>
    </row>
    <row r="734" spans="10:11" ht="14.25">
      <c r="J734" s="122"/>
      <c r="K734" s="122"/>
    </row>
    <row r="735" spans="10:11" ht="14.25">
      <c r="J735" s="122"/>
      <c r="K735" s="122"/>
    </row>
    <row r="736" spans="10:11" ht="14.25">
      <c r="J736" s="122"/>
      <c r="K736" s="122"/>
    </row>
    <row r="737" spans="10:11" ht="14.25">
      <c r="J737" s="122"/>
      <c r="K737" s="122"/>
    </row>
    <row r="738" spans="10:11" ht="14.25">
      <c r="J738" s="122"/>
      <c r="K738" s="122"/>
    </row>
    <row r="739" spans="10:11" ht="14.25">
      <c r="J739" s="122"/>
      <c r="K739" s="122"/>
    </row>
    <row r="740" spans="10:11" ht="14.25">
      <c r="J740" s="122"/>
      <c r="K740" s="122"/>
    </row>
    <row r="741" spans="10:11" ht="14.25">
      <c r="J741" s="122"/>
      <c r="K741" s="122"/>
    </row>
    <row r="742" spans="10:11" ht="14.25">
      <c r="J742" s="122"/>
      <c r="K742" s="122"/>
    </row>
    <row r="743" spans="10:11" ht="14.25">
      <c r="J743" s="122"/>
      <c r="K743" s="122"/>
    </row>
    <row r="744" spans="10:11" ht="14.25">
      <c r="J744" s="122"/>
      <c r="K744" s="122"/>
    </row>
    <row r="745" spans="10:11" ht="14.25">
      <c r="J745" s="122"/>
      <c r="K745" s="122"/>
    </row>
    <row r="746" spans="10:11" ht="14.25">
      <c r="J746" s="122"/>
      <c r="K746" s="122"/>
    </row>
    <row r="747" spans="10:11" ht="14.25">
      <c r="J747" s="122"/>
      <c r="K747" s="122"/>
    </row>
    <row r="748" spans="10:11" ht="14.25">
      <c r="J748" s="122"/>
      <c r="K748" s="122"/>
    </row>
    <row r="749" spans="10:11" ht="14.25">
      <c r="J749" s="122"/>
      <c r="K749" s="122"/>
    </row>
    <row r="750" spans="10:11" ht="14.25">
      <c r="J750" s="122"/>
      <c r="K750" s="122"/>
    </row>
    <row r="751" spans="10:11" ht="14.25">
      <c r="J751" s="122"/>
      <c r="K751" s="122"/>
    </row>
    <row r="752" spans="10:11" ht="14.25">
      <c r="J752" s="122"/>
      <c r="K752" s="122"/>
    </row>
    <row r="753" spans="10:11" ht="14.25">
      <c r="J753" s="122"/>
      <c r="K753" s="122"/>
    </row>
    <row r="754" spans="10:11" ht="14.25">
      <c r="J754" s="122"/>
      <c r="K754" s="122"/>
    </row>
    <row r="755" spans="10:11" ht="14.25">
      <c r="J755" s="122"/>
      <c r="K755" s="122"/>
    </row>
    <row r="756" spans="10:11" ht="14.25">
      <c r="J756" s="122"/>
      <c r="K756" s="122"/>
    </row>
    <row r="757" spans="10:11" ht="14.25">
      <c r="J757" s="122"/>
      <c r="K757" s="122"/>
    </row>
    <row r="758" spans="10:11" ht="14.25">
      <c r="J758" s="122"/>
      <c r="K758" s="122"/>
    </row>
    <row r="759" spans="10:11" ht="14.25">
      <c r="J759" s="122"/>
      <c r="K759" s="122"/>
    </row>
    <row r="760" spans="10:11" ht="14.25">
      <c r="J760" s="122"/>
      <c r="K760" s="122"/>
    </row>
    <row r="761" spans="10:11" ht="14.25">
      <c r="J761" s="122"/>
      <c r="K761" s="122"/>
    </row>
    <row r="762" spans="10:11" ht="14.25">
      <c r="J762" s="122"/>
      <c r="K762" s="122"/>
    </row>
    <row r="763" spans="10:11" ht="14.25">
      <c r="J763" s="122"/>
      <c r="K763" s="122"/>
    </row>
    <row r="764" spans="10:11" ht="14.25">
      <c r="J764" s="122"/>
      <c r="K764" s="122"/>
    </row>
    <row r="765" spans="10:11" ht="14.25">
      <c r="J765" s="122"/>
      <c r="K765" s="122"/>
    </row>
    <row r="766" spans="10:11" ht="14.25">
      <c r="J766" s="122"/>
      <c r="K766" s="122"/>
    </row>
    <row r="767" spans="10:11" ht="14.25">
      <c r="J767" s="122"/>
      <c r="K767" s="122"/>
    </row>
    <row r="768" spans="10:11" ht="14.25">
      <c r="J768" s="122"/>
      <c r="K768" s="122"/>
    </row>
    <row r="769" spans="10:11" ht="14.25">
      <c r="J769" s="122"/>
      <c r="K769" s="122"/>
    </row>
    <row r="770" spans="10:11" ht="14.25">
      <c r="J770" s="122"/>
      <c r="K770" s="122"/>
    </row>
    <row r="771" spans="10:11" ht="14.25">
      <c r="J771" s="122"/>
      <c r="K771" s="122"/>
    </row>
    <row r="772" spans="10:11" ht="14.25">
      <c r="J772" s="122"/>
      <c r="K772" s="122"/>
    </row>
    <row r="773" spans="10:11" ht="14.25">
      <c r="J773" s="122"/>
      <c r="K773" s="122"/>
    </row>
    <row r="774" spans="10:11" ht="14.25">
      <c r="J774" s="122"/>
      <c r="K774" s="122"/>
    </row>
    <row r="775" spans="10:11" ht="14.25">
      <c r="J775" s="122"/>
      <c r="K775" s="122"/>
    </row>
    <row r="776" spans="10:11" ht="14.25">
      <c r="J776" s="122"/>
      <c r="K776" s="122"/>
    </row>
    <row r="777" spans="10:11" ht="14.25">
      <c r="J777" s="122"/>
      <c r="K777" s="122"/>
    </row>
    <row r="778" spans="10:11" ht="14.25">
      <c r="J778" s="122"/>
      <c r="K778" s="122"/>
    </row>
    <row r="779" spans="10:11" ht="14.25">
      <c r="J779" s="122"/>
      <c r="K779" s="122"/>
    </row>
    <row r="780" spans="10:11" ht="14.25">
      <c r="J780" s="122"/>
      <c r="K780" s="122"/>
    </row>
    <row r="781" spans="10:11" ht="14.25">
      <c r="J781" s="122"/>
      <c r="K781" s="122"/>
    </row>
    <row r="782" spans="10:11" ht="14.25">
      <c r="J782" s="122"/>
      <c r="K782" s="122"/>
    </row>
    <row r="783" spans="10:11" ht="14.25">
      <c r="J783" s="122"/>
      <c r="K783" s="122"/>
    </row>
    <row r="784" spans="10:11" ht="14.25">
      <c r="J784" s="122"/>
      <c r="K784" s="122"/>
    </row>
    <row r="785" spans="10:11" ht="14.25">
      <c r="J785" s="122"/>
      <c r="K785" s="122"/>
    </row>
    <row r="786" spans="10:11" ht="14.25">
      <c r="J786" s="122"/>
      <c r="K786" s="122"/>
    </row>
    <row r="787" spans="10:11" ht="14.25">
      <c r="J787" s="122"/>
      <c r="K787" s="122"/>
    </row>
    <row r="788" spans="10:11" ht="14.25">
      <c r="J788" s="122"/>
      <c r="K788" s="122"/>
    </row>
    <row r="789" spans="10:11" ht="14.25">
      <c r="J789" s="122"/>
      <c r="K789" s="122"/>
    </row>
    <row r="790" spans="10:11" ht="14.25">
      <c r="J790" s="122"/>
      <c r="K790" s="122"/>
    </row>
    <row r="791" spans="10:11" ht="14.25">
      <c r="J791" s="122"/>
      <c r="K791" s="122"/>
    </row>
    <row r="792" spans="10:11" ht="14.25">
      <c r="J792" s="122"/>
      <c r="K792" s="122"/>
    </row>
    <row r="793" spans="10:11" ht="14.25">
      <c r="J793" s="122"/>
      <c r="K793" s="122"/>
    </row>
    <row r="794" spans="10:11" ht="14.25">
      <c r="J794" s="122"/>
      <c r="K794" s="122"/>
    </row>
    <row r="795" spans="10:11" ht="14.25">
      <c r="J795" s="122"/>
      <c r="K795" s="122"/>
    </row>
    <row r="796" spans="10:11" ht="14.25">
      <c r="J796" s="122"/>
      <c r="K796" s="122"/>
    </row>
    <row r="797" spans="10:11" ht="14.25">
      <c r="J797" s="122"/>
      <c r="K797" s="122"/>
    </row>
    <row r="798" spans="10:11" ht="14.25">
      <c r="J798" s="122"/>
      <c r="K798" s="122"/>
    </row>
    <row r="799" spans="10:11" ht="14.25">
      <c r="J799" s="122"/>
      <c r="K799" s="122"/>
    </row>
    <row r="800" spans="10:11" ht="14.25">
      <c r="J800" s="122"/>
      <c r="K800" s="122"/>
    </row>
    <row r="801" spans="10:11" ht="14.25">
      <c r="J801" s="122"/>
      <c r="K801" s="122"/>
    </row>
    <row r="802" spans="10:11" ht="14.25">
      <c r="J802" s="122"/>
      <c r="K802" s="122"/>
    </row>
    <row r="803" spans="10:11" ht="14.25">
      <c r="J803" s="122"/>
      <c r="K803" s="122"/>
    </row>
    <row r="804" spans="10:11" ht="14.25">
      <c r="J804" s="122"/>
      <c r="K804" s="122"/>
    </row>
    <row r="805" spans="10:11" ht="14.25">
      <c r="J805" s="122"/>
      <c r="K805" s="122"/>
    </row>
    <row r="806" spans="10:11" ht="14.25">
      <c r="J806" s="122"/>
      <c r="K806" s="122"/>
    </row>
    <row r="807" spans="10:11" ht="14.25">
      <c r="J807" s="122"/>
      <c r="K807" s="122"/>
    </row>
    <row r="808" spans="10:11" ht="14.25">
      <c r="J808" s="122"/>
      <c r="K808" s="122"/>
    </row>
    <row r="809" spans="10:11" ht="14.25">
      <c r="J809" s="122"/>
      <c r="K809" s="122"/>
    </row>
    <row r="810" spans="10:11" ht="14.25">
      <c r="J810" s="122"/>
      <c r="K810" s="122"/>
    </row>
    <row r="811" spans="10:11" ht="14.25">
      <c r="J811" s="122"/>
      <c r="K811" s="122"/>
    </row>
    <row r="812" spans="10:11" ht="14.25">
      <c r="J812" s="122"/>
      <c r="K812" s="122"/>
    </row>
    <row r="813" spans="10:11" ht="14.25">
      <c r="J813" s="122"/>
      <c r="K813" s="122"/>
    </row>
    <row r="814" spans="10:11" ht="14.25">
      <c r="J814" s="122"/>
      <c r="K814" s="122"/>
    </row>
    <row r="815" spans="10:11" ht="14.25">
      <c r="J815" s="122"/>
      <c r="K815" s="122"/>
    </row>
    <row r="816" spans="10:11" ht="14.25">
      <c r="J816" s="122"/>
      <c r="K816" s="122"/>
    </row>
    <row r="817" spans="10:11" ht="14.25">
      <c r="J817" s="122"/>
      <c r="K817" s="122"/>
    </row>
    <row r="818" spans="10:11" ht="14.25">
      <c r="J818" s="122"/>
      <c r="K818" s="122"/>
    </row>
    <row r="819" spans="10:11" ht="14.25">
      <c r="J819" s="122"/>
      <c r="K819" s="122"/>
    </row>
    <row r="820" spans="10:11" ht="14.25">
      <c r="J820" s="122"/>
      <c r="K820" s="122"/>
    </row>
    <row r="821" spans="10:11" ht="14.25">
      <c r="J821" s="122"/>
      <c r="K821" s="122"/>
    </row>
    <row r="822" spans="10:11" ht="14.25">
      <c r="J822" s="122"/>
      <c r="K822" s="122"/>
    </row>
    <row r="823" spans="10:11" ht="14.25">
      <c r="J823" s="122"/>
      <c r="K823" s="122"/>
    </row>
    <row r="824" spans="10:11" ht="14.25">
      <c r="J824" s="122"/>
      <c r="K824" s="122"/>
    </row>
    <row r="825" spans="10:11" ht="14.25">
      <c r="J825" s="122"/>
      <c r="K825" s="122"/>
    </row>
    <row r="826" spans="10:11" ht="14.25">
      <c r="J826" s="122"/>
      <c r="K826" s="122"/>
    </row>
    <row r="827" spans="10:11" ht="14.25">
      <c r="J827" s="122"/>
      <c r="K827" s="122"/>
    </row>
    <row r="828" spans="10:11" ht="14.25">
      <c r="J828" s="122"/>
      <c r="K828" s="122"/>
    </row>
    <row r="829" spans="10:11" ht="14.25">
      <c r="J829" s="122"/>
      <c r="K829" s="122"/>
    </row>
    <row r="830" spans="10:11" ht="14.25">
      <c r="J830" s="122"/>
      <c r="K830" s="122"/>
    </row>
    <row r="831" spans="10:11" ht="14.25">
      <c r="J831" s="122"/>
      <c r="K831" s="122"/>
    </row>
    <row r="832" spans="10:11" ht="14.25">
      <c r="J832" s="122"/>
      <c r="K832" s="122"/>
    </row>
    <row r="833" spans="10:11" ht="14.25">
      <c r="J833" s="122"/>
      <c r="K833" s="122"/>
    </row>
    <row r="834" spans="10:11" ht="14.25">
      <c r="J834" s="122"/>
      <c r="K834" s="122"/>
    </row>
    <row r="835" spans="10:11" ht="14.25">
      <c r="J835" s="122"/>
      <c r="K835" s="122"/>
    </row>
    <row r="836" spans="10:11" ht="14.25">
      <c r="J836" s="122"/>
      <c r="K836" s="122"/>
    </row>
    <row r="837" spans="10:11" ht="14.25">
      <c r="J837" s="122"/>
      <c r="K837" s="122"/>
    </row>
    <row r="838" spans="10:11" ht="14.25">
      <c r="J838" s="122"/>
      <c r="K838" s="122"/>
    </row>
    <row r="839" spans="10:11" ht="14.25">
      <c r="J839" s="122"/>
      <c r="K839" s="122"/>
    </row>
    <row r="840" spans="10:11" ht="14.25">
      <c r="J840" s="122"/>
      <c r="K840" s="122"/>
    </row>
    <row r="841" spans="10:11" ht="14.25">
      <c r="J841" s="122"/>
      <c r="K841" s="122"/>
    </row>
    <row r="842" spans="10:11" ht="14.25">
      <c r="J842" s="122"/>
      <c r="K842" s="122"/>
    </row>
    <row r="843" spans="10:11" ht="14.25">
      <c r="J843" s="122"/>
      <c r="K843" s="122"/>
    </row>
    <row r="844" spans="10:11" ht="14.25">
      <c r="J844" s="122"/>
      <c r="K844" s="122"/>
    </row>
    <row r="845" spans="10:11" ht="14.25">
      <c r="J845" s="122"/>
      <c r="K845" s="122"/>
    </row>
    <row r="846" spans="10:11" ht="14.25">
      <c r="J846" s="122"/>
      <c r="K846" s="122"/>
    </row>
    <row r="847" spans="10:11" ht="14.25">
      <c r="J847" s="122"/>
      <c r="K847" s="122"/>
    </row>
    <row r="848" spans="10:11" ht="14.25">
      <c r="J848" s="122"/>
      <c r="K848" s="122"/>
    </row>
    <row r="849" spans="10:11" ht="14.25">
      <c r="J849" s="122"/>
      <c r="K849" s="122"/>
    </row>
    <row r="850" spans="10:11" ht="14.25">
      <c r="J850" s="122"/>
      <c r="K850" s="122"/>
    </row>
    <row r="851" spans="10:11" ht="14.25">
      <c r="J851" s="122"/>
      <c r="K851" s="122"/>
    </row>
    <row r="852" spans="10:11" ht="14.25">
      <c r="J852" s="122"/>
      <c r="K852" s="122"/>
    </row>
    <row r="853" spans="10:11" ht="14.25">
      <c r="J853" s="122"/>
      <c r="K853" s="122"/>
    </row>
    <row r="854" spans="10:11" ht="14.25">
      <c r="J854" s="122"/>
      <c r="K854" s="122"/>
    </row>
    <row r="855" spans="10:11" ht="14.25">
      <c r="J855" s="122"/>
      <c r="K855" s="122"/>
    </row>
    <row r="856" spans="10:11" ht="14.25">
      <c r="J856" s="122"/>
      <c r="K856" s="122"/>
    </row>
    <row r="857" spans="10:11" ht="14.25">
      <c r="J857" s="122"/>
      <c r="K857" s="122"/>
    </row>
    <row r="858" spans="10:11" ht="14.25">
      <c r="J858" s="122"/>
      <c r="K858" s="122"/>
    </row>
    <row r="859" spans="10:11" ht="14.25">
      <c r="J859" s="122"/>
      <c r="K859" s="122"/>
    </row>
    <row r="860" spans="10:11" ht="14.25">
      <c r="J860" s="122"/>
      <c r="K860" s="122"/>
    </row>
    <row r="861" spans="10:11" ht="14.25">
      <c r="J861" s="122"/>
      <c r="K861" s="122"/>
    </row>
    <row r="862" spans="10:11" ht="14.25">
      <c r="J862" s="122"/>
      <c r="K862" s="122"/>
    </row>
    <row r="863" spans="10:11" ht="14.25">
      <c r="J863" s="122"/>
      <c r="K863" s="122"/>
    </row>
    <row r="864" spans="10:11" ht="14.25">
      <c r="J864" s="122"/>
      <c r="K864" s="122"/>
    </row>
    <row r="865" spans="10:11" ht="14.25">
      <c r="J865" s="122"/>
      <c r="K865" s="122"/>
    </row>
    <row r="866" spans="10:11" ht="14.25">
      <c r="J866" s="122"/>
      <c r="K866" s="122"/>
    </row>
    <row r="867" spans="10:11" ht="14.25">
      <c r="J867" s="122"/>
      <c r="K867" s="122"/>
    </row>
    <row r="868" spans="10:11" ht="14.25">
      <c r="J868" s="122"/>
      <c r="K868" s="122"/>
    </row>
    <row r="869" spans="10:11" ht="14.25">
      <c r="J869" s="122"/>
      <c r="K869" s="122"/>
    </row>
    <row r="870" spans="10:11" ht="14.25">
      <c r="J870" s="122"/>
      <c r="K870" s="122"/>
    </row>
    <row r="871" spans="10:11" ht="14.25">
      <c r="J871" s="122"/>
      <c r="K871" s="122"/>
    </row>
    <row r="872" spans="10:11" ht="14.25">
      <c r="J872" s="122"/>
      <c r="K872" s="122"/>
    </row>
    <row r="873" spans="10:11" ht="14.25">
      <c r="J873" s="122"/>
      <c r="K873" s="122"/>
    </row>
    <row r="874" spans="10:11" ht="14.25">
      <c r="J874" s="122"/>
      <c r="K874" s="122"/>
    </row>
    <row r="875" spans="10:11" ht="14.25">
      <c r="J875" s="122"/>
      <c r="K875" s="122"/>
    </row>
    <row r="876" spans="10:11" ht="14.25">
      <c r="J876" s="122"/>
      <c r="K876" s="122"/>
    </row>
    <row r="877" spans="10:11" ht="14.25">
      <c r="J877" s="122"/>
      <c r="K877" s="122"/>
    </row>
    <row r="878" spans="10:11" ht="14.25">
      <c r="J878" s="122"/>
      <c r="K878" s="122"/>
    </row>
    <row r="879" spans="10:11" ht="14.25">
      <c r="J879" s="122"/>
      <c r="K879" s="122"/>
    </row>
    <row r="880" spans="10:11" ht="14.25">
      <c r="J880" s="122"/>
      <c r="K880" s="122"/>
    </row>
    <row r="881" spans="10:11" ht="14.25">
      <c r="J881" s="122"/>
      <c r="K881" s="122"/>
    </row>
    <row r="882" spans="10:11" ht="14.25">
      <c r="J882" s="122"/>
      <c r="K882" s="122"/>
    </row>
    <row r="883" spans="10:11" ht="14.25">
      <c r="J883" s="122"/>
      <c r="K883" s="122"/>
    </row>
    <row r="884" spans="10:11" ht="14.25">
      <c r="J884" s="122"/>
      <c r="K884" s="122"/>
    </row>
    <row r="885" spans="10:11" ht="14.25">
      <c r="J885" s="122"/>
      <c r="K885" s="122"/>
    </row>
    <row r="886" spans="10:11" ht="14.25">
      <c r="J886" s="122"/>
      <c r="K886" s="122"/>
    </row>
    <row r="887" spans="10:11" ht="14.25">
      <c r="J887" s="122"/>
      <c r="K887" s="122"/>
    </row>
    <row r="888" spans="10:11" ht="14.25">
      <c r="J888" s="122"/>
      <c r="K888" s="122"/>
    </row>
    <row r="889" spans="10:11" ht="14.25">
      <c r="J889" s="122"/>
      <c r="K889" s="122"/>
    </row>
    <row r="890" spans="10:11" ht="14.25">
      <c r="J890" s="122"/>
      <c r="K890" s="122"/>
    </row>
    <row r="891" spans="10:11" ht="14.25">
      <c r="J891" s="122"/>
      <c r="K891" s="122"/>
    </row>
    <row r="892" spans="10:11" ht="14.25">
      <c r="J892" s="122"/>
      <c r="K892" s="122"/>
    </row>
    <row r="893" spans="10:11" ht="14.25">
      <c r="J893" s="122"/>
      <c r="K893" s="122"/>
    </row>
    <row r="894" spans="10:11" ht="14.25">
      <c r="J894" s="122"/>
      <c r="K894" s="122"/>
    </row>
    <row r="895" spans="10:11" ht="14.25">
      <c r="J895" s="122"/>
      <c r="K895" s="122"/>
    </row>
    <row r="896" spans="10:11" ht="14.25">
      <c r="J896" s="122"/>
      <c r="K896" s="122"/>
    </row>
    <row r="897" spans="10:11" ht="14.25">
      <c r="J897" s="122"/>
      <c r="K897" s="122"/>
    </row>
    <row r="898" spans="10:11" ht="14.25">
      <c r="J898" s="122"/>
      <c r="K898" s="122"/>
    </row>
    <row r="899" spans="10:11" ht="14.25">
      <c r="J899" s="122"/>
      <c r="K899" s="122"/>
    </row>
    <row r="900" spans="10:11" ht="14.25">
      <c r="J900" s="122"/>
      <c r="K900" s="122"/>
    </row>
    <row r="901" spans="10:11" ht="14.25">
      <c r="J901" s="122"/>
      <c r="K901" s="122"/>
    </row>
    <row r="902" spans="10:11" ht="14.25">
      <c r="J902" s="122"/>
      <c r="K902" s="122"/>
    </row>
    <row r="903" spans="10:11" ht="14.25">
      <c r="J903" s="122"/>
      <c r="K903" s="122"/>
    </row>
    <row r="904" spans="10:11" ht="14.25">
      <c r="J904" s="122"/>
      <c r="K904" s="122"/>
    </row>
    <row r="905" spans="10:11" ht="14.25">
      <c r="J905" s="122"/>
      <c r="K905" s="122"/>
    </row>
    <row r="906" spans="10:11" ht="14.25">
      <c r="J906" s="122"/>
      <c r="K906" s="122"/>
    </row>
    <row r="907" spans="10:11" ht="14.25">
      <c r="J907" s="122"/>
      <c r="K907" s="122"/>
    </row>
    <row r="908" spans="10:11" ht="14.25">
      <c r="J908" s="122"/>
      <c r="K908" s="122"/>
    </row>
    <row r="909" spans="10:11" ht="14.25">
      <c r="J909" s="122"/>
      <c r="K909" s="122"/>
    </row>
    <row r="910" spans="10:11" ht="14.25">
      <c r="J910" s="122"/>
      <c r="K910" s="122"/>
    </row>
    <row r="911" spans="10:11" ht="14.25">
      <c r="J911" s="122"/>
      <c r="K911" s="122"/>
    </row>
    <row r="912" spans="10:11" ht="14.25">
      <c r="J912" s="122"/>
      <c r="K912" s="122"/>
    </row>
    <row r="913" spans="10:11" ht="14.25">
      <c r="J913" s="122"/>
      <c r="K913" s="122"/>
    </row>
    <row r="914" spans="10:11" ht="14.25">
      <c r="J914" s="122"/>
      <c r="K914" s="122"/>
    </row>
    <row r="915" spans="10:11" ht="14.25">
      <c r="J915" s="122"/>
      <c r="K915" s="122"/>
    </row>
    <row r="916" spans="10:11" ht="14.25">
      <c r="J916" s="122"/>
      <c r="K916" s="122"/>
    </row>
    <row r="917" spans="10:11" ht="14.25">
      <c r="J917" s="122"/>
      <c r="K917" s="122"/>
    </row>
    <row r="918" spans="10:11" ht="14.25">
      <c r="J918" s="122"/>
      <c r="K918" s="122"/>
    </row>
    <row r="919" spans="10:11" ht="14.25">
      <c r="J919" s="122"/>
      <c r="K919" s="122"/>
    </row>
    <row r="920" spans="10:11" ht="14.25">
      <c r="J920" s="122"/>
      <c r="K920" s="122"/>
    </row>
    <row r="921" spans="10:11" ht="14.25">
      <c r="J921" s="122"/>
      <c r="K921" s="122"/>
    </row>
    <row r="922" spans="10:11" ht="14.25">
      <c r="J922" s="122"/>
      <c r="K922" s="122"/>
    </row>
    <row r="923" spans="10:11" ht="14.25">
      <c r="J923" s="122"/>
      <c r="K923" s="122"/>
    </row>
    <row r="924" spans="10:11" ht="14.25">
      <c r="J924" s="122"/>
      <c r="K924" s="122"/>
    </row>
    <row r="925" spans="10:11" ht="14.25">
      <c r="J925" s="122"/>
      <c r="K925" s="122"/>
    </row>
    <row r="926" spans="10:11" ht="14.25">
      <c r="J926" s="122"/>
      <c r="K926" s="122"/>
    </row>
    <row r="927" spans="10:11" ht="14.25">
      <c r="J927" s="122"/>
      <c r="K927" s="122"/>
    </row>
    <row r="928" spans="10:11" ht="14.25">
      <c r="J928" s="122"/>
      <c r="K928" s="122"/>
    </row>
    <row r="929" spans="10:11" ht="14.25">
      <c r="J929" s="122"/>
      <c r="K929" s="122"/>
    </row>
    <row r="930" spans="10:11" ht="14.25">
      <c r="J930" s="122"/>
      <c r="K930" s="122"/>
    </row>
    <row r="931" spans="10:11" ht="14.25">
      <c r="J931" s="122"/>
      <c r="K931" s="122"/>
    </row>
    <row r="932" spans="10:11" ht="14.25">
      <c r="J932" s="122"/>
      <c r="K932" s="122"/>
    </row>
    <row r="933" spans="10:11" ht="14.25">
      <c r="J933" s="122"/>
      <c r="K933" s="122"/>
    </row>
    <row r="934" spans="10:11" ht="14.25">
      <c r="J934" s="122"/>
      <c r="K934" s="122"/>
    </row>
    <row r="935" spans="10:11" ht="14.25">
      <c r="J935" s="122"/>
      <c r="K935" s="122"/>
    </row>
    <row r="936" spans="10:11" ht="14.25">
      <c r="J936" s="122"/>
      <c r="K936" s="122"/>
    </row>
    <row r="937" spans="10:11" ht="14.25">
      <c r="J937" s="122"/>
      <c r="K937" s="122"/>
    </row>
    <row r="938" spans="10:11" ht="14.25">
      <c r="J938" s="122"/>
      <c r="K938" s="122"/>
    </row>
    <row r="939" spans="10:11" ht="14.25">
      <c r="J939" s="122"/>
      <c r="K939" s="122"/>
    </row>
    <row r="940" spans="10:11" ht="14.25">
      <c r="J940" s="122"/>
      <c r="K940" s="122"/>
    </row>
    <row r="941" spans="10:11" ht="14.25">
      <c r="J941" s="122"/>
      <c r="K941" s="122"/>
    </row>
    <row r="942" spans="10:11" ht="14.25">
      <c r="J942" s="122"/>
      <c r="K942" s="122"/>
    </row>
    <row r="943" spans="10:11" ht="14.25">
      <c r="J943" s="122"/>
      <c r="K943" s="122"/>
    </row>
    <row r="944" spans="10:11" ht="14.25">
      <c r="J944" s="122"/>
      <c r="K944" s="122"/>
    </row>
    <row r="945" spans="10:11" ht="14.25">
      <c r="J945" s="122"/>
      <c r="K945" s="122"/>
    </row>
    <row r="946" spans="10:11" ht="14.25">
      <c r="J946" s="122"/>
      <c r="K946" s="122"/>
    </row>
    <row r="947" spans="10:11" ht="14.25">
      <c r="J947" s="122"/>
      <c r="K947" s="122"/>
    </row>
    <row r="948" spans="10:11" ht="14.25">
      <c r="J948" s="122"/>
      <c r="K948" s="122"/>
    </row>
    <row r="949" spans="10:11" ht="14.25">
      <c r="J949" s="122"/>
      <c r="K949" s="122"/>
    </row>
    <row r="950" spans="10:11" ht="14.25">
      <c r="J950" s="122"/>
      <c r="K950" s="122"/>
    </row>
    <row r="951" spans="10:11" ht="14.25">
      <c r="J951" s="122"/>
      <c r="K951" s="122"/>
    </row>
    <row r="952" spans="10:11" ht="14.25">
      <c r="J952" s="122"/>
      <c r="K952" s="122"/>
    </row>
    <row r="953" spans="10:11" ht="14.25">
      <c r="J953" s="122"/>
      <c r="K953" s="122"/>
    </row>
    <row r="954" spans="10:11" ht="14.25">
      <c r="J954" s="122"/>
      <c r="K954" s="122"/>
    </row>
    <row r="955" spans="10:11" ht="14.25">
      <c r="J955" s="122"/>
      <c r="K955" s="122"/>
    </row>
    <row r="956" spans="10:11" ht="14.25">
      <c r="J956" s="122"/>
      <c r="K956" s="122"/>
    </row>
    <row r="957" spans="10:11" ht="14.25">
      <c r="J957" s="122"/>
      <c r="K957" s="122"/>
    </row>
    <row r="958" spans="10:11" ht="14.25">
      <c r="J958" s="122"/>
      <c r="K958" s="122"/>
    </row>
    <row r="959" spans="10:11" ht="14.25">
      <c r="J959" s="122"/>
      <c r="K959" s="122"/>
    </row>
    <row r="960" spans="10:11" ht="14.25">
      <c r="J960" s="122"/>
      <c r="K960" s="122"/>
    </row>
    <row r="961" spans="10:11" ht="14.25">
      <c r="J961" s="122"/>
      <c r="K961" s="122"/>
    </row>
    <row r="962" spans="10:11" ht="14.25">
      <c r="J962" s="122"/>
      <c r="K962" s="122"/>
    </row>
    <row r="963" spans="10:11" ht="14.25">
      <c r="J963" s="122"/>
      <c r="K963" s="122"/>
    </row>
    <row r="964" spans="10:11" ht="14.25">
      <c r="J964" s="122"/>
      <c r="K964" s="122"/>
    </row>
    <row r="965" spans="10:11" ht="14.25">
      <c r="J965" s="122"/>
      <c r="K965" s="122"/>
    </row>
    <row r="966" spans="10:11" ht="14.25">
      <c r="J966" s="122"/>
      <c r="K966" s="122"/>
    </row>
    <row r="967" spans="10:11" ht="14.25">
      <c r="J967" s="122"/>
      <c r="K967" s="122"/>
    </row>
    <row r="968" spans="10:11" ht="14.25">
      <c r="J968" s="122"/>
      <c r="K968" s="122"/>
    </row>
    <row r="969" spans="10:11" ht="14.25">
      <c r="J969" s="122"/>
      <c r="K969" s="122"/>
    </row>
    <row r="970" spans="10:11" ht="14.25">
      <c r="J970" s="122"/>
      <c r="K970" s="122"/>
    </row>
    <row r="971" spans="10:11" ht="14.25">
      <c r="J971" s="122"/>
      <c r="K971" s="122"/>
    </row>
    <row r="972" spans="10:11" ht="14.25">
      <c r="J972" s="122"/>
      <c r="K972" s="122"/>
    </row>
    <row r="973" spans="10:11" ht="14.25">
      <c r="J973" s="122"/>
      <c r="K973" s="122"/>
    </row>
    <row r="974" spans="10:11" ht="14.25">
      <c r="J974" s="122"/>
      <c r="K974" s="122"/>
    </row>
    <row r="975" spans="10:11" ht="14.25">
      <c r="J975" s="122"/>
      <c r="K975" s="122"/>
    </row>
    <row r="976" spans="10:11" ht="14.25">
      <c r="J976" s="122"/>
      <c r="K976" s="122"/>
    </row>
    <row r="977" spans="10:11" ht="14.25">
      <c r="J977" s="122"/>
      <c r="K977" s="122"/>
    </row>
    <row r="978" spans="10:11" ht="14.25">
      <c r="J978" s="122"/>
      <c r="K978" s="122"/>
    </row>
    <row r="979" spans="10:11" ht="14.25">
      <c r="J979" s="122"/>
      <c r="K979" s="122"/>
    </row>
    <row r="980" spans="10:11" ht="14.25">
      <c r="J980" s="122"/>
      <c r="K980" s="122"/>
    </row>
    <row r="981" spans="10:11" ht="14.25">
      <c r="J981" s="122"/>
      <c r="K981" s="122"/>
    </row>
    <row r="982" spans="10:11" ht="14.25">
      <c r="J982" s="122"/>
      <c r="K982" s="122"/>
    </row>
    <row r="983" spans="10:11" ht="14.25">
      <c r="J983" s="122"/>
      <c r="K983" s="122"/>
    </row>
    <row r="984" spans="10:11" ht="14.25">
      <c r="J984" s="122"/>
      <c r="K984" s="122"/>
    </row>
    <row r="985" spans="10:11" ht="14.25">
      <c r="J985" s="122"/>
      <c r="K985" s="122"/>
    </row>
    <row r="986" spans="10:11" ht="14.25">
      <c r="J986" s="122"/>
      <c r="K986" s="122"/>
    </row>
    <row r="987" spans="10:11" ht="14.25">
      <c r="J987" s="122"/>
      <c r="K987" s="122"/>
    </row>
    <row r="988" spans="10:11" ht="14.25">
      <c r="J988" s="122"/>
      <c r="K988" s="122"/>
    </row>
    <row r="989" spans="10:11" ht="14.25">
      <c r="J989" s="122"/>
      <c r="K989" s="122"/>
    </row>
    <row r="990" spans="10:11" ht="14.25">
      <c r="J990" s="122"/>
      <c r="K990" s="122"/>
    </row>
    <row r="991" spans="10:11" ht="14.25">
      <c r="J991" s="122"/>
      <c r="K991" s="122"/>
    </row>
    <row r="992" spans="10:11" ht="14.25">
      <c r="J992" s="122"/>
      <c r="K992" s="122"/>
    </row>
    <row r="993" spans="10:11" ht="14.25">
      <c r="J993" s="122"/>
      <c r="K993" s="122"/>
    </row>
    <row r="994" spans="10:11" ht="14.25">
      <c r="J994" s="122"/>
      <c r="K994" s="122"/>
    </row>
    <row r="995" spans="10:11" ht="14.25">
      <c r="J995" s="122"/>
      <c r="K995" s="122"/>
    </row>
    <row r="996" spans="10:11" ht="14.25">
      <c r="J996" s="122"/>
      <c r="K996" s="122"/>
    </row>
    <row r="997" spans="10:11" ht="14.25">
      <c r="J997" s="122"/>
      <c r="K997" s="122"/>
    </row>
    <row r="998" spans="10:11" ht="14.25">
      <c r="J998" s="122"/>
      <c r="K998" s="122"/>
    </row>
    <row r="999" spans="10:11" ht="14.25">
      <c r="J999" s="122"/>
      <c r="K999" s="122"/>
    </row>
    <row r="1000" spans="10:11" ht="14.25">
      <c r="J1000" s="122"/>
      <c r="K1000" s="122"/>
    </row>
    <row r="1001" spans="10:11" ht="14.25">
      <c r="J1001" s="122"/>
      <c r="K1001" s="122"/>
    </row>
    <row r="1002" spans="10:11" ht="14.25">
      <c r="J1002" s="122"/>
      <c r="K1002" s="122"/>
    </row>
    <row r="1003" spans="10:11" ht="14.25">
      <c r="J1003" s="122"/>
      <c r="K1003" s="122"/>
    </row>
    <row r="1004" spans="10:11" ht="14.25">
      <c r="J1004" s="122"/>
      <c r="K1004" s="122"/>
    </row>
    <row r="1005" spans="10:11" ht="14.25">
      <c r="J1005" s="122"/>
      <c r="K1005" s="122"/>
    </row>
    <row r="1006" spans="10:11" ht="14.25">
      <c r="J1006" s="122"/>
      <c r="K1006" s="122"/>
    </row>
    <row r="1007" spans="10:11" ht="14.25">
      <c r="J1007" s="122"/>
      <c r="K1007" s="122"/>
    </row>
    <row r="1008" spans="10:11" ht="14.25">
      <c r="J1008" s="122"/>
      <c r="K1008" s="122"/>
    </row>
    <row r="1009" spans="10:11" ht="14.25">
      <c r="J1009" s="122"/>
      <c r="K1009" s="122"/>
    </row>
    <row r="1010" spans="10:11" ht="14.25">
      <c r="J1010" s="122"/>
      <c r="K1010" s="122"/>
    </row>
    <row r="1011" spans="10:11" ht="14.25">
      <c r="J1011" s="122"/>
      <c r="K1011" s="122"/>
    </row>
    <row r="1012" spans="10:11" ht="14.25">
      <c r="J1012" s="122"/>
      <c r="K1012" s="122"/>
    </row>
    <row r="1013" spans="10:11" ht="14.25">
      <c r="J1013" s="122"/>
      <c r="K1013" s="122"/>
    </row>
    <row r="1014" spans="10:11" ht="14.25">
      <c r="J1014" s="122"/>
      <c r="K1014" s="122"/>
    </row>
    <row r="1015" spans="10:11" ht="14.25">
      <c r="J1015" s="122"/>
      <c r="K1015" s="122"/>
    </row>
    <row r="1016" spans="10:11" ht="14.25">
      <c r="J1016" s="122"/>
      <c r="K1016" s="122"/>
    </row>
    <row r="1017" spans="10:11" ht="14.25">
      <c r="J1017" s="122"/>
      <c r="K1017" s="122"/>
    </row>
    <row r="1018" spans="10:11" ht="14.25">
      <c r="J1018" s="122"/>
      <c r="K1018" s="122"/>
    </row>
    <row r="1019" spans="10:11" ht="14.25">
      <c r="J1019" s="122"/>
      <c r="K1019" s="122"/>
    </row>
    <row r="1020" spans="10:11" ht="14.25">
      <c r="J1020" s="122"/>
      <c r="K1020" s="122"/>
    </row>
    <row r="1021" spans="10:11" ht="14.25">
      <c r="J1021" s="122"/>
      <c r="K1021" s="122"/>
    </row>
    <row r="1022" spans="10:11" ht="14.25">
      <c r="J1022" s="122"/>
      <c r="K1022" s="122"/>
    </row>
    <row r="1023" spans="10:11" ht="14.25">
      <c r="J1023" s="122"/>
      <c r="K1023" s="122"/>
    </row>
    <row r="1024" spans="10:11" ht="14.25">
      <c r="J1024" s="122"/>
      <c r="K1024" s="122"/>
    </row>
    <row r="1025" spans="10:11" ht="14.25">
      <c r="J1025" s="122"/>
      <c r="K1025" s="122"/>
    </row>
    <row r="1026" spans="10:11" ht="14.25">
      <c r="J1026" s="122"/>
      <c r="K1026" s="122"/>
    </row>
    <row r="1027" spans="10:11" ht="14.25">
      <c r="J1027" s="122"/>
      <c r="K1027" s="122"/>
    </row>
    <row r="1028" spans="10:11" ht="14.25">
      <c r="J1028" s="122"/>
      <c r="K1028" s="122"/>
    </row>
    <row r="1029" spans="10:11" ht="14.25">
      <c r="J1029" s="122"/>
      <c r="K1029" s="122"/>
    </row>
    <row r="1030" spans="10:11" ht="14.25">
      <c r="J1030" s="122"/>
      <c r="K1030" s="122"/>
    </row>
    <row r="1031" spans="10:11" ht="14.25">
      <c r="J1031" s="122"/>
      <c r="K1031" s="122"/>
    </row>
    <row r="1032" spans="10:11" ht="14.25">
      <c r="J1032" s="122"/>
      <c r="K1032" s="122"/>
    </row>
    <row r="1033" spans="10:11" ht="14.25">
      <c r="J1033" s="122"/>
      <c r="K1033" s="122"/>
    </row>
    <row r="1034" spans="10:11" ht="14.25">
      <c r="J1034" s="122"/>
      <c r="K1034" s="122"/>
    </row>
    <row r="1035" spans="10:11" ht="14.25">
      <c r="J1035" s="122"/>
      <c r="K1035" s="122"/>
    </row>
    <row r="1036" spans="10:11" ht="14.25">
      <c r="J1036" s="122"/>
      <c r="K1036" s="122"/>
    </row>
    <row r="1037" spans="10:11" ht="14.25">
      <c r="J1037" s="122"/>
      <c r="K1037" s="122"/>
    </row>
    <row r="1038" spans="10:11" ht="14.25">
      <c r="J1038" s="122"/>
      <c r="K1038" s="122"/>
    </row>
    <row r="1039" spans="10:11" ht="14.25">
      <c r="J1039" s="122"/>
      <c r="K1039" s="122"/>
    </row>
    <row r="1040" spans="10:11" ht="14.25">
      <c r="J1040" s="122"/>
      <c r="K1040" s="122"/>
    </row>
    <row r="1041" spans="10:11" ht="14.25">
      <c r="J1041" s="122"/>
      <c r="K1041" s="122"/>
    </row>
    <row r="1042" spans="10:11" ht="14.25">
      <c r="J1042" s="122"/>
      <c r="K1042" s="122"/>
    </row>
    <row r="1043" spans="10:11" ht="14.25">
      <c r="J1043" s="122"/>
      <c r="K1043" s="122"/>
    </row>
    <row r="1044" spans="10:11" ht="14.25">
      <c r="J1044" s="122"/>
      <c r="K1044" s="122"/>
    </row>
    <row r="1045" spans="10:11" ht="14.25">
      <c r="J1045" s="122"/>
      <c r="K1045" s="122"/>
    </row>
    <row r="1046" spans="10:11" ht="14.25">
      <c r="J1046" s="122"/>
      <c r="K1046" s="122"/>
    </row>
    <row r="1047" spans="10:11" ht="14.25">
      <c r="J1047" s="122"/>
      <c r="K1047" s="122"/>
    </row>
    <row r="1048" spans="10:11" ht="14.25">
      <c r="J1048" s="122"/>
      <c r="K1048" s="122"/>
    </row>
    <row r="1049" spans="10:11" ht="14.25">
      <c r="J1049" s="122"/>
      <c r="K1049" s="122"/>
    </row>
    <row r="1050" spans="10:11" ht="14.25">
      <c r="J1050" s="122"/>
      <c r="K1050" s="122"/>
    </row>
    <row r="1051" spans="10:11" ht="14.25">
      <c r="J1051" s="122"/>
      <c r="K1051" s="122"/>
    </row>
    <row r="1052" spans="10:11" ht="14.25">
      <c r="J1052" s="122"/>
      <c r="K1052" s="122"/>
    </row>
    <row r="1053" spans="10:11" ht="14.25">
      <c r="J1053" s="122"/>
      <c r="K1053" s="122"/>
    </row>
    <row r="1054" spans="10:11" ht="14.25">
      <c r="J1054" s="122"/>
      <c r="K1054" s="122"/>
    </row>
    <row r="1055" spans="10:11" ht="14.25">
      <c r="J1055" s="122"/>
      <c r="K1055" s="122"/>
    </row>
    <row r="1056" spans="10:11" ht="14.25">
      <c r="J1056" s="122"/>
      <c r="K1056" s="122"/>
    </row>
    <row r="1057" spans="10:11" ht="14.25">
      <c r="J1057" s="122"/>
      <c r="K1057" s="122"/>
    </row>
    <row r="1058" spans="10:11" ht="14.25">
      <c r="J1058" s="122"/>
      <c r="K1058" s="122"/>
    </row>
    <row r="1059" spans="10:11" ht="14.25">
      <c r="J1059" s="122"/>
      <c r="K1059" s="122"/>
    </row>
    <row r="1060" spans="10:11" ht="14.25">
      <c r="J1060" s="122"/>
      <c r="K1060" s="122"/>
    </row>
    <row r="1061" spans="10:11" ht="14.25">
      <c r="J1061" s="122"/>
      <c r="K1061" s="122"/>
    </row>
    <row r="1062" spans="10:11" ht="14.25">
      <c r="J1062" s="122"/>
      <c r="K1062" s="122"/>
    </row>
    <row r="1063" spans="10:11" ht="14.25">
      <c r="J1063" s="122"/>
      <c r="K1063" s="122"/>
    </row>
    <row r="1064" spans="10:11" ht="14.25">
      <c r="J1064" s="122"/>
      <c r="K1064" s="122"/>
    </row>
    <row r="1065" spans="10:11" ht="14.25">
      <c r="J1065" s="122"/>
      <c r="K1065" s="122"/>
    </row>
    <row r="1066" spans="10:11" ht="14.25">
      <c r="J1066" s="122"/>
      <c r="K1066" s="122"/>
    </row>
    <row r="1067" spans="10:11" ht="14.25">
      <c r="J1067" s="122"/>
      <c r="K1067" s="122"/>
    </row>
    <row r="1068" spans="10:11" ht="14.25">
      <c r="J1068" s="122"/>
      <c r="K1068" s="122"/>
    </row>
    <row r="1069" spans="10:11" ht="14.25">
      <c r="J1069" s="122"/>
      <c r="K1069" s="122"/>
    </row>
    <row r="1070" spans="10:11" ht="14.25">
      <c r="J1070" s="122"/>
      <c r="K1070" s="122"/>
    </row>
    <row r="1071" spans="10:11" ht="14.25">
      <c r="J1071" s="122"/>
      <c r="K1071" s="122"/>
    </row>
    <row r="1072" spans="10:11" ht="14.25">
      <c r="J1072" s="122"/>
      <c r="K1072" s="122"/>
    </row>
    <row r="1073" spans="10:11" ht="14.25">
      <c r="J1073" s="122"/>
      <c r="K1073" s="122"/>
    </row>
    <row r="1074" spans="10:11" ht="14.25">
      <c r="J1074" s="122"/>
      <c r="K1074" s="122"/>
    </row>
    <row r="1075" spans="10:11" ht="14.25">
      <c r="J1075" s="122"/>
      <c r="K1075" s="122"/>
    </row>
    <row r="1076" spans="10:11" ht="14.25">
      <c r="J1076" s="122"/>
      <c r="K1076" s="122"/>
    </row>
    <row r="1077" spans="10:11" ht="14.25">
      <c r="J1077" s="122"/>
      <c r="K1077" s="122"/>
    </row>
    <row r="1078" spans="10:11" ht="14.25">
      <c r="J1078" s="122"/>
      <c r="K1078" s="122"/>
    </row>
    <row r="1079" spans="10:11" ht="14.25">
      <c r="J1079" s="122"/>
      <c r="K1079" s="122"/>
    </row>
    <row r="1080" spans="10:11" ht="14.25">
      <c r="J1080" s="122"/>
      <c r="K1080" s="122"/>
    </row>
    <row r="1081" spans="10:11" ht="14.25">
      <c r="J1081" s="122"/>
      <c r="K1081" s="122"/>
    </row>
    <row r="1082" spans="10:11" ht="14.25">
      <c r="J1082" s="122"/>
      <c r="K1082" s="122"/>
    </row>
    <row r="1083" spans="10:11" ht="14.25">
      <c r="J1083" s="122"/>
      <c r="K1083" s="122"/>
    </row>
    <row r="1084" spans="10:11" ht="14.25">
      <c r="J1084" s="122"/>
      <c r="K1084" s="122"/>
    </row>
    <row r="1085" spans="10:11" ht="14.25">
      <c r="J1085" s="122"/>
      <c r="K1085" s="122"/>
    </row>
    <row r="1086" spans="10:11" ht="14.25">
      <c r="J1086" s="122"/>
      <c r="K1086" s="122"/>
    </row>
    <row r="1087" spans="10:11" ht="14.25">
      <c r="J1087" s="122"/>
      <c r="K1087" s="122"/>
    </row>
    <row r="1088" spans="10:11" ht="14.25">
      <c r="J1088" s="122"/>
      <c r="K1088" s="122"/>
    </row>
    <row r="1089" spans="10:11" ht="14.25">
      <c r="J1089" s="122"/>
      <c r="K1089" s="122"/>
    </row>
    <row r="1090" spans="10:11" ht="14.25">
      <c r="J1090" s="122"/>
      <c r="K1090" s="122"/>
    </row>
    <row r="1091" spans="10:11" ht="14.25">
      <c r="J1091" s="122"/>
      <c r="K1091" s="122"/>
    </row>
    <row r="1092" spans="10:11" ht="14.25">
      <c r="J1092" s="122"/>
      <c r="K1092" s="122"/>
    </row>
    <row r="1093" spans="10:11" ht="14.25">
      <c r="J1093" s="122"/>
      <c r="K1093" s="122"/>
    </row>
    <row r="1094" spans="10:11" ht="14.25">
      <c r="J1094" s="122"/>
      <c r="K1094" s="122"/>
    </row>
    <row r="1095" spans="10:11" ht="14.25">
      <c r="J1095" s="122"/>
      <c r="K1095" s="122"/>
    </row>
    <row r="1096" spans="10:11" ht="14.25">
      <c r="J1096" s="122"/>
      <c r="K1096" s="122"/>
    </row>
    <row r="1097" spans="10:11" ht="14.25">
      <c r="J1097" s="122"/>
      <c r="K1097" s="122"/>
    </row>
    <row r="1098" spans="10:11" ht="14.25">
      <c r="J1098" s="122"/>
      <c r="K1098" s="122"/>
    </row>
    <row r="1099" spans="10:11" ht="14.25">
      <c r="J1099" s="122"/>
      <c r="K1099" s="122"/>
    </row>
    <row r="1100" spans="10:11" ht="14.25">
      <c r="J1100" s="122"/>
      <c r="K1100" s="122"/>
    </row>
    <row r="1101" spans="10:11" ht="14.25">
      <c r="J1101" s="122"/>
      <c r="K1101" s="122"/>
    </row>
    <row r="1102" spans="10:11" ht="14.25">
      <c r="J1102" s="122"/>
      <c r="K1102" s="122"/>
    </row>
    <row r="1103" spans="10:11" ht="14.25">
      <c r="J1103" s="122"/>
      <c r="K1103" s="122"/>
    </row>
    <row r="1104" spans="10:11" ht="14.25">
      <c r="J1104" s="122"/>
      <c r="K1104" s="122"/>
    </row>
    <row r="1105" spans="10:11" ht="14.25">
      <c r="J1105" s="122"/>
      <c r="K1105" s="122"/>
    </row>
    <row r="1106" spans="10:11" ht="14.25">
      <c r="J1106" s="122"/>
      <c r="K1106" s="122"/>
    </row>
    <row r="1107" spans="10:11" ht="14.25">
      <c r="J1107" s="122"/>
      <c r="K1107" s="122"/>
    </row>
    <row r="1108" spans="10:11" ht="14.25">
      <c r="J1108" s="122"/>
      <c r="K1108" s="122"/>
    </row>
    <row r="1109" spans="10:11" ht="14.25">
      <c r="J1109" s="122"/>
      <c r="K1109" s="122"/>
    </row>
    <row r="1110" spans="10:11" ht="14.25">
      <c r="J1110" s="122"/>
      <c r="K1110" s="122"/>
    </row>
    <row r="1111" spans="10:11" ht="14.25">
      <c r="J1111" s="122"/>
      <c r="K1111" s="122"/>
    </row>
    <row r="1112" spans="10:11" ht="14.25">
      <c r="J1112" s="122"/>
      <c r="K1112" s="122"/>
    </row>
    <row r="1113" spans="10:11" ht="14.25">
      <c r="J1113" s="122"/>
      <c r="K1113" s="122"/>
    </row>
    <row r="1114" spans="10:11" ht="14.25">
      <c r="J1114" s="122"/>
      <c r="K1114" s="122"/>
    </row>
    <row r="1115" spans="10:11" ht="14.25">
      <c r="J1115" s="122"/>
      <c r="K1115" s="122"/>
    </row>
    <row r="1116" spans="10:11" ht="14.25">
      <c r="J1116" s="122"/>
      <c r="K1116" s="122"/>
    </row>
    <row r="1117" spans="10:11" ht="14.25">
      <c r="J1117" s="122"/>
      <c r="K1117" s="122"/>
    </row>
    <row r="1118" spans="10:11" ht="14.25">
      <c r="J1118" s="122"/>
      <c r="K1118" s="122"/>
    </row>
    <row r="1119" spans="10:11" ht="14.25">
      <c r="J1119" s="122"/>
      <c r="K1119" s="122"/>
    </row>
  </sheetData>
  <mergeCells count="65">
    <mergeCell ref="A224:I224"/>
    <mergeCell ref="K224:S224"/>
    <mergeCell ref="U224:AA224"/>
    <mergeCell ref="A227:I227"/>
    <mergeCell ref="K227:S227"/>
    <mergeCell ref="U227:AA227"/>
    <mergeCell ref="A107:AC107"/>
    <mergeCell ref="A123:AC123"/>
    <mergeCell ref="K160:S160"/>
    <mergeCell ref="U160:AA160"/>
    <mergeCell ref="A124:I124"/>
    <mergeCell ref="K124:S124"/>
    <mergeCell ref="U124:AA124"/>
    <mergeCell ref="A144:I144"/>
    <mergeCell ref="K144:S144"/>
    <mergeCell ref="U144:AA144"/>
    <mergeCell ref="A160:I160"/>
    <mergeCell ref="A94:I94"/>
    <mergeCell ref="K94:S94"/>
    <mergeCell ref="U94:AA94"/>
    <mergeCell ref="A97:I97"/>
    <mergeCell ref="A100:I100"/>
    <mergeCell ref="K89:S89"/>
    <mergeCell ref="U89:AA89"/>
    <mergeCell ref="K70:S70"/>
    <mergeCell ref="A72:I72"/>
    <mergeCell ref="U72:AA72"/>
    <mergeCell ref="A81:I81"/>
    <mergeCell ref="K81:S81"/>
    <mergeCell ref="U81:AA81"/>
    <mergeCell ref="A89:I89"/>
    <mergeCell ref="K1:S1"/>
    <mergeCell ref="U1:AA1"/>
    <mergeCell ref="A10:AC10"/>
    <mergeCell ref="A64:AC64"/>
    <mergeCell ref="A65:I65"/>
    <mergeCell ref="K65:S65"/>
    <mergeCell ref="U65:AA65"/>
    <mergeCell ref="K220:S220"/>
    <mergeCell ref="U220:AA220"/>
    <mergeCell ref="A212:I212"/>
    <mergeCell ref="K212:S212"/>
    <mergeCell ref="U212:AA212"/>
    <mergeCell ref="A216:I216"/>
    <mergeCell ref="K216:S216"/>
    <mergeCell ref="U216:AA216"/>
    <mergeCell ref="A220:I220"/>
    <mergeCell ref="K208:S208"/>
    <mergeCell ref="U208:AA208"/>
    <mergeCell ref="A200:I200"/>
    <mergeCell ref="K200:S200"/>
    <mergeCell ref="U200:AA200"/>
    <mergeCell ref="A204:I204"/>
    <mergeCell ref="K204:S204"/>
    <mergeCell ref="U204:AA204"/>
    <mergeCell ref="A208:I208"/>
    <mergeCell ref="K196:S196"/>
    <mergeCell ref="U196:AA196"/>
    <mergeCell ref="A176:I176"/>
    <mergeCell ref="K176:S176"/>
    <mergeCell ref="U176:AA176"/>
    <mergeCell ref="A192:I192"/>
    <mergeCell ref="K192:S192"/>
    <mergeCell ref="U192:AA192"/>
    <mergeCell ref="A196:I196"/>
  </mergeCells>
  <conditionalFormatting sqref="R1:S9 Z2:AA2 R11:S33 R36:S60 AB66 R66:S69 AB73 R73:S80 AB82 R82:S88 AB90 R90:S93 AB95 R95:S106 R252:S1119">
    <cfRule type="containsText" dxfId="10" priority="1" operator="containsText" text="ok">
      <formula>NOT(ISERROR(SEARCH(("ok"),(R1))))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CE5CD"/>
    <outlinePr summaryBelow="0" summaryRight="0"/>
  </sheetPr>
  <dimension ref="A1:Q905"/>
  <sheetViews>
    <sheetView tabSelected="1" workbookViewId="0">
      <pane ySplit="1" topLeftCell="A858" activePane="bottomLeft" state="frozen"/>
      <selection pane="bottomLeft" activeCell="B904" sqref="B904"/>
    </sheetView>
  </sheetViews>
  <sheetFormatPr defaultColWidth="12.5703125" defaultRowHeight="15.75" customHeight="1"/>
  <cols>
    <col min="1" max="1" width="8.85546875" customWidth="1"/>
    <col min="2" max="2" width="24.42578125" customWidth="1"/>
    <col min="3" max="3" width="40.42578125" customWidth="1"/>
    <col min="4" max="4" width="14.42578125" customWidth="1"/>
    <col min="5" max="5" width="15.85546875" customWidth="1"/>
    <col min="6" max="6" width="12.140625" customWidth="1"/>
    <col min="7" max="7" width="51.42578125" customWidth="1"/>
    <col min="8" max="8" width="13.140625" customWidth="1"/>
    <col min="9" max="9" width="17.5703125" customWidth="1"/>
    <col min="10" max="10" width="26.140625" customWidth="1"/>
    <col min="11" max="11" width="20.140625" customWidth="1"/>
    <col min="12" max="12" width="33" hidden="1" customWidth="1"/>
    <col min="13" max="13" width="22.7109375" hidden="1" customWidth="1"/>
    <col min="14" max="14" width="13.7109375" hidden="1" customWidth="1"/>
    <col min="15" max="15" width="32.140625" hidden="1" customWidth="1"/>
    <col min="16" max="16" width="81.7109375" hidden="1" customWidth="1"/>
    <col min="17" max="17" width="15.7109375" customWidth="1"/>
  </cols>
  <sheetData>
    <row r="1" spans="1:17" ht="12.75">
      <c r="A1" s="193" t="s">
        <v>633</v>
      </c>
      <c r="B1" s="193" t="s">
        <v>634</v>
      </c>
      <c r="C1" s="193" t="s">
        <v>635</v>
      </c>
      <c r="D1" s="193" t="s">
        <v>636</v>
      </c>
      <c r="E1" s="193" t="s">
        <v>637</v>
      </c>
      <c r="F1" s="193" t="s">
        <v>25</v>
      </c>
      <c r="G1" s="193" t="s">
        <v>638</v>
      </c>
      <c r="H1" s="193" t="s">
        <v>8</v>
      </c>
      <c r="I1" s="193" t="s">
        <v>639</v>
      </c>
      <c r="J1" s="193" t="s">
        <v>640</v>
      </c>
      <c r="K1" s="193" t="s">
        <v>641</v>
      </c>
      <c r="L1" s="193" t="s">
        <v>642</v>
      </c>
      <c r="M1" s="193" t="s">
        <v>643</v>
      </c>
      <c r="N1" s="193" t="s">
        <v>644</v>
      </c>
      <c r="O1" s="193" t="s">
        <v>645</v>
      </c>
      <c r="P1" s="193" t="s">
        <v>646</v>
      </c>
      <c r="Q1" s="193" t="s">
        <v>647</v>
      </c>
    </row>
    <row r="2" spans="1:17" ht="12.75">
      <c r="A2" s="5" t="s">
        <v>30</v>
      </c>
      <c r="B2" s="5" t="s">
        <v>648</v>
      </c>
      <c r="C2" s="5" t="s">
        <v>649</v>
      </c>
      <c r="D2" s="194">
        <v>40.727005688759</v>
      </c>
      <c r="E2" s="194">
        <v>8.5643234685038507</v>
      </c>
      <c r="F2" s="5" t="s">
        <v>37</v>
      </c>
      <c r="G2" s="5" t="s">
        <v>650</v>
      </c>
      <c r="H2" s="5" t="s">
        <v>39</v>
      </c>
      <c r="I2" s="5" t="s">
        <v>40</v>
      </c>
      <c r="J2" s="5" t="s">
        <v>651</v>
      </c>
      <c r="K2" s="195" t="s">
        <v>652</v>
      </c>
      <c r="L2" s="5" t="str">
        <f>VLOOKUP($K2,'Property names'!$A$1:$D$100,2,FALSE)</f>
        <v>The measure of the hotness or coldness of the air.</v>
      </c>
      <c r="M2" s="5" t="str">
        <f>VLOOKUP($K2,'Property names'!$A$1:$D$100,3,FALSE)</f>
        <v>Degrees Celsius</v>
      </c>
      <c r="N2" s="5" t="str">
        <f>VLOOKUP($K2,'Property names'!$A$1:$D$100,4,FALSE)</f>
        <v>ºC</v>
      </c>
      <c r="O2" s="5" t="str">
        <f t="shared" ref="O2:O24" si="0">SUBSTITUTE(CONCATENATE(B2,"_",F2,"_",J2)," ","_")</f>
        <v>Demo_Field_D001_air_temperature</v>
      </c>
      <c r="P2" s="5" t="str">
        <f t="shared" ref="P2:P24" si="1">CONCATENATE("The datastream containing mesures of field ",B2," by sensor ",F2," which measures ",K2,".")</f>
        <v>The datastream containing mesures of field Demo Field by sensor D001 which measures Air Temperature.</v>
      </c>
      <c r="Q2" s="5" t="s">
        <v>653</v>
      </c>
    </row>
    <row r="3" spans="1:17" ht="12.75">
      <c r="A3" s="5" t="s">
        <v>30</v>
      </c>
      <c r="B3" s="5" t="s">
        <v>648</v>
      </c>
      <c r="C3" s="5" t="s">
        <v>649</v>
      </c>
      <c r="D3" s="194">
        <v>40.727005688759</v>
      </c>
      <c r="E3" s="194">
        <v>8.5643234685038507</v>
      </c>
      <c r="F3" s="5" t="s">
        <v>37</v>
      </c>
      <c r="G3" s="5" t="s">
        <v>650</v>
      </c>
      <c r="H3" s="5" t="s">
        <v>39</v>
      </c>
      <c r="I3" s="5" t="s">
        <v>40</v>
      </c>
      <c r="J3" s="5" t="s">
        <v>654</v>
      </c>
      <c r="K3" s="5" t="s">
        <v>655</v>
      </c>
      <c r="L3" s="5" t="str">
        <f>VLOOKUP($K3,'Property names'!$A$1:$D$100,2,FALSE)</f>
        <v>The amount of moisture or water vapor present in the air, often expressed as a percentage of the maximum amount the air could hold at a given temperature.</v>
      </c>
      <c r="M3" s="5" t="str">
        <f>VLOOKUP($K3,'Property names'!$A$1:$D$100,3,FALSE)</f>
        <v>Percentage</v>
      </c>
      <c r="N3" s="5" t="str">
        <f>VLOOKUP($K3,'Property names'!$A$1:$D$100,4,FALSE)</f>
        <v>%</v>
      </c>
      <c r="O3" s="5" t="str">
        <f t="shared" si="0"/>
        <v>Demo_Field_D001_air_humidity</v>
      </c>
      <c r="P3" s="5" t="str">
        <f t="shared" si="1"/>
        <v>The datastream containing mesures of field Demo Field by sensor D001 which measures Air Humidity.</v>
      </c>
      <c r="Q3" s="5" t="s">
        <v>653</v>
      </c>
    </row>
    <row r="4" spans="1:17" ht="15" customHeight="1">
      <c r="A4" s="5" t="s">
        <v>30</v>
      </c>
      <c r="B4" s="5" t="s">
        <v>648</v>
      </c>
      <c r="C4" s="5" t="s">
        <v>649</v>
      </c>
      <c r="D4" s="194">
        <v>40.727005688759</v>
      </c>
      <c r="E4" s="194">
        <v>8.5643234685038507</v>
      </c>
      <c r="F4" s="5" t="s">
        <v>37</v>
      </c>
      <c r="G4" s="5" t="s">
        <v>650</v>
      </c>
      <c r="H4" s="5" t="s">
        <v>39</v>
      </c>
      <c r="I4" s="5" t="s">
        <v>40</v>
      </c>
      <c r="J4" s="5" t="s">
        <v>656</v>
      </c>
      <c r="K4" s="5" t="s">
        <v>657</v>
      </c>
      <c r="L4" s="5" t="str">
        <f>VLOOKUP($K4,'Property names'!$A$1:$D$100,2,FALSE)</f>
        <v>The quantity of carbon dioxide gas present in the air, used to assess air quality and monitor environmental conditions.</v>
      </c>
      <c r="M4" s="5" t="str">
        <f>VLOOKUP($K4,'Property names'!$A$1:$D$100,3,FALSE)</f>
        <v>Parts per million</v>
      </c>
      <c r="N4" s="5" t="str">
        <f>VLOOKUP($K4,'Property names'!$A$1:$D$100,4,FALSE)</f>
        <v>ppm</v>
      </c>
      <c r="O4" s="5" t="str">
        <f t="shared" si="0"/>
        <v>Demo_Field_D001_co2_concentration</v>
      </c>
      <c r="P4" s="5" t="str">
        <f t="shared" si="1"/>
        <v>The datastream containing mesures of field Demo Field by sensor D001 which measures CO2 Concentration.</v>
      </c>
      <c r="Q4" s="5" t="s">
        <v>653</v>
      </c>
    </row>
    <row r="5" spans="1:17" ht="12.75">
      <c r="A5" s="5" t="s">
        <v>30</v>
      </c>
      <c r="B5" s="5" t="s">
        <v>648</v>
      </c>
      <c r="C5" s="5" t="s">
        <v>649</v>
      </c>
      <c r="D5" s="194">
        <v>40.727005688759</v>
      </c>
      <c r="E5" s="194">
        <v>8.5643234685038507</v>
      </c>
      <c r="F5" s="5" t="s">
        <v>46</v>
      </c>
      <c r="G5" s="5" t="s">
        <v>658</v>
      </c>
      <c r="H5" s="5" t="s">
        <v>48</v>
      </c>
      <c r="I5" s="5" t="s">
        <v>49</v>
      </c>
      <c r="J5" s="5" t="s">
        <v>659</v>
      </c>
      <c r="K5" s="5" t="s">
        <v>660</v>
      </c>
      <c r="L5" s="5" t="str">
        <f>VLOOKUP($K5,'Property names'!$A$1:$D$100,2,FALSE)</f>
        <v>The amount of moisture present in the soil, often expressed as a percentage of the maximum amount the soil could hold at a given temperature.</v>
      </c>
      <c r="M5" s="5" t="str">
        <f>VLOOKUP($K5,'Property names'!$A$1:$D$100,3,FALSE)</f>
        <v>Percentage</v>
      </c>
      <c r="N5" s="5" t="str">
        <f>VLOOKUP($K5,'Property names'!$A$1:$D$100,4,FALSE)</f>
        <v>%</v>
      </c>
      <c r="O5" s="5" t="str">
        <f t="shared" si="0"/>
        <v>Demo_Field_D002_soil_moisture</v>
      </c>
      <c r="P5" s="5" t="str">
        <f t="shared" si="1"/>
        <v>The datastream containing mesures of field Demo Field by sensor D002 which measures Soil Moisture.</v>
      </c>
      <c r="Q5" s="5" t="s">
        <v>653</v>
      </c>
    </row>
    <row r="6" spans="1:17" ht="12.75">
      <c r="A6" s="5" t="s">
        <v>30</v>
      </c>
      <c r="B6" s="5" t="s">
        <v>648</v>
      </c>
      <c r="C6" s="5" t="s">
        <v>649</v>
      </c>
      <c r="D6" s="194">
        <v>40.727005688759</v>
      </c>
      <c r="E6" s="194">
        <v>8.5643234685038507</v>
      </c>
      <c r="F6" s="5" t="s">
        <v>46</v>
      </c>
      <c r="G6" s="5" t="s">
        <v>658</v>
      </c>
      <c r="H6" s="5" t="s">
        <v>48</v>
      </c>
      <c r="I6" s="5" t="s">
        <v>49</v>
      </c>
      <c r="J6" s="5" t="s">
        <v>661</v>
      </c>
      <c r="K6" s="5" t="s">
        <v>662</v>
      </c>
      <c r="L6" s="5" t="str">
        <f>VLOOKUP($K6,'Property names'!$A$1:$D$100,2,FALSE)</f>
        <v>The measure of temperature of the soil.</v>
      </c>
      <c r="M6" s="5" t="str">
        <f>VLOOKUP($K6,'Property names'!$A$1:$D$100,3,FALSE)</f>
        <v>Degrees Celsius</v>
      </c>
      <c r="N6" s="5" t="str">
        <f>VLOOKUP($K6,'Property names'!$A$1:$D$100,4,FALSE)</f>
        <v>ºC</v>
      </c>
      <c r="O6" s="5" t="str">
        <f t="shared" si="0"/>
        <v>Demo_Field_D002_soil_temperature</v>
      </c>
      <c r="P6" s="5" t="str">
        <f t="shared" si="1"/>
        <v>The datastream containing mesures of field Demo Field by sensor D002 which measures Soil Temperature.</v>
      </c>
      <c r="Q6" s="5" t="s">
        <v>653</v>
      </c>
    </row>
    <row r="7" spans="1:17" ht="12.75">
      <c r="A7" s="196" t="s">
        <v>30</v>
      </c>
      <c r="B7" s="196" t="s">
        <v>648</v>
      </c>
      <c r="C7" s="196" t="s">
        <v>649</v>
      </c>
      <c r="D7" s="197">
        <v>40.727005688759</v>
      </c>
      <c r="E7" s="197">
        <v>8.5643234685038507</v>
      </c>
      <c r="F7" s="196" t="s">
        <v>54</v>
      </c>
      <c r="G7" s="196" t="s">
        <v>663</v>
      </c>
      <c r="H7" s="196" t="s">
        <v>56</v>
      </c>
      <c r="I7" s="196" t="s">
        <v>57</v>
      </c>
      <c r="J7" s="5" t="s">
        <v>664</v>
      </c>
      <c r="K7" s="5" t="s">
        <v>665</v>
      </c>
      <c r="L7" s="5" t="str">
        <f>VLOOKUP($K7,'Property names'!$A$1:$D$100,2,FALSE)</f>
        <v>The percentage of battery level associated to the specific sensor.</v>
      </c>
      <c r="M7" s="5" t="str">
        <f>VLOOKUP($K7,'Property names'!$A$1:$D$100,3,FALSE)</f>
        <v>Percentage</v>
      </c>
      <c r="N7" s="5" t="str">
        <f>VLOOKUP($K7,'Property names'!$A$1:$D$100,4,FALSE)</f>
        <v>%</v>
      </c>
      <c r="O7" s="5" t="str">
        <f t="shared" si="0"/>
        <v>Demo_Field_D003_battery_level</v>
      </c>
      <c r="P7" s="5" t="str">
        <f t="shared" si="1"/>
        <v>The datastream containing mesures of field Demo Field by sensor D003 which measures Battery Level.</v>
      </c>
      <c r="Q7" s="5" t="s">
        <v>653</v>
      </c>
    </row>
    <row r="8" spans="1:17" ht="12.75">
      <c r="A8" s="196" t="s">
        <v>30</v>
      </c>
      <c r="B8" s="196" t="s">
        <v>648</v>
      </c>
      <c r="C8" s="196" t="s">
        <v>649</v>
      </c>
      <c r="D8" s="197">
        <v>40.727005688759</v>
      </c>
      <c r="E8" s="197">
        <v>8.5643234685038507</v>
      </c>
      <c r="F8" s="196" t="s">
        <v>54</v>
      </c>
      <c r="G8" s="196" t="s">
        <v>663</v>
      </c>
      <c r="H8" s="196" t="s">
        <v>56</v>
      </c>
      <c r="I8" s="196" t="s">
        <v>57</v>
      </c>
      <c r="J8" s="5" t="s">
        <v>666</v>
      </c>
      <c r="K8" s="5" t="s">
        <v>667</v>
      </c>
      <c r="L8" s="5" t="str">
        <f>VLOOKUP($K8,'Property names'!$A$1:$D$100,2,FALSE)</f>
        <v>The number of pulses read by flowmeter. Depending on flowmeter configuration it could correspond to a different number of cubic meter of water</v>
      </c>
      <c r="M8" s="5" t="str">
        <f>VLOOKUP($K8,'Property names'!$A$1:$D$100,3,FALSE)</f>
        <v>Number of pulses</v>
      </c>
      <c r="N8" s="5" t="str">
        <f>VLOOKUP($K8,'Property names'!$A$1:$D$100,4,FALSE)</f>
        <v>N/A</v>
      </c>
      <c r="O8" s="5" t="str">
        <f t="shared" si="0"/>
        <v>Demo_Field_D003_valve1_pulse</v>
      </c>
      <c r="P8" s="5" t="str">
        <f t="shared" si="1"/>
        <v>The datastream containing mesures of field Demo Field by sensor D003 which measures Flowmeter pulses.</v>
      </c>
      <c r="Q8" s="5" t="s">
        <v>653</v>
      </c>
    </row>
    <row r="9" spans="1:17" ht="12.75">
      <c r="A9" s="196" t="s">
        <v>30</v>
      </c>
      <c r="B9" s="196" t="s">
        <v>648</v>
      </c>
      <c r="C9" s="196" t="s">
        <v>649</v>
      </c>
      <c r="D9" s="197">
        <v>40.727005688759</v>
      </c>
      <c r="E9" s="197">
        <v>8.5643234685038507</v>
      </c>
      <c r="F9" s="196" t="s">
        <v>54</v>
      </c>
      <c r="G9" s="196" t="s">
        <v>663</v>
      </c>
      <c r="H9" s="196" t="s">
        <v>56</v>
      </c>
      <c r="I9" s="196" t="s">
        <v>57</v>
      </c>
      <c r="J9" s="5" t="s">
        <v>668</v>
      </c>
      <c r="K9" s="5" t="s">
        <v>669</v>
      </c>
      <c r="L9" s="5" t="str">
        <f>VLOOKUP($K9,'Property names'!$A$1:$D$100,2,FALSE)</f>
        <v>The current condition of the valve controlled (opened or closed)</v>
      </c>
      <c r="M9" s="5" t="str">
        <f>VLOOKUP($K9,'Property names'!$A$1:$D$100,3,FALSE)</f>
        <v>ON / OFF</v>
      </c>
      <c r="N9" s="5" t="str">
        <f>VLOOKUP($K9,'Property names'!$A$1:$D$100,4,FALSE)</f>
        <v>N/A</v>
      </c>
      <c r="O9" s="5" t="str">
        <f t="shared" si="0"/>
        <v>Demo_Field_D003_valve1_status</v>
      </c>
      <c r="P9" s="5" t="str">
        <f t="shared" si="1"/>
        <v>The datastream containing mesures of field Demo Field by sensor D003 which measures Valve status.</v>
      </c>
      <c r="Q9" s="5" t="s">
        <v>653</v>
      </c>
    </row>
    <row r="10" spans="1:17" ht="12.75">
      <c r="A10" s="196" t="s">
        <v>30</v>
      </c>
      <c r="B10" s="196" t="s">
        <v>648</v>
      </c>
      <c r="C10" s="196" t="s">
        <v>649</v>
      </c>
      <c r="D10" s="197">
        <v>40.727005688759</v>
      </c>
      <c r="E10" s="197">
        <v>8.5643234685038507</v>
      </c>
      <c r="F10" s="196" t="s">
        <v>54</v>
      </c>
      <c r="G10" s="196" t="s">
        <v>663</v>
      </c>
      <c r="H10" s="196" t="s">
        <v>56</v>
      </c>
      <c r="I10" s="196" t="s">
        <v>57</v>
      </c>
      <c r="J10" s="5" t="s">
        <v>670</v>
      </c>
      <c r="K10" s="5" t="s">
        <v>667</v>
      </c>
      <c r="L10" s="5" t="str">
        <f>VLOOKUP($K10,'Property names'!$A$1:$D$100,2,FALSE)</f>
        <v>The number of pulses read by flowmeter. Depending on flowmeter configuration it could correspond to a different number of cubic meter of water</v>
      </c>
      <c r="M10" s="5" t="str">
        <f>VLOOKUP($K10,'Property names'!$A$1:$D$100,3,FALSE)</f>
        <v>Number of pulses</v>
      </c>
      <c r="N10" s="5" t="str">
        <f>VLOOKUP($K10,'Property names'!$A$1:$D$100,4,FALSE)</f>
        <v>N/A</v>
      </c>
      <c r="O10" s="5" t="str">
        <f t="shared" si="0"/>
        <v>Demo_Field_D003_valve2_pulse</v>
      </c>
      <c r="P10" s="5" t="str">
        <f t="shared" si="1"/>
        <v>The datastream containing mesures of field Demo Field by sensor D003 which measures Flowmeter pulses.</v>
      </c>
      <c r="Q10" s="5" t="s">
        <v>653</v>
      </c>
    </row>
    <row r="11" spans="1:17" ht="12.75">
      <c r="A11" s="196" t="s">
        <v>30</v>
      </c>
      <c r="B11" s="196" t="s">
        <v>648</v>
      </c>
      <c r="C11" s="196" t="s">
        <v>649</v>
      </c>
      <c r="D11" s="197">
        <v>40.727005688759</v>
      </c>
      <c r="E11" s="197">
        <v>8.5643234685038507</v>
      </c>
      <c r="F11" s="196" t="s">
        <v>54</v>
      </c>
      <c r="G11" s="196" t="s">
        <v>663</v>
      </c>
      <c r="H11" s="196" t="s">
        <v>56</v>
      </c>
      <c r="I11" s="196" t="s">
        <v>57</v>
      </c>
      <c r="J11" s="5" t="s">
        <v>671</v>
      </c>
      <c r="K11" s="5" t="s">
        <v>669</v>
      </c>
      <c r="L11" s="5" t="str">
        <f>VLOOKUP($K11,'Property names'!$A$1:$D$100,2,FALSE)</f>
        <v>The current condition of the valve controlled (opened or closed)</v>
      </c>
      <c r="M11" s="5" t="str">
        <f>VLOOKUP($K11,'Property names'!$A$1:$D$100,3,FALSE)</f>
        <v>ON / OFF</v>
      </c>
      <c r="N11" s="5" t="str">
        <f>VLOOKUP($K11,'Property names'!$A$1:$D$100,4,FALSE)</f>
        <v>N/A</v>
      </c>
      <c r="O11" s="5" t="str">
        <f t="shared" si="0"/>
        <v>Demo_Field_D003_valve2_status</v>
      </c>
      <c r="P11" s="5" t="str">
        <f t="shared" si="1"/>
        <v>The datastream containing mesures of field Demo Field by sensor D003 which measures Valve status.</v>
      </c>
      <c r="Q11" s="5" t="s">
        <v>653</v>
      </c>
    </row>
    <row r="12" spans="1:17" ht="12.75">
      <c r="A12" s="196" t="s">
        <v>30</v>
      </c>
      <c r="B12" s="196" t="s">
        <v>648</v>
      </c>
      <c r="C12" s="196" t="s">
        <v>649</v>
      </c>
      <c r="D12" s="197">
        <v>40.727005688759</v>
      </c>
      <c r="E12" s="197">
        <v>8.5643234685038507</v>
      </c>
      <c r="F12" s="196" t="s">
        <v>62</v>
      </c>
      <c r="G12" s="196" t="s">
        <v>672</v>
      </c>
      <c r="H12" s="196" t="s">
        <v>64</v>
      </c>
      <c r="I12" s="196" t="s">
        <v>73</v>
      </c>
      <c r="J12" s="5" t="s">
        <v>673</v>
      </c>
      <c r="K12" s="5" t="s">
        <v>660</v>
      </c>
      <c r="L12" s="5" t="str">
        <f>VLOOKUP($K12,'Property names'!$A$1:$D$100,2,FALSE)</f>
        <v>The amount of moisture present in the soil, often expressed as a percentage of the maximum amount the soil could hold at a given temperature.</v>
      </c>
      <c r="M12" s="5" t="str">
        <f>VLOOKUP($K12,'Property names'!$A$1:$D$100,3,FALSE)</f>
        <v>Percentage</v>
      </c>
      <c r="N12" s="5" t="str">
        <f>VLOOKUP($K12,'Property names'!$A$1:$D$100,4,FALSE)</f>
        <v>%</v>
      </c>
      <c r="O12" s="5" t="str">
        <f t="shared" si="0"/>
        <v>Demo_Field_D004_soil_moisture_1</v>
      </c>
      <c r="P12" s="5" t="str">
        <f t="shared" si="1"/>
        <v>The datastream containing mesures of field Demo Field by sensor D004 which measures Soil Moisture.</v>
      </c>
      <c r="Q12" s="5" t="s">
        <v>653</v>
      </c>
    </row>
    <row r="13" spans="1:17" ht="12.75">
      <c r="A13" s="196" t="s">
        <v>30</v>
      </c>
      <c r="B13" s="196" t="s">
        <v>648</v>
      </c>
      <c r="C13" s="196" t="s">
        <v>649</v>
      </c>
      <c r="D13" s="197">
        <v>40.727005688759</v>
      </c>
      <c r="E13" s="197">
        <v>8.5643234685038507</v>
      </c>
      <c r="F13" s="196" t="s">
        <v>62</v>
      </c>
      <c r="G13" s="196" t="s">
        <v>672</v>
      </c>
      <c r="H13" s="196" t="s">
        <v>64</v>
      </c>
      <c r="I13" s="196" t="s">
        <v>73</v>
      </c>
      <c r="J13" s="5" t="s">
        <v>674</v>
      </c>
      <c r="K13" s="5" t="s">
        <v>660</v>
      </c>
      <c r="L13" s="5" t="str">
        <f>VLOOKUP($K13,'Property names'!$A$1:$D$100,2,FALSE)</f>
        <v>The amount of moisture present in the soil, often expressed as a percentage of the maximum amount the soil could hold at a given temperature.</v>
      </c>
      <c r="M13" s="5" t="str">
        <f>VLOOKUP($K13,'Property names'!$A$1:$D$100,3,FALSE)</f>
        <v>Percentage</v>
      </c>
      <c r="N13" s="5" t="str">
        <f>VLOOKUP($K13,'Property names'!$A$1:$D$100,4,FALSE)</f>
        <v>%</v>
      </c>
      <c r="O13" s="5" t="str">
        <f t="shared" si="0"/>
        <v>Demo_Field_D004_soil_moisture_2</v>
      </c>
      <c r="P13" s="5" t="str">
        <f t="shared" si="1"/>
        <v>The datastream containing mesures of field Demo Field by sensor D004 which measures Soil Moisture.</v>
      </c>
      <c r="Q13" s="5" t="s">
        <v>653</v>
      </c>
    </row>
    <row r="14" spans="1:17" ht="12.75">
      <c r="A14" s="196" t="s">
        <v>30</v>
      </c>
      <c r="B14" s="196" t="s">
        <v>648</v>
      </c>
      <c r="C14" s="196" t="s">
        <v>649</v>
      </c>
      <c r="D14" s="197">
        <v>40.727005688759</v>
      </c>
      <c r="E14" s="197">
        <v>8.5643234685038507</v>
      </c>
      <c r="F14" s="196" t="s">
        <v>62</v>
      </c>
      <c r="G14" s="196" t="s">
        <v>672</v>
      </c>
      <c r="H14" s="196" t="s">
        <v>64</v>
      </c>
      <c r="I14" s="196" t="s">
        <v>73</v>
      </c>
      <c r="J14" s="5" t="s">
        <v>675</v>
      </c>
      <c r="K14" s="5" t="s">
        <v>660</v>
      </c>
      <c r="L14" s="5" t="str">
        <f>VLOOKUP($K14,'Property names'!$A$1:$D$100,2,FALSE)</f>
        <v>The amount of moisture present in the soil, often expressed as a percentage of the maximum amount the soil could hold at a given temperature.</v>
      </c>
      <c r="M14" s="5" t="str">
        <f>VLOOKUP($K14,'Property names'!$A$1:$D$100,3,FALSE)</f>
        <v>Percentage</v>
      </c>
      <c r="N14" s="5" t="str">
        <f>VLOOKUP($K14,'Property names'!$A$1:$D$100,4,FALSE)</f>
        <v>%</v>
      </c>
      <c r="O14" s="5" t="str">
        <f t="shared" si="0"/>
        <v>Demo_Field_D004_soil_moisture_3</v>
      </c>
      <c r="P14" s="5" t="str">
        <f t="shared" si="1"/>
        <v>The datastream containing mesures of field Demo Field by sensor D004 which measures Soil Moisture.</v>
      </c>
      <c r="Q14" s="5" t="s">
        <v>653</v>
      </c>
    </row>
    <row r="15" spans="1:17" ht="12.75">
      <c r="A15" s="196" t="s">
        <v>30</v>
      </c>
      <c r="B15" s="196" t="s">
        <v>648</v>
      </c>
      <c r="C15" s="196" t="s">
        <v>649</v>
      </c>
      <c r="D15" s="197">
        <v>40.727005688759</v>
      </c>
      <c r="E15" s="197">
        <v>8.5643234685038507</v>
      </c>
      <c r="F15" s="196" t="s">
        <v>62</v>
      </c>
      <c r="G15" s="196" t="s">
        <v>672</v>
      </c>
      <c r="H15" s="196" t="s">
        <v>64</v>
      </c>
      <c r="I15" s="196" t="s">
        <v>73</v>
      </c>
      <c r="J15" s="5" t="s">
        <v>676</v>
      </c>
      <c r="K15" s="5" t="s">
        <v>660</v>
      </c>
      <c r="L15" s="5" t="str">
        <f>VLOOKUP($K15,'Property names'!$A$1:$D$100,2,FALSE)</f>
        <v>The amount of moisture present in the soil, often expressed as a percentage of the maximum amount the soil could hold at a given temperature.</v>
      </c>
      <c r="M15" s="5" t="str">
        <f>VLOOKUP($K15,'Property names'!$A$1:$D$100,3,FALSE)</f>
        <v>Percentage</v>
      </c>
      <c r="N15" s="5" t="str">
        <f>VLOOKUP($K15,'Property names'!$A$1:$D$100,4,FALSE)</f>
        <v>%</v>
      </c>
      <c r="O15" s="5" t="str">
        <f t="shared" si="0"/>
        <v>Demo_Field_D004_soil_moisture_4</v>
      </c>
      <c r="P15" s="5" t="str">
        <f t="shared" si="1"/>
        <v>The datastream containing mesures of field Demo Field by sensor D004 which measures Soil Moisture.</v>
      </c>
      <c r="Q15" s="5" t="s">
        <v>653</v>
      </c>
    </row>
    <row r="16" spans="1:17" ht="12.75">
      <c r="A16" s="196" t="s">
        <v>30</v>
      </c>
      <c r="B16" s="196" t="s">
        <v>648</v>
      </c>
      <c r="C16" s="196" t="s">
        <v>649</v>
      </c>
      <c r="D16" s="197">
        <v>40.727005688759</v>
      </c>
      <c r="E16" s="197">
        <v>8.5643234685038507</v>
      </c>
      <c r="F16" s="196" t="s">
        <v>62</v>
      </c>
      <c r="G16" s="196" t="s">
        <v>672</v>
      </c>
      <c r="H16" s="196" t="s">
        <v>64</v>
      </c>
      <c r="I16" s="196" t="s">
        <v>73</v>
      </c>
      <c r="J16" s="5" t="s">
        <v>677</v>
      </c>
      <c r="K16" s="5" t="s">
        <v>660</v>
      </c>
      <c r="L16" s="5" t="str">
        <f>VLOOKUP($K16,'Property names'!$A$1:$D$100,2,FALSE)</f>
        <v>The amount of moisture present in the soil, often expressed as a percentage of the maximum amount the soil could hold at a given temperature.</v>
      </c>
      <c r="M16" s="5" t="str">
        <f>VLOOKUP($K16,'Property names'!$A$1:$D$100,3,FALSE)</f>
        <v>Percentage</v>
      </c>
      <c r="N16" s="5" t="str">
        <f>VLOOKUP($K16,'Property names'!$A$1:$D$100,4,FALSE)</f>
        <v>%</v>
      </c>
      <c r="O16" s="5" t="str">
        <f t="shared" si="0"/>
        <v>Demo_Field_D004_soil_moisture_5</v>
      </c>
      <c r="P16" s="5" t="str">
        <f t="shared" si="1"/>
        <v>The datastream containing mesures of field Demo Field by sensor D004 which measures Soil Moisture.</v>
      </c>
      <c r="Q16" s="5" t="s">
        <v>653</v>
      </c>
    </row>
    <row r="17" spans="1:17" ht="12.75">
      <c r="A17" s="196" t="s">
        <v>30</v>
      </c>
      <c r="B17" s="196" t="s">
        <v>648</v>
      </c>
      <c r="C17" s="196" t="s">
        <v>649</v>
      </c>
      <c r="D17" s="197">
        <v>40.727005688759</v>
      </c>
      <c r="E17" s="197">
        <v>8.5643234685038507</v>
      </c>
      <c r="F17" s="196" t="s">
        <v>62</v>
      </c>
      <c r="G17" s="196" t="s">
        <v>672</v>
      </c>
      <c r="H17" s="196" t="s">
        <v>64</v>
      </c>
      <c r="I17" s="196" t="s">
        <v>73</v>
      </c>
      <c r="J17" s="5" t="s">
        <v>678</v>
      </c>
      <c r="K17" s="5" t="s">
        <v>660</v>
      </c>
      <c r="L17" s="5" t="str">
        <f>VLOOKUP($K17,'Property names'!$A$1:$D$100,2,FALSE)</f>
        <v>The amount of moisture present in the soil, often expressed as a percentage of the maximum amount the soil could hold at a given temperature.</v>
      </c>
      <c r="M17" s="5" t="str">
        <f>VLOOKUP($K17,'Property names'!$A$1:$D$100,3,FALSE)</f>
        <v>Percentage</v>
      </c>
      <c r="N17" s="5" t="str">
        <f>VLOOKUP($K17,'Property names'!$A$1:$D$100,4,FALSE)</f>
        <v>%</v>
      </c>
      <c r="O17" s="5" t="str">
        <f t="shared" si="0"/>
        <v>Demo_Field_D004_soil_moisture_6</v>
      </c>
      <c r="P17" s="5" t="str">
        <f t="shared" si="1"/>
        <v>The datastream containing mesures of field Demo Field by sensor D004 which measures Soil Moisture.</v>
      </c>
      <c r="Q17" s="5" t="s">
        <v>653</v>
      </c>
    </row>
    <row r="18" spans="1:17" ht="12.75">
      <c r="A18" s="196" t="s">
        <v>30</v>
      </c>
      <c r="B18" s="196" t="s">
        <v>648</v>
      </c>
      <c r="C18" s="196" t="s">
        <v>649</v>
      </c>
      <c r="D18" s="197">
        <v>40.727005688759</v>
      </c>
      <c r="E18" s="197">
        <v>8.5643234685038507</v>
      </c>
      <c r="F18" s="196" t="s">
        <v>62</v>
      </c>
      <c r="G18" s="196" t="s">
        <v>672</v>
      </c>
      <c r="H18" s="196" t="s">
        <v>64</v>
      </c>
      <c r="I18" s="196" t="s">
        <v>73</v>
      </c>
      <c r="J18" s="5" t="s">
        <v>679</v>
      </c>
      <c r="K18" s="5" t="s">
        <v>652</v>
      </c>
      <c r="L18" s="5" t="str">
        <f>VLOOKUP($K18,'Property names'!$A$1:$D$100,2,FALSE)</f>
        <v>The measure of the hotness or coldness of the air.</v>
      </c>
      <c r="M18" s="5" t="str">
        <f>VLOOKUP($K18,'Property names'!$A$1:$D$100,3,FALSE)</f>
        <v>Degrees Celsius</v>
      </c>
      <c r="N18" s="5" t="str">
        <f>VLOOKUP($K18,'Property names'!$A$1:$D$100,4,FALSE)</f>
        <v>ºC</v>
      </c>
      <c r="O18" s="5" t="str">
        <f t="shared" si="0"/>
        <v>Demo_Field_D004_ambient_temperature</v>
      </c>
      <c r="P18" s="5" t="str">
        <f t="shared" si="1"/>
        <v>The datastream containing mesures of field Demo Field by sensor D004 which measures Air Temperature.</v>
      </c>
      <c r="Q18" s="5" t="s">
        <v>653</v>
      </c>
    </row>
    <row r="19" spans="1:17" ht="12.75">
      <c r="A19" s="196" t="s">
        <v>30</v>
      </c>
      <c r="B19" s="196" t="s">
        <v>648</v>
      </c>
      <c r="C19" s="196" t="s">
        <v>649</v>
      </c>
      <c r="D19" s="197">
        <v>40.727005688759</v>
      </c>
      <c r="E19" s="197">
        <v>8.5643234685038507</v>
      </c>
      <c r="F19" s="196" t="s">
        <v>62</v>
      </c>
      <c r="G19" s="196" t="s">
        <v>672</v>
      </c>
      <c r="H19" s="196" t="s">
        <v>64</v>
      </c>
      <c r="I19" s="196" t="s">
        <v>73</v>
      </c>
      <c r="J19" s="5" t="s">
        <v>680</v>
      </c>
      <c r="K19" s="5" t="s">
        <v>662</v>
      </c>
      <c r="L19" s="5" t="str">
        <f>VLOOKUP($K19,'Property names'!$A$1:$D$100,2,FALSE)</f>
        <v>The measure of temperature of the soil.</v>
      </c>
      <c r="M19" s="5" t="str">
        <f>VLOOKUP($K19,'Property names'!$A$1:$D$100,3,FALSE)</f>
        <v>Degrees Celsius</v>
      </c>
      <c r="N19" s="5" t="str">
        <f>VLOOKUP($K19,'Property names'!$A$1:$D$100,4,FALSE)</f>
        <v>ºC</v>
      </c>
      <c r="O19" s="5" t="str">
        <f t="shared" si="0"/>
        <v>Demo_Field_D004_soil_temperature_1</v>
      </c>
      <c r="P19" s="5" t="str">
        <f t="shared" si="1"/>
        <v>The datastream containing mesures of field Demo Field by sensor D004 which measures Soil Temperature.</v>
      </c>
      <c r="Q19" s="5" t="s">
        <v>653</v>
      </c>
    </row>
    <row r="20" spans="1:17" ht="12.75">
      <c r="A20" s="196" t="s">
        <v>30</v>
      </c>
      <c r="B20" s="196" t="s">
        <v>648</v>
      </c>
      <c r="C20" s="196" t="s">
        <v>649</v>
      </c>
      <c r="D20" s="197">
        <v>40.727005688759</v>
      </c>
      <c r="E20" s="197">
        <v>8.5643234685038507</v>
      </c>
      <c r="F20" s="196" t="s">
        <v>62</v>
      </c>
      <c r="G20" s="196" t="s">
        <v>672</v>
      </c>
      <c r="H20" s="196" t="s">
        <v>64</v>
      </c>
      <c r="I20" s="196" t="s">
        <v>73</v>
      </c>
      <c r="J20" s="5" t="s">
        <v>681</v>
      </c>
      <c r="K20" s="5" t="s">
        <v>662</v>
      </c>
      <c r="L20" s="5" t="str">
        <f>VLOOKUP($K20,'Property names'!$A$1:$D$100,2,FALSE)</f>
        <v>The measure of temperature of the soil.</v>
      </c>
      <c r="M20" s="5" t="str">
        <f>VLOOKUP($K20,'Property names'!$A$1:$D$100,3,FALSE)</f>
        <v>Degrees Celsius</v>
      </c>
      <c r="N20" s="5" t="str">
        <f>VLOOKUP($K20,'Property names'!$A$1:$D$100,4,FALSE)</f>
        <v>ºC</v>
      </c>
      <c r="O20" s="5" t="str">
        <f t="shared" si="0"/>
        <v>Demo_Field_D004_soil_temperature_2</v>
      </c>
      <c r="P20" s="5" t="str">
        <f t="shared" si="1"/>
        <v>The datastream containing mesures of field Demo Field by sensor D004 which measures Soil Temperature.</v>
      </c>
      <c r="Q20" s="5" t="s">
        <v>653</v>
      </c>
    </row>
    <row r="21" spans="1:17" ht="12.75">
      <c r="A21" s="196" t="s">
        <v>30</v>
      </c>
      <c r="B21" s="196" t="s">
        <v>648</v>
      </c>
      <c r="C21" s="196" t="s">
        <v>649</v>
      </c>
      <c r="D21" s="197">
        <v>40.727005688759</v>
      </c>
      <c r="E21" s="197">
        <v>8.5643234685038507</v>
      </c>
      <c r="F21" s="196" t="s">
        <v>62</v>
      </c>
      <c r="G21" s="196" t="s">
        <v>672</v>
      </c>
      <c r="H21" s="196" t="s">
        <v>64</v>
      </c>
      <c r="I21" s="196" t="s">
        <v>73</v>
      </c>
      <c r="J21" s="5" t="s">
        <v>682</v>
      </c>
      <c r="K21" s="5" t="s">
        <v>662</v>
      </c>
      <c r="L21" s="5" t="str">
        <f>VLOOKUP($K21,'Property names'!$A$1:$D$100,2,FALSE)</f>
        <v>The measure of temperature of the soil.</v>
      </c>
      <c r="M21" s="5" t="str">
        <f>VLOOKUP($K21,'Property names'!$A$1:$D$100,3,FALSE)</f>
        <v>Degrees Celsius</v>
      </c>
      <c r="N21" s="5" t="str">
        <f>VLOOKUP($K21,'Property names'!$A$1:$D$100,4,FALSE)</f>
        <v>ºC</v>
      </c>
      <c r="O21" s="5" t="str">
        <f t="shared" si="0"/>
        <v>Demo_Field_D004_soil_temperature_3</v>
      </c>
      <c r="P21" s="5" t="str">
        <f t="shared" si="1"/>
        <v>The datastream containing mesures of field Demo Field by sensor D004 which measures Soil Temperature.</v>
      </c>
      <c r="Q21" s="5" t="s">
        <v>653</v>
      </c>
    </row>
    <row r="22" spans="1:17" ht="12.75">
      <c r="A22" s="196" t="s">
        <v>30</v>
      </c>
      <c r="B22" s="196" t="s">
        <v>648</v>
      </c>
      <c r="C22" s="196" t="s">
        <v>649</v>
      </c>
      <c r="D22" s="197">
        <v>40.727005688759</v>
      </c>
      <c r="E22" s="197">
        <v>8.5643234685038507</v>
      </c>
      <c r="F22" s="196" t="s">
        <v>62</v>
      </c>
      <c r="G22" s="196" t="s">
        <v>672</v>
      </c>
      <c r="H22" s="196" t="s">
        <v>64</v>
      </c>
      <c r="I22" s="196" t="s">
        <v>73</v>
      </c>
      <c r="J22" s="5" t="s">
        <v>683</v>
      </c>
      <c r="K22" s="5" t="s">
        <v>662</v>
      </c>
      <c r="L22" s="5" t="str">
        <f>VLOOKUP($K22,'Property names'!$A$1:$D$100,2,FALSE)</f>
        <v>The measure of temperature of the soil.</v>
      </c>
      <c r="M22" s="5" t="str">
        <f>VLOOKUP($K22,'Property names'!$A$1:$D$100,3,FALSE)</f>
        <v>Degrees Celsius</v>
      </c>
      <c r="N22" s="5" t="str">
        <f>VLOOKUP($K22,'Property names'!$A$1:$D$100,4,FALSE)</f>
        <v>ºC</v>
      </c>
      <c r="O22" s="5" t="str">
        <f t="shared" si="0"/>
        <v>Demo_Field_D004_soil_temperature_4</v>
      </c>
      <c r="P22" s="5" t="str">
        <f t="shared" si="1"/>
        <v>The datastream containing mesures of field Demo Field by sensor D004 which measures Soil Temperature.</v>
      </c>
      <c r="Q22" s="5" t="s">
        <v>653</v>
      </c>
    </row>
    <row r="23" spans="1:17" ht="12.75">
      <c r="A23" s="196" t="s">
        <v>30</v>
      </c>
      <c r="B23" s="196" t="s">
        <v>648</v>
      </c>
      <c r="C23" s="196" t="s">
        <v>649</v>
      </c>
      <c r="D23" s="197">
        <v>40.727005688759</v>
      </c>
      <c r="E23" s="197">
        <v>8.5643234685038507</v>
      </c>
      <c r="F23" s="196" t="s">
        <v>62</v>
      </c>
      <c r="G23" s="196" t="s">
        <v>672</v>
      </c>
      <c r="H23" s="196" t="s">
        <v>64</v>
      </c>
      <c r="I23" s="196" t="s">
        <v>73</v>
      </c>
      <c r="J23" s="5" t="s">
        <v>684</v>
      </c>
      <c r="K23" s="5" t="s">
        <v>662</v>
      </c>
      <c r="L23" s="5" t="str">
        <f>VLOOKUP($K23,'Property names'!$A$1:$D$100,2,FALSE)</f>
        <v>The measure of temperature of the soil.</v>
      </c>
      <c r="M23" s="5" t="str">
        <f>VLOOKUP($K23,'Property names'!$A$1:$D$100,3,FALSE)</f>
        <v>Degrees Celsius</v>
      </c>
      <c r="N23" s="5" t="str">
        <f>VLOOKUP($K23,'Property names'!$A$1:$D$100,4,FALSE)</f>
        <v>ºC</v>
      </c>
      <c r="O23" s="5" t="str">
        <f t="shared" si="0"/>
        <v>Demo_Field_D004_soil_temperature_5</v>
      </c>
      <c r="P23" s="5" t="str">
        <f t="shared" si="1"/>
        <v>The datastream containing mesures of field Demo Field by sensor D004 which measures Soil Temperature.</v>
      </c>
      <c r="Q23" s="5" t="s">
        <v>653</v>
      </c>
    </row>
    <row r="24" spans="1:17" ht="12.75">
      <c r="A24" s="196" t="s">
        <v>30</v>
      </c>
      <c r="B24" s="196" t="s">
        <v>648</v>
      </c>
      <c r="C24" s="196" t="s">
        <v>649</v>
      </c>
      <c r="D24" s="197">
        <v>40.727005688759</v>
      </c>
      <c r="E24" s="197">
        <v>8.5643234685038507</v>
      </c>
      <c r="F24" s="196" t="s">
        <v>62</v>
      </c>
      <c r="G24" s="196" t="s">
        <v>672</v>
      </c>
      <c r="H24" s="196" t="s">
        <v>64</v>
      </c>
      <c r="I24" s="196" t="s">
        <v>73</v>
      </c>
      <c r="J24" s="5" t="s">
        <v>685</v>
      </c>
      <c r="K24" s="5" t="s">
        <v>662</v>
      </c>
      <c r="L24" s="5" t="str">
        <f>VLOOKUP($K24,'Property names'!$A$1:$D$100,2,FALSE)</f>
        <v>The measure of temperature of the soil.</v>
      </c>
      <c r="M24" s="5" t="str">
        <f>VLOOKUP($K24,'Property names'!$A$1:$D$100,3,FALSE)</f>
        <v>Degrees Celsius</v>
      </c>
      <c r="N24" s="5" t="str">
        <f>VLOOKUP($K24,'Property names'!$A$1:$D$100,4,FALSE)</f>
        <v>ºC</v>
      </c>
      <c r="O24" s="5" t="str">
        <f t="shared" si="0"/>
        <v>Demo_Field_D004_soil_temperature_6</v>
      </c>
      <c r="P24" s="5" t="str">
        <f t="shared" si="1"/>
        <v>The datastream containing mesures of field Demo Field by sensor D004 which measures Soil Temperature.</v>
      </c>
      <c r="Q24" s="5" t="s">
        <v>653</v>
      </c>
    </row>
    <row r="25" spans="1:17" ht="12.75">
      <c r="A25" s="196" t="s">
        <v>30</v>
      </c>
      <c r="B25" s="196" t="s">
        <v>648</v>
      </c>
      <c r="C25" s="196" t="s">
        <v>649</v>
      </c>
      <c r="D25" s="197">
        <v>40.727005688759</v>
      </c>
      <c r="E25" s="197">
        <v>8.5643234685038507</v>
      </c>
      <c r="F25" s="196" t="s">
        <v>70</v>
      </c>
      <c r="G25" s="196" t="s">
        <v>686</v>
      </c>
      <c r="H25" s="5" t="str">
        <f>VLOOKUP(F25,'All sensors Installed'!$A$2:$I$1119,6,)</f>
        <v>ST05</v>
      </c>
      <c r="I25" s="196" t="s">
        <v>687</v>
      </c>
      <c r="J25" s="196" t="s">
        <v>688</v>
      </c>
      <c r="K25" s="196" t="s">
        <v>667</v>
      </c>
      <c r="L25" s="5" t="str">
        <f>VLOOKUP($K25,'Property names'!$A$1:$D$100,2,FALSE)</f>
        <v>The number of pulses read by flowmeter. Depending on flowmeter configuration it could correspond to a different number of cubic meter of water</v>
      </c>
      <c r="M25" s="5" t="str">
        <f>VLOOKUP($K25,'Property names'!$A$1:$D$100,3,FALSE)</f>
        <v>Number of pulses</v>
      </c>
      <c r="N25" s="5" t="str">
        <f>VLOOKUP($K25,'Property names'!$A$1:$D$100,4,FALSE)</f>
        <v>N/A</v>
      </c>
      <c r="O25" s="5" t="str">
        <f t="shared" ref="O25:O27" si="2">SUBSTITUTE(CONCATENATE(B25,"_",F25,"_",J25)," ","_")</f>
        <v>Demo_Field_D005_count</v>
      </c>
      <c r="P25" s="5" t="str">
        <f t="shared" ref="P25:P27" si="3">CONCATENATE("The datastream containing mesures of field ",B25," by sensor ",F25," which measures ",K25,".")</f>
        <v>The datastream containing mesures of field Demo Field by sensor D005 which measures Flowmeter pulses.</v>
      </c>
      <c r="Q25" s="5" t="s">
        <v>653</v>
      </c>
    </row>
    <row r="26" spans="1:17" ht="12.75">
      <c r="A26" s="196" t="s">
        <v>30</v>
      </c>
      <c r="B26" s="196" t="s">
        <v>648</v>
      </c>
      <c r="C26" s="196" t="s">
        <v>649</v>
      </c>
      <c r="D26" s="197">
        <v>40.727005688759</v>
      </c>
      <c r="E26" s="197">
        <v>8.5643234685038507</v>
      </c>
      <c r="F26" s="196" t="s">
        <v>70</v>
      </c>
      <c r="G26" s="196" t="s">
        <v>686</v>
      </c>
      <c r="H26" s="5" t="str">
        <f>VLOOKUP(F26,'All sensors Installed'!$A$2:$I$1119,6,)</f>
        <v>ST05</v>
      </c>
      <c r="I26" s="196" t="s">
        <v>687</v>
      </c>
      <c r="J26" s="196" t="s">
        <v>689</v>
      </c>
      <c r="K26" s="196" t="s">
        <v>690</v>
      </c>
      <c r="L26" s="5" t="str">
        <f>VLOOKUP($K26,'Property names'!$A$1:$D$100,2,FALSE)</f>
        <v>A warning in case of water leak detected</v>
      </c>
      <c r="M26" s="5" t="str">
        <f>VLOOKUP($K26,'Property names'!$A$1:$D$100,3,FALSE)</f>
        <v>True / False</v>
      </c>
      <c r="N26" s="5" t="str">
        <f>VLOOKUP($K26,'Property names'!$A$1:$D$100,4,FALSE)</f>
        <v>N/A</v>
      </c>
      <c r="O26" s="5" t="str">
        <f t="shared" si="2"/>
        <v>Demo_Field_D005_leak</v>
      </c>
      <c r="P26" s="5" t="str">
        <f t="shared" si="3"/>
        <v>The datastream containing mesures of field Demo Field by sensor D005 which measures Leak warning.</v>
      </c>
      <c r="Q26" s="5" t="s">
        <v>653</v>
      </c>
    </row>
    <row r="27" spans="1:17" ht="12.75">
      <c r="A27" s="196" t="s">
        <v>30</v>
      </c>
      <c r="B27" s="196" t="s">
        <v>648</v>
      </c>
      <c r="C27" s="196" t="s">
        <v>649</v>
      </c>
      <c r="D27" s="197">
        <v>40.727005688759</v>
      </c>
      <c r="E27" s="197">
        <v>8.5643234685038507</v>
      </c>
      <c r="F27" s="196" t="s">
        <v>70</v>
      </c>
      <c r="G27" s="196" t="s">
        <v>686</v>
      </c>
      <c r="H27" s="5" t="str">
        <f>VLOOKUP(F27,'All sensors Installed'!$A$2:$I$1119,6,)</f>
        <v>ST05</v>
      </c>
      <c r="I27" s="196" t="s">
        <v>687</v>
      </c>
      <c r="J27" s="196" t="s">
        <v>691</v>
      </c>
      <c r="K27" s="196" t="s">
        <v>692</v>
      </c>
      <c r="L27" s="5" t="str">
        <f>VLOOKUP($K27,'Property names'!$A$1:$D$100,2,FALSE)</f>
        <v>The electrical potential in a battery, indicating its charge level.</v>
      </c>
      <c r="M27" s="5" t="str">
        <f>VLOOKUP($K27,'Property names'!$A$1:$D$100,3,FALSE)</f>
        <v>Millivolts</v>
      </c>
      <c r="N27" s="5" t="str">
        <f>VLOOKUP($K27,'Property names'!$A$1:$D$100,4,FALSE)</f>
        <v>mV</v>
      </c>
      <c r="O27" s="5" t="str">
        <f t="shared" si="2"/>
        <v>Demo_Field_D005_system_voltage</v>
      </c>
      <c r="P27" s="5" t="str">
        <f t="shared" si="3"/>
        <v>The datastream containing mesures of field Demo Field by sensor D005 which measures Battery Voltage.</v>
      </c>
      <c r="Q27" s="5" t="s">
        <v>653</v>
      </c>
    </row>
    <row r="28" spans="1:17" ht="12.75">
      <c r="A28" s="5" t="s">
        <v>693</v>
      </c>
      <c r="B28" s="5" t="s">
        <v>694</v>
      </c>
      <c r="C28" s="5" t="s">
        <v>695</v>
      </c>
      <c r="D28" s="197">
        <v>39.775970000000001</v>
      </c>
      <c r="E28" s="197">
        <v>8.5490300000000001</v>
      </c>
      <c r="F28" s="5" t="s">
        <v>88</v>
      </c>
      <c r="G28" s="196" t="s">
        <v>672</v>
      </c>
      <c r="H28" s="5" t="str">
        <f>VLOOKUP(F28,'All sensors Installed'!$A$2:$K$1119,6,)</f>
        <v>ST04</v>
      </c>
      <c r="I28" s="5" t="str">
        <f>VLOOKUP(F28,'All sensors Installed'!$A$2:$K$1119,11,)</f>
        <v>AC1F09FFFE04E48A</v>
      </c>
      <c r="J28" s="5" t="s">
        <v>673</v>
      </c>
      <c r="K28" s="5" t="s">
        <v>660</v>
      </c>
      <c r="L28" s="5" t="str">
        <f>VLOOKUP($K28,'Property names'!$A$1:$D$100,2,FALSE)</f>
        <v>The amount of moisture present in the soil, often expressed as a percentage of the maximum amount the soil could hold at a given temperature.</v>
      </c>
      <c r="M28" s="5" t="str">
        <f>VLOOKUP($K28,'Property names'!$A$1:$D$100,3,FALSE)</f>
        <v>Percentage</v>
      </c>
      <c r="N28" s="5" t="str">
        <f>VLOOKUP($K28,'Property names'!$A$1:$D$100,4,FALSE)</f>
        <v>%</v>
      </c>
      <c r="O28" s="5" t="str">
        <f t="shared" ref="O28:O180" si="4">SUBSTITUTE(CONCATENATE(B28,"_",F28,"_",J28)," ","_")</f>
        <v>Torresan_I001_soil_moisture_1</v>
      </c>
      <c r="P28" s="5" t="str">
        <f t="shared" ref="P28:P180" si="5">CONCATENATE("The datastream containing mesures of field ",B28," by sensor ",F28," which measures ",K28,".")</f>
        <v>The datastream containing mesures of field Torresan by sensor I001 which measures Soil Moisture.</v>
      </c>
      <c r="Q28" s="5" t="s">
        <v>653</v>
      </c>
    </row>
    <row r="29" spans="1:17" ht="12.75">
      <c r="A29" s="5" t="s">
        <v>693</v>
      </c>
      <c r="B29" s="5" t="s">
        <v>694</v>
      </c>
      <c r="C29" s="5" t="s">
        <v>695</v>
      </c>
      <c r="D29" s="197">
        <v>39.775970000000001</v>
      </c>
      <c r="E29" s="197">
        <v>8.5490300000000001</v>
      </c>
      <c r="F29" s="5" t="s">
        <v>88</v>
      </c>
      <c r="G29" s="196" t="s">
        <v>672</v>
      </c>
      <c r="H29" s="5" t="str">
        <f>VLOOKUP(F29,'All sensors Installed'!$A$2:$K$1119,6,)</f>
        <v>ST04</v>
      </c>
      <c r="I29" s="5" t="str">
        <f>VLOOKUP(F29,'All sensors Installed'!$A$2:$K$1119,11,)</f>
        <v>AC1F09FFFE04E48A</v>
      </c>
      <c r="J29" s="5" t="s">
        <v>674</v>
      </c>
      <c r="K29" s="5" t="s">
        <v>660</v>
      </c>
      <c r="L29" s="5" t="str">
        <f>VLOOKUP($K29,'Property names'!$A$1:$D$100,2,FALSE)</f>
        <v>The amount of moisture present in the soil, often expressed as a percentage of the maximum amount the soil could hold at a given temperature.</v>
      </c>
      <c r="M29" s="5" t="str">
        <f>VLOOKUP($K29,'Property names'!$A$1:$D$100,3,FALSE)</f>
        <v>Percentage</v>
      </c>
      <c r="N29" s="5" t="str">
        <f>VLOOKUP($K29,'Property names'!$A$1:$D$100,4,FALSE)</f>
        <v>%</v>
      </c>
      <c r="O29" s="5" t="str">
        <f t="shared" si="4"/>
        <v>Torresan_I001_soil_moisture_2</v>
      </c>
      <c r="P29" s="5" t="str">
        <f t="shared" si="5"/>
        <v>The datastream containing mesures of field Torresan by sensor I001 which measures Soil Moisture.</v>
      </c>
      <c r="Q29" s="5" t="s">
        <v>653</v>
      </c>
    </row>
    <row r="30" spans="1:17" ht="12.75">
      <c r="A30" s="5" t="s">
        <v>693</v>
      </c>
      <c r="B30" s="5" t="s">
        <v>694</v>
      </c>
      <c r="C30" s="5" t="s">
        <v>695</v>
      </c>
      <c r="D30" s="197">
        <v>39.775970000000001</v>
      </c>
      <c r="E30" s="197">
        <v>8.5490300000000001</v>
      </c>
      <c r="F30" s="5" t="s">
        <v>88</v>
      </c>
      <c r="G30" s="196" t="s">
        <v>672</v>
      </c>
      <c r="H30" s="5" t="str">
        <f>VLOOKUP(F30,'All sensors Installed'!$A$2:$K$1119,6,)</f>
        <v>ST04</v>
      </c>
      <c r="I30" s="5" t="str">
        <f>VLOOKUP(F30,'All sensors Installed'!$A$2:$K$1119,11,)</f>
        <v>AC1F09FFFE04E48A</v>
      </c>
      <c r="J30" s="5" t="s">
        <v>675</v>
      </c>
      <c r="K30" s="5" t="s">
        <v>660</v>
      </c>
      <c r="L30" s="5" t="str">
        <f>VLOOKUP($K30,'Property names'!$A$1:$D$100,2,FALSE)</f>
        <v>The amount of moisture present in the soil, often expressed as a percentage of the maximum amount the soil could hold at a given temperature.</v>
      </c>
      <c r="M30" s="5" t="str">
        <f>VLOOKUP($K30,'Property names'!$A$1:$D$100,3,FALSE)</f>
        <v>Percentage</v>
      </c>
      <c r="N30" s="5" t="str">
        <f>VLOOKUP($K30,'Property names'!$A$1:$D$100,4,FALSE)</f>
        <v>%</v>
      </c>
      <c r="O30" s="5" t="str">
        <f t="shared" si="4"/>
        <v>Torresan_I001_soil_moisture_3</v>
      </c>
      <c r="P30" s="5" t="str">
        <f t="shared" si="5"/>
        <v>The datastream containing mesures of field Torresan by sensor I001 which measures Soil Moisture.</v>
      </c>
      <c r="Q30" s="5" t="s">
        <v>653</v>
      </c>
    </row>
    <row r="31" spans="1:17" ht="12.75">
      <c r="A31" s="5" t="s">
        <v>693</v>
      </c>
      <c r="B31" s="5" t="s">
        <v>694</v>
      </c>
      <c r="C31" s="5" t="s">
        <v>695</v>
      </c>
      <c r="D31" s="197">
        <v>39.775970000000001</v>
      </c>
      <c r="E31" s="197">
        <v>8.5490300000000001</v>
      </c>
      <c r="F31" s="5" t="s">
        <v>88</v>
      </c>
      <c r="G31" s="196" t="s">
        <v>672</v>
      </c>
      <c r="H31" s="5" t="str">
        <f>VLOOKUP(F31,'All sensors Installed'!$A$2:$K$1119,6,)</f>
        <v>ST04</v>
      </c>
      <c r="I31" s="5" t="str">
        <f>VLOOKUP(F31,'All sensors Installed'!$A$2:$K$1119,11,)</f>
        <v>AC1F09FFFE04E48A</v>
      </c>
      <c r="J31" s="5" t="s">
        <v>676</v>
      </c>
      <c r="K31" s="5" t="s">
        <v>660</v>
      </c>
      <c r="L31" s="5" t="str">
        <f>VLOOKUP($K31,'Property names'!$A$1:$D$100,2,FALSE)</f>
        <v>The amount of moisture present in the soil, often expressed as a percentage of the maximum amount the soil could hold at a given temperature.</v>
      </c>
      <c r="M31" s="5" t="str">
        <f>VLOOKUP($K31,'Property names'!$A$1:$D$100,3,FALSE)</f>
        <v>Percentage</v>
      </c>
      <c r="N31" s="5" t="str">
        <f>VLOOKUP($K31,'Property names'!$A$1:$D$100,4,FALSE)</f>
        <v>%</v>
      </c>
      <c r="O31" s="5" t="str">
        <f t="shared" si="4"/>
        <v>Torresan_I001_soil_moisture_4</v>
      </c>
      <c r="P31" s="5" t="str">
        <f t="shared" si="5"/>
        <v>The datastream containing mesures of field Torresan by sensor I001 which measures Soil Moisture.</v>
      </c>
      <c r="Q31" s="5" t="s">
        <v>653</v>
      </c>
    </row>
    <row r="32" spans="1:17" ht="12.75">
      <c r="A32" s="5" t="s">
        <v>693</v>
      </c>
      <c r="B32" s="5" t="s">
        <v>694</v>
      </c>
      <c r="C32" s="5" t="s">
        <v>695</v>
      </c>
      <c r="D32" s="197">
        <v>39.775970000000001</v>
      </c>
      <c r="E32" s="197">
        <v>8.5490300000000001</v>
      </c>
      <c r="F32" s="5" t="s">
        <v>88</v>
      </c>
      <c r="G32" s="196" t="s">
        <v>672</v>
      </c>
      <c r="H32" s="5" t="str">
        <f>VLOOKUP(F32,'All sensors Installed'!$A$2:$K$1119,6,)</f>
        <v>ST04</v>
      </c>
      <c r="I32" s="5" t="str">
        <f>VLOOKUP(F32,'All sensors Installed'!$A$2:$K$1119,11,)</f>
        <v>AC1F09FFFE04E48A</v>
      </c>
      <c r="J32" s="5" t="s">
        <v>677</v>
      </c>
      <c r="K32" s="5" t="s">
        <v>660</v>
      </c>
      <c r="L32" s="5" t="str">
        <f>VLOOKUP($K32,'Property names'!$A$1:$D$100,2,FALSE)</f>
        <v>The amount of moisture present in the soil, often expressed as a percentage of the maximum amount the soil could hold at a given temperature.</v>
      </c>
      <c r="M32" s="5" t="str">
        <f>VLOOKUP($K32,'Property names'!$A$1:$D$100,3,FALSE)</f>
        <v>Percentage</v>
      </c>
      <c r="N32" s="5" t="str">
        <f>VLOOKUP($K32,'Property names'!$A$1:$D$100,4,FALSE)</f>
        <v>%</v>
      </c>
      <c r="O32" s="5" t="str">
        <f t="shared" si="4"/>
        <v>Torresan_I001_soil_moisture_5</v>
      </c>
      <c r="P32" s="5" t="str">
        <f t="shared" si="5"/>
        <v>The datastream containing mesures of field Torresan by sensor I001 which measures Soil Moisture.</v>
      </c>
      <c r="Q32" s="5" t="s">
        <v>653</v>
      </c>
    </row>
    <row r="33" spans="1:17" ht="12.75">
      <c r="A33" s="5" t="s">
        <v>693</v>
      </c>
      <c r="B33" s="5" t="s">
        <v>694</v>
      </c>
      <c r="C33" s="5" t="s">
        <v>695</v>
      </c>
      <c r="D33" s="197">
        <v>39.775970000000001</v>
      </c>
      <c r="E33" s="197">
        <v>8.5490300000000001</v>
      </c>
      <c r="F33" s="5" t="s">
        <v>88</v>
      </c>
      <c r="G33" s="196" t="s">
        <v>672</v>
      </c>
      <c r="H33" s="5" t="str">
        <f>VLOOKUP(F33,'All sensors Installed'!$A$2:$K$1119,6,)</f>
        <v>ST04</v>
      </c>
      <c r="I33" s="5" t="str">
        <f>VLOOKUP(F33,'All sensors Installed'!$A$2:$K$1119,11,)</f>
        <v>AC1F09FFFE04E48A</v>
      </c>
      <c r="J33" s="5" t="s">
        <v>678</v>
      </c>
      <c r="K33" s="5" t="s">
        <v>660</v>
      </c>
      <c r="L33" s="5" t="str">
        <f>VLOOKUP($K33,'Property names'!$A$1:$D$100,2,FALSE)</f>
        <v>The amount of moisture present in the soil, often expressed as a percentage of the maximum amount the soil could hold at a given temperature.</v>
      </c>
      <c r="M33" s="5" t="str">
        <f>VLOOKUP($K33,'Property names'!$A$1:$D$100,3,FALSE)</f>
        <v>Percentage</v>
      </c>
      <c r="N33" s="5" t="str">
        <f>VLOOKUP($K33,'Property names'!$A$1:$D$100,4,FALSE)</f>
        <v>%</v>
      </c>
      <c r="O33" s="5" t="str">
        <f t="shared" si="4"/>
        <v>Torresan_I001_soil_moisture_6</v>
      </c>
      <c r="P33" s="5" t="str">
        <f t="shared" si="5"/>
        <v>The datastream containing mesures of field Torresan by sensor I001 which measures Soil Moisture.</v>
      </c>
      <c r="Q33" s="5" t="s">
        <v>653</v>
      </c>
    </row>
    <row r="34" spans="1:17" ht="12.75">
      <c r="A34" s="5" t="s">
        <v>693</v>
      </c>
      <c r="B34" s="5" t="s">
        <v>694</v>
      </c>
      <c r="C34" s="5" t="s">
        <v>695</v>
      </c>
      <c r="D34" s="197">
        <v>39.775970000000001</v>
      </c>
      <c r="E34" s="197">
        <v>8.5490300000000001</v>
      </c>
      <c r="F34" s="5" t="s">
        <v>88</v>
      </c>
      <c r="G34" s="196" t="s">
        <v>672</v>
      </c>
      <c r="H34" s="5" t="str">
        <f>VLOOKUP(F34,'All sensors Installed'!$A$2:$K$1119,6,)</f>
        <v>ST04</v>
      </c>
      <c r="I34" s="5" t="str">
        <f>VLOOKUP(F34,'All sensors Installed'!$A$2:$K$1119,11,)</f>
        <v>AC1F09FFFE04E48A</v>
      </c>
      <c r="J34" s="5" t="s">
        <v>679</v>
      </c>
      <c r="K34" s="5" t="s">
        <v>652</v>
      </c>
      <c r="L34" s="5" t="str">
        <f>VLOOKUP($K34,'Property names'!$A$1:$D$100,2,FALSE)</f>
        <v>The measure of the hotness or coldness of the air.</v>
      </c>
      <c r="M34" s="5" t="str">
        <f>VLOOKUP($K34,'Property names'!$A$1:$D$100,3,FALSE)</f>
        <v>Degrees Celsius</v>
      </c>
      <c r="N34" s="5" t="str">
        <f>VLOOKUP($K34,'Property names'!$A$1:$D$100,4,FALSE)</f>
        <v>ºC</v>
      </c>
      <c r="O34" s="5" t="str">
        <f t="shared" si="4"/>
        <v>Torresan_I001_ambient_temperature</v>
      </c>
      <c r="P34" s="5" t="str">
        <f t="shared" si="5"/>
        <v>The datastream containing mesures of field Torresan by sensor I001 which measures Air Temperature.</v>
      </c>
      <c r="Q34" s="5" t="s">
        <v>653</v>
      </c>
    </row>
    <row r="35" spans="1:17" ht="12.75">
      <c r="A35" s="5" t="s">
        <v>693</v>
      </c>
      <c r="B35" s="5" t="s">
        <v>694</v>
      </c>
      <c r="C35" s="5" t="s">
        <v>695</v>
      </c>
      <c r="D35" s="197">
        <v>39.775970000000001</v>
      </c>
      <c r="E35" s="197">
        <v>8.5490300000000001</v>
      </c>
      <c r="F35" s="5" t="s">
        <v>88</v>
      </c>
      <c r="G35" s="196" t="s">
        <v>672</v>
      </c>
      <c r="H35" s="5" t="str">
        <f>VLOOKUP(F35,'All sensors Installed'!$A$2:$K$1119,6,)</f>
        <v>ST04</v>
      </c>
      <c r="I35" s="5" t="str">
        <f>VLOOKUP(F35,'All sensors Installed'!$A$2:$K$1119,11,)</f>
        <v>AC1F09FFFE04E48A</v>
      </c>
      <c r="J35" s="5" t="s">
        <v>680</v>
      </c>
      <c r="K35" s="5" t="s">
        <v>662</v>
      </c>
      <c r="L35" s="5" t="str">
        <f>VLOOKUP($K35,'Property names'!$A$1:$D$100,2,FALSE)</f>
        <v>The measure of temperature of the soil.</v>
      </c>
      <c r="M35" s="5" t="str">
        <f>VLOOKUP($K35,'Property names'!$A$1:$D$100,3,FALSE)</f>
        <v>Degrees Celsius</v>
      </c>
      <c r="N35" s="5" t="str">
        <f>VLOOKUP($K35,'Property names'!$A$1:$D$100,4,FALSE)</f>
        <v>ºC</v>
      </c>
      <c r="O35" s="5" t="str">
        <f t="shared" si="4"/>
        <v>Torresan_I001_soil_temperature_1</v>
      </c>
      <c r="P35" s="5" t="str">
        <f t="shared" si="5"/>
        <v>The datastream containing mesures of field Torresan by sensor I001 which measures Soil Temperature.</v>
      </c>
      <c r="Q35" s="5" t="s">
        <v>653</v>
      </c>
    </row>
    <row r="36" spans="1:17" ht="12.75">
      <c r="A36" s="5" t="s">
        <v>693</v>
      </c>
      <c r="B36" s="5" t="s">
        <v>694</v>
      </c>
      <c r="C36" s="5" t="s">
        <v>695</v>
      </c>
      <c r="D36" s="197">
        <v>39.775970000000001</v>
      </c>
      <c r="E36" s="197">
        <v>8.5490300000000001</v>
      </c>
      <c r="F36" s="5" t="s">
        <v>88</v>
      </c>
      <c r="G36" s="196" t="s">
        <v>672</v>
      </c>
      <c r="H36" s="5" t="str">
        <f>VLOOKUP(F36,'All sensors Installed'!$A$2:$K$1119,6,)</f>
        <v>ST04</v>
      </c>
      <c r="I36" s="5" t="str">
        <f>VLOOKUP(F36,'All sensors Installed'!$A$2:$K$1119,11,)</f>
        <v>AC1F09FFFE04E48A</v>
      </c>
      <c r="J36" s="5" t="s">
        <v>681</v>
      </c>
      <c r="K36" s="5" t="s">
        <v>662</v>
      </c>
      <c r="L36" s="5" t="str">
        <f>VLOOKUP($K36,'Property names'!$A$1:$D$100,2,FALSE)</f>
        <v>The measure of temperature of the soil.</v>
      </c>
      <c r="M36" s="5" t="str">
        <f>VLOOKUP($K36,'Property names'!$A$1:$D$100,3,FALSE)</f>
        <v>Degrees Celsius</v>
      </c>
      <c r="N36" s="5" t="str">
        <f>VLOOKUP($K36,'Property names'!$A$1:$D$100,4,FALSE)</f>
        <v>ºC</v>
      </c>
      <c r="O36" s="5" t="str">
        <f t="shared" si="4"/>
        <v>Torresan_I001_soil_temperature_2</v>
      </c>
      <c r="P36" s="5" t="str">
        <f t="shared" si="5"/>
        <v>The datastream containing mesures of field Torresan by sensor I001 which measures Soil Temperature.</v>
      </c>
      <c r="Q36" s="5" t="s">
        <v>653</v>
      </c>
    </row>
    <row r="37" spans="1:17" ht="12.75">
      <c r="A37" s="5" t="s">
        <v>693</v>
      </c>
      <c r="B37" s="5" t="s">
        <v>694</v>
      </c>
      <c r="C37" s="5" t="s">
        <v>695</v>
      </c>
      <c r="D37" s="197">
        <v>39.775970000000001</v>
      </c>
      <c r="E37" s="197">
        <v>8.5490300000000001</v>
      </c>
      <c r="F37" s="5" t="s">
        <v>88</v>
      </c>
      <c r="G37" s="196" t="s">
        <v>672</v>
      </c>
      <c r="H37" s="5" t="str">
        <f>VLOOKUP(F37,'All sensors Installed'!$A$2:$K$1119,6,)</f>
        <v>ST04</v>
      </c>
      <c r="I37" s="5" t="str">
        <f>VLOOKUP(F37,'All sensors Installed'!$A$2:$K$1119,11,)</f>
        <v>AC1F09FFFE04E48A</v>
      </c>
      <c r="J37" s="5" t="s">
        <v>682</v>
      </c>
      <c r="K37" s="5" t="s">
        <v>662</v>
      </c>
      <c r="L37" s="5" t="str">
        <f>VLOOKUP($K37,'Property names'!$A$1:$D$100,2,FALSE)</f>
        <v>The measure of temperature of the soil.</v>
      </c>
      <c r="M37" s="5" t="str">
        <f>VLOOKUP($K37,'Property names'!$A$1:$D$100,3,FALSE)</f>
        <v>Degrees Celsius</v>
      </c>
      <c r="N37" s="5" t="str">
        <f>VLOOKUP($K37,'Property names'!$A$1:$D$100,4,FALSE)</f>
        <v>ºC</v>
      </c>
      <c r="O37" s="5" t="str">
        <f t="shared" si="4"/>
        <v>Torresan_I001_soil_temperature_3</v>
      </c>
      <c r="P37" s="5" t="str">
        <f t="shared" si="5"/>
        <v>The datastream containing mesures of field Torresan by sensor I001 which measures Soil Temperature.</v>
      </c>
      <c r="Q37" s="5" t="s">
        <v>653</v>
      </c>
    </row>
    <row r="38" spans="1:17" ht="12.75">
      <c r="A38" s="5" t="s">
        <v>693</v>
      </c>
      <c r="B38" s="5" t="s">
        <v>694</v>
      </c>
      <c r="C38" s="5" t="s">
        <v>695</v>
      </c>
      <c r="D38" s="197">
        <v>39.775970000000001</v>
      </c>
      <c r="E38" s="197">
        <v>8.5490300000000001</v>
      </c>
      <c r="F38" s="5" t="s">
        <v>88</v>
      </c>
      <c r="G38" s="196" t="s">
        <v>672</v>
      </c>
      <c r="H38" s="5" t="str">
        <f>VLOOKUP(F38,'All sensors Installed'!$A$2:$K$1119,6,)</f>
        <v>ST04</v>
      </c>
      <c r="I38" s="5" t="str">
        <f>VLOOKUP(F38,'All sensors Installed'!$A$2:$K$1119,11,)</f>
        <v>AC1F09FFFE04E48A</v>
      </c>
      <c r="J38" s="5" t="s">
        <v>683</v>
      </c>
      <c r="K38" s="5" t="s">
        <v>662</v>
      </c>
      <c r="L38" s="5" t="str">
        <f>VLOOKUP($K38,'Property names'!$A$1:$D$100,2,FALSE)</f>
        <v>The measure of temperature of the soil.</v>
      </c>
      <c r="M38" s="5" t="str">
        <f>VLOOKUP($K38,'Property names'!$A$1:$D$100,3,FALSE)</f>
        <v>Degrees Celsius</v>
      </c>
      <c r="N38" s="5" t="str">
        <f>VLOOKUP($K38,'Property names'!$A$1:$D$100,4,FALSE)</f>
        <v>ºC</v>
      </c>
      <c r="O38" s="5" t="str">
        <f t="shared" si="4"/>
        <v>Torresan_I001_soil_temperature_4</v>
      </c>
      <c r="P38" s="5" t="str">
        <f t="shared" si="5"/>
        <v>The datastream containing mesures of field Torresan by sensor I001 which measures Soil Temperature.</v>
      </c>
      <c r="Q38" s="5" t="s">
        <v>653</v>
      </c>
    </row>
    <row r="39" spans="1:17" ht="12.75">
      <c r="A39" s="5" t="s">
        <v>693</v>
      </c>
      <c r="B39" s="5" t="s">
        <v>694</v>
      </c>
      <c r="C39" s="5" t="s">
        <v>695</v>
      </c>
      <c r="D39" s="197">
        <v>39.775970000000001</v>
      </c>
      <c r="E39" s="197">
        <v>8.5490300000000001</v>
      </c>
      <c r="F39" s="5" t="s">
        <v>88</v>
      </c>
      <c r="G39" s="196" t="s">
        <v>672</v>
      </c>
      <c r="H39" s="5" t="str">
        <f>VLOOKUP(F39,'All sensors Installed'!$A$2:$K$1119,6,)</f>
        <v>ST04</v>
      </c>
      <c r="I39" s="5" t="str">
        <f>VLOOKUP(F39,'All sensors Installed'!$A$2:$K$1119,11,)</f>
        <v>AC1F09FFFE04E48A</v>
      </c>
      <c r="J39" s="5" t="s">
        <v>684</v>
      </c>
      <c r="K39" s="5" t="s">
        <v>662</v>
      </c>
      <c r="L39" s="5" t="str">
        <f>VLOOKUP($K39,'Property names'!$A$1:$D$100,2,FALSE)</f>
        <v>The measure of temperature of the soil.</v>
      </c>
      <c r="M39" s="5" t="str">
        <f>VLOOKUP($K39,'Property names'!$A$1:$D$100,3,FALSE)</f>
        <v>Degrees Celsius</v>
      </c>
      <c r="N39" s="5" t="str">
        <f>VLOOKUP($K39,'Property names'!$A$1:$D$100,4,FALSE)</f>
        <v>ºC</v>
      </c>
      <c r="O39" s="5" t="str">
        <f t="shared" si="4"/>
        <v>Torresan_I001_soil_temperature_5</v>
      </c>
      <c r="P39" s="5" t="str">
        <f t="shared" si="5"/>
        <v>The datastream containing mesures of field Torresan by sensor I001 which measures Soil Temperature.</v>
      </c>
      <c r="Q39" s="5" t="s">
        <v>653</v>
      </c>
    </row>
    <row r="40" spans="1:17" ht="12.75">
      <c r="A40" s="5" t="s">
        <v>693</v>
      </c>
      <c r="B40" s="5" t="s">
        <v>694</v>
      </c>
      <c r="C40" s="5" t="s">
        <v>695</v>
      </c>
      <c r="D40" s="197">
        <v>39.775970000000001</v>
      </c>
      <c r="E40" s="197">
        <v>8.5490300000000001</v>
      </c>
      <c r="F40" s="5" t="s">
        <v>88</v>
      </c>
      <c r="G40" s="196" t="s">
        <v>672</v>
      </c>
      <c r="H40" s="5" t="str">
        <f>VLOOKUP(F40,'All sensors Installed'!$A$2:$K$1119,6,)</f>
        <v>ST04</v>
      </c>
      <c r="I40" s="5" t="str">
        <f>VLOOKUP(F40,'All sensors Installed'!$A$2:$K$1119,11,)</f>
        <v>AC1F09FFFE04E48A</v>
      </c>
      <c r="J40" s="5" t="s">
        <v>685</v>
      </c>
      <c r="K40" s="5" t="s">
        <v>662</v>
      </c>
      <c r="L40" s="5" t="str">
        <f>VLOOKUP($K40,'Property names'!$A$1:$D$100,2,FALSE)</f>
        <v>The measure of temperature of the soil.</v>
      </c>
      <c r="M40" s="5" t="str">
        <f>VLOOKUP($K40,'Property names'!$A$1:$D$100,3,FALSE)</f>
        <v>Degrees Celsius</v>
      </c>
      <c r="N40" s="5" t="str">
        <f>VLOOKUP($K40,'Property names'!$A$1:$D$100,4,FALSE)</f>
        <v>ºC</v>
      </c>
      <c r="O40" s="5" t="str">
        <f t="shared" si="4"/>
        <v>Torresan_I001_soil_temperature_6</v>
      </c>
      <c r="P40" s="5" t="str">
        <f t="shared" si="5"/>
        <v>The datastream containing mesures of field Torresan by sensor I001 which measures Soil Temperature.</v>
      </c>
      <c r="Q40" s="5" t="s">
        <v>653</v>
      </c>
    </row>
    <row r="41" spans="1:17" ht="12.75">
      <c r="A41" s="5" t="s">
        <v>693</v>
      </c>
      <c r="B41" s="5" t="s">
        <v>694</v>
      </c>
      <c r="C41" s="5" t="s">
        <v>695</v>
      </c>
      <c r="D41" s="197">
        <v>39.776139999999998</v>
      </c>
      <c r="E41" s="197">
        <v>8.5485000000000007</v>
      </c>
      <c r="F41" s="5" t="s">
        <v>91</v>
      </c>
      <c r="G41" s="196" t="s">
        <v>672</v>
      </c>
      <c r="H41" s="5" t="str">
        <f>VLOOKUP(F41,'All sensors Installed'!$A$2:$K$1119,6,)</f>
        <v>ST04</v>
      </c>
      <c r="I41" s="5" t="str">
        <f>VLOOKUP(F41,'All sensors Installed'!$A$2:$K$1119,11,)</f>
        <v>AC1F09FFFE04E487</v>
      </c>
      <c r="J41" s="5" t="s">
        <v>673</v>
      </c>
      <c r="K41" s="5" t="s">
        <v>660</v>
      </c>
      <c r="L41" s="5" t="str">
        <f>VLOOKUP($K41,'Property names'!$A$1:$D$100,2,FALSE)</f>
        <v>The amount of moisture present in the soil, often expressed as a percentage of the maximum amount the soil could hold at a given temperature.</v>
      </c>
      <c r="M41" s="5" t="str">
        <f>VLOOKUP($K41,'Property names'!$A$1:$D$100,3,FALSE)</f>
        <v>Percentage</v>
      </c>
      <c r="N41" s="5" t="str">
        <f>VLOOKUP($K41,'Property names'!$A$1:$D$100,4,FALSE)</f>
        <v>%</v>
      </c>
      <c r="O41" s="5" t="str">
        <f t="shared" si="4"/>
        <v>Torresan_I002_soil_moisture_1</v>
      </c>
      <c r="P41" s="5" t="str">
        <f t="shared" si="5"/>
        <v>The datastream containing mesures of field Torresan by sensor I002 which measures Soil Moisture.</v>
      </c>
      <c r="Q41" s="5" t="s">
        <v>653</v>
      </c>
    </row>
    <row r="42" spans="1:17" ht="12.75">
      <c r="A42" s="5" t="s">
        <v>693</v>
      </c>
      <c r="B42" s="5" t="s">
        <v>694</v>
      </c>
      <c r="C42" s="5" t="s">
        <v>695</v>
      </c>
      <c r="D42" s="197">
        <v>39.776139999999998</v>
      </c>
      <c r="E42" s="197">
        <v>8.5485000000000007</v>
      </c>
      <c r="F42" s="5" t="s">
        <v>91</v>
      </c>
      <c r="G42" s="196" t="s">
        <v>672</v>
      </c>
      <c r="H42" s="5" t="str">
        <f>VLOOKUP(F42,'All sensors Installed'!$A$2:$K$1119,6,)</f>
        <v>ST04</v>
      </c>
      <c r="I42" s="5" t="str">
        <f>VLOOKUP(F42,'All sensors Installed'!$A$2:$K$1119,11,)</f>
        <v>AC1F09FFFE04E487</v>
      </c>
      <c r="J42" s="5" t="s">
        <v>674</v>
      </c>
      <c r="K42" s="5" t="s">
        <v>660</v>
      </c>
      <c r="L42" s="5" t="str">
        <f>VLOOKUP($K42,'Property names'!$A$1:$D$100,2,FALSE)</f>
        <v>The amount of moisture present in the soil, often expressed as a percentage of the maximum amount the soil could hold at a given temperature.</v>
      </c>
      <c r="M42" s="5" t="str">
        <f>VLOOKUP($K42,'Property names'!$A$1:$D$100,3,FALSE)</f>
        <v>Percentage</v>
      </c>
      <c r="N42" s="5" t="str">
        <f>VLOOKUP($K42,'Property names'!$A$1:$D$100,4,FALSE)</f>
        <v>%</v>
      </c>
      <c r="O42" s="5" t="str">
        <f t="shared" si="4"/>
        <v>Torresan_I002_soil_moisture_2</v>
      </c>
      <c r="P42" s="5" t="str">
        <f t="shared" si="5"/>
        <v>The datastream containing mesures of field Torresan by sensor I002 which measures Soil Moisture.</v>
      </c>
      <c r="Q42" s="5" t="s">
        <v>653</v>
      </c>
    </row>
    <row r="43" spans="1:17" ht="12.75">
      <c r="A43" s="5" t="s">
        <v>693</v>
      </c>
      <c r="B43" s="5" t="s">
        <v>694</v>
      </c>
      <c r="C43" s="5" t="s">
        <v>695</v>
      </c>
      <c r="D43" s="197">
        <v>39.776139999999998</v>
      </c>
      <c r="E43" s="197">
        <v>8.5485000000000007</v>
      </c>
      <c r="F43" s="5" t="s">
        <v>91</v>
      </c>
      <c r="G43" s="196" t="s">
        <v>672</v>
      </c>
      <c r="H43" s="5" t="str">
        <f>VLOOKUP(F43,'All sensors Installed'!$A$2:$K$1119,6,)</f>
        <v>ST04</v>
      </c>
      <c r="I43" s="5" t="str">
        <f>VLOOKUP(F43,'All sensors Installed'!$A$2:$K$1119,11,)</f>
        <v>AC1F09FFFE04E487</v>
      </c>
      <c r="J43" s="5" t="s">
        <v>675</v>
      </c>
      <c r="K43" s="5" t="s">
        <v>660</v>
      </c>
      <c r="L43" s="5" t="str">
        <f>VLOOKUP($K43,'Property names'!$A$1:$D$100,2,FALSE)</f>
        <v>The amount of moisture present in the soil, often expressed as a percentage of the maximum amount the soil could hold at a given temperature.</v>
      </c>
      <c r="M43" s="5" t="str">
        <f>VLOOKUP($K43,'Property names'!$A$1:$D$100,3,FALSE)</f>
        <v>Percentage</v>
      </c>
      <c r="N43" s="5" t="str">
        <f>VLOOKUP($K43,'Property names'!$A$1:$D$100,4,FALSE)</f>
        <v>%</v>
      </c>
      <c r="O43" s="5" t="str">
        <f t="shared" si="4"/>
        <v>Torresan_I002_soil_moisture_3</v>
      </c>
      <c r="P43" s="5" t="str">
        <f t="shared" si="5"/>
        <v>The datastream containing mesures of field Torresan by sensor I002 which measures Soil Moisture.</v>
      </c>
      <c r="Q43" s="5" t="s">
        <v>653</v>
      </c>
    </row>
    <row r="44" spans="1:17" ht="12.75">
      <c r="A44" s="5" t="s">
        <v>693</v>
      </c>
      <c r="B44" s="5" t="s">
        <v>694</v>
      </c>
      <c r="C44" s="5" t="s">
        <v>695</v>
      </c>
      <c r="D44" s="197">
        <v>39.776139999999998</v>
      </c>
      <c r="E44" s="197">
        <v>8.5485000000000007</v>
      </c>
      <c r="F44" s="5" t="s">
        <v>91</v>
      </c>
      <c r="G44" s="196" t="s">
        <v>672</v>
      </c>
      <c r="H44" s="5" t="str">
        <f>VLOOKUP(F44,'All sensors Installed'!$A$2:$K$1119,6,)</f>
        <v>ST04</v>
      </c>
      <c r="I44" s="5" t="str">
        <f>VLOOKUP(F44,'All sensors Installed'!$A$2:$K$1119,11,)</f>
        <v>AC1F09FFFE04E487</v>
      </c>
      <c r="J44" s="5" t="s">
        <v>676</v>
      </c>
      <c r="K44" s="5" t="s">
        <v>660</v>
      </c>
      <c r="L44" s="5" t="str">
        <f>VLOOKUP($K44,'Property names'!$A$1:$D$100,2,FALSE)</f>
        <v>The amount of moisture present in the soil, often expressed as a percentage of the maximum amount the soil could hold at a given temperature.</v>
      </c>
      <c r="M44" s="5" t="str">
        <f>VLOOKUP($K44,'Property names'!$A$1:$D$100,3,FALSE)</f>
        <v>Percentage</v>
      </c>
      <c r="N44" s="5" t="str">
        <f>VLOOKUP($K44,'Property names'!$A$1:$D$100,4,FALSE)</f>
        <v>%</v>
      </c>
      <c r="O44" s="5" t="str">
        <f t="shared" si="4"/>
        <v>Torresan_I002_soil_moisture_4</v>
      </c>
      <c r="P44" s="5" t="str">
        <f t="shared" si="5"/>
        <v>The datastream containing mesures of field Torresan by sensor I002 which measures Soil Moisture.</v>
      </c>
      <c r="Q44" s="5" t="s">
        <v>653</v>
      </c>
    </row>
    <row r="45" spans="1:17" ht="12.75">
      <c r="A45" s="5" t="s">
        <v>693</v>
      </c>
      <c r="B45" s="5" t="s">
        <v>694</v>
      </c>
      <c r="C45" s="5" t="s">
        <v>695</v>
      </c>
      <c r="D45" s="197">
        <v>39.776139999999998</v>
      </c>
      <c r="E45" s="197">
        <v>8.5485000000000007</v>
      </c>
      <c r="F45" s="5" t="s">
        <v>91</v>
      </c>
      <c r="G45" s="196" t="s">
        <v>672</v>
      </c>
      <c r="H45" s="5" t="str">
        <f>VLOOKUP(F45,'All sensors Installed'!$A$2:$K$1119,6,)</f>
        <v>ST04</v>
      </c>
      <c r="I45" s="5" t="str">
        <f>VLOOKUP(F45,'All sensors Installed'!$A$2:$K$1119,11,)</f>
        <v>AC1F09FFFE04E487</v>
      </c>
      <c r="J45" s="5" t="s">
        <v>677</v>
      </c>
      <c r="K45" s="5" t="s">
        <v>660</v>
      </c>
      <c r="L45" s="5" t="str">
        <f>VLOOKUP($K45,'Property names'!$A$1:$D$100,2,FALSE)</f>
        <v>The amount of moisture present in the soil, often expressed as a percentage of the maximum amount the soil could hold at a given temperature.</v>
      </c>
      <c r="M45" s="5" t="str">
        <f>VLOOKUP($K45,'Property names'!$A$1:$D$100,3,FALSE)</f>
        <v>Percentage</v>
      </c>
      <c r="N45" s="5" t="str">
        <f>VLOOKUP($K45,'Property names'!$A$1:$D$100,4,FALSE)</f>
        <v>%</v>
      </c>
      <c r="O45" s="5" t="str">
        <f t="shared" si="4"/>
        <v>Torresan_I002_soil_moisture_5</v>
      </c>
      <c r="P45" s="5" t="str">
        <f t="shared" si="5"/>
        <v>The datastream containing mesures of field Torresan by sensor I002 which measures Soil Moisture.</v>
      </c>
      <c r="Q45" s="5" t="s">
        <v>653</v>
      </c>
    </row>
    <row r="46" spans="1:17" ht="12.75">
      <c r="A46" s="5" t="s">
        <v>693</v>
      </c>
      <c r="B46" s="5" t="s">
        <v>694</v>
      </c>
      <c r="C46" s="5" t="s">
        <v>695</v>
      </c>
      <c r="D46" s="197">
        <v>39.776139999999998</v>
      </c>
      <c r="E46" s="197">
        <v>8.5485000000000007</v>
      </c>
      <c r="F46" s="5" t="s">
        <v>91</v>
      </c>
      <c r="G46" s="196" t="s">
        <v>672</v>
      </c>
      <c r="H46" s="5" t="str">
        <f>VLOOKUP(F46,'All sensors Installed'!$A$2:$K$1119,6,)</f>
        <v>ST04</v>
      </c>
      <c r="I46" s="5" t="str">
        <f>VLOOKUP(F46,'All sensors Installed'!$A$2:$K$1119,11,)</f>
        <v>AC1F09FFFE04E487</v>
      </c>
      <c r="J46" s="5" t="s">
        <v>678</v>
      </c>
      <c r="K46" s="5" t="s">
        <v>660</v>
      </c>
      <c r="L46" s="5" t="str">
        <f>VLOOKUP($K46,'Property names'!$A$1:$D$100,2,FALSE)</f>
        <v>The amount of moisture present in the soil, often expressed as a percentage of the maximum amount the soil could hold at a given temperature.</v>
      </c>
      <c r="M46" s="5" t="str">
        <f>VLOOKUP($K46,'Property names'!$A$1:$D$100,3,FALSE)</f>
        <v>Percentage</v>
      </c>
      <c r="N46" s="5" t="str">
        <f>VLOOKUP($K46,'Property names'!$A$1:$D$100,4,FALSE)</f>
        <v>%</v>
      </c>
      <c r="O46" s="5" t="str">
        <f t="shared" si="4"/>
        <v>Torresan_I002_soil_moisture_6</v>
      </c>
      <c r="P46" s="5" t="str">
        <f t="shared" si="5"/>
        <v>The datastream containing mesures of field Torresan by sensor I002 which measures Soil Moisture.</v>
      </c>
      <c r="Q46" s="5" t="s">
        <v>653</v>
      </c>
    </row>
    <row r="47" spans="1:17" ht="12.75">
      <c r="A47" s="5" t="s">
        <v>693</v>
      </c>
      <c r="B47" s="5" t="s">
        <v>694</v>
      </c>
      <c r="C47" s="5" t="s">
        <v>695</v>
      </c>
      <c r="D47" s="197">
        <v>39.776139999999998</v>
      </c>
      <c r="E47" s="197">
        <v>8.5485000000000007</v>
      </c>
      <c r="F47" s="5" t="s">
        <v>91</v>
      </c>
      <c r="G47" s="196" t="s">
        <v>672</v>
      </c>
      <c r="H47" s="5" t="str">
        <f>VLOOKUP(F47,'All sensors Installed'!$A$2:$K$1119,6,)</f>
        <v>ST04</v>
      </c>
      <c r="I47" s="5" t="str">
        <f>VLOOKUP(F47,'All sensors Installed'!$A$2:$K$1119,11,)</f>
        <v>AC1F09FFFE04E487</v>
      </c>
      <c r="J47" s="5" t="s">
        <v>679</v>
      </c>
      <c r="K47" s="5" t="s">
        <v>652</v>
      </c>
      <c r="L47" s="5" t="str">
        <f>VLOOKUP($K47,'Property names'!$A$1:$D$100,2,FALSE)</f>
        <v>The measure of the hotness or coldness of the air.</v>
      </c>
      <c r="M47" s="5" t="str">
        <f>VLOOKUP($K47,'Property names'!$A$1:$D$100,3,FALSE)</f>
        <v>Degrees Celsius</v>
      </c>
      <c r="N47" s="5" t="str">
        <f>VLOOKUP($K47,'Property names'!$A$1:$D$100,4,FALSE)</f>
        <v>ºC</v>
      </c>
      <c r="O47" s="5" t="str">
        <f t="shared" si="4"/>
        <v>Torresan_I002_ambient_temperature</v>
      </c>
      <c r="P47" s="5" t="str">
        <f t="shared" si="5"/>
        <v>The datastream containing mesures of field Torresan by sensor I002 which measures Air Temperature.</v>
      </c>
      <c r="Q47" s="5" t="s">
        <v>653</v>
      </c>
    </row>
    <row r="48" spans="1:17" ht="12.75">
      <c r="A48" s="5" t="s">
        <v>693</v>
      </c>
      <c r="B48" s="5" t="s">
        <v>694</v>
      </c>
      <c r="C48" s="5" t="s">
        <v>695</v>
      </c>
      <c r="D48" s="197">
        <v>39.776139999999998</v>
      </c>
      <c r="E48" s="197">
        <v>8.5485000000000007</v>
      </c>
      <c r="F48" s="5" t="s">
        <v>91</v>
      </c>
      <c r="G48" s="196" t="s">
        <v>672</v>
      </c>
      <c r="H48" s="5" t="str">
        <f>VLOOKUP(F48,'All sensors Installed'!$A$2:$K$1119,6,)</f>
        <v>ST04</v>
      </c>
      <c r="I48" s="5" t="str">
        <f>VLOOKUP(F48,'All sensors Installed'!$A$2:$K$1119,11,)</f>
        <v>AC1F09FFFE04E487</v>
      </c>
      <c r="J48" s="5" t="s">
        <v>680</v>
      </c>
      <c r="K48" s="5" t="s">
        <v>662</v>
      </c>
      <c r="L48" s="5" t="str">
        <f>VLOOKUP($K48,'Property names'!$A$1:$D$100,2,FALSE)</f>
        <v>The measure of temperature of the soil.</v>
      </c>
      <c r="M48" s="5" t="str">
        <f>VLOOKUP($K48,'Property names'!$A$1:$D$100,3,FALSE)</f>
        <v>Degrees Celsius</v>
      </c>
      <c r="N48" s="5" t="str">
        <f>VLOOKUP($K48,'Property names'!$A$1:$D$100,4,FALSE)</f>
        <v>ºC</v>
      </c>
      <c r="O48" s="5" t="str">
        <f t="shared" si="4"/>
        <v>Torresan_I002_soil_temperature_1</v>
      </c>
      <c r="P48" s="5" t="str">
        <f t="shared" si="5"/>
        <v>The datastream containing mesures of field Torresan by sensor I002 which measures Soil Temperature.</v>
      </c>
      <c r="Q48" s="5" t="s">
        <v>653</v>
      </c>
    </row>
    <row r="49" spans="1:17" ht="12.75">
      <c r="A49" s="5" t="s">
        <v>693</v>
      </c>
      <c r="B49" s="5" t="s">
        <v>694</v>
      </c>
      <c r="C49" s="5" t="s">
        <v>695</v>
      </c>
      <c r="D49" s="197">
        <v>39.776139999999998</v>
      </c>
      <c r="E49" s="197">
        <v>8.5485000000000007</v>
      </c>
      <c r="F49" s="5" t="s">
        <v>91</v>
      </c>
      <c r="G49" s="196" t="s">
        <v>672</v>
      </c>
      <c r="H49" s="5" t="str">
        <f>VLOOKUP(F49,'All sensors Installed'!$A$2:$K$1119,6,)</f>
        <v>ST04</v>
      </c>
      <c r="I49" s="5" t="str">
        <f>VLOOKUP(F49,'All sensors Installed'!$A$2:$K$1119,11,)</f>
        <v>AC1F09FFFE04E487</v>
      </c>
      <c r="J49" s="5" t="s">
        <v>681</v>
      </c>
      <c r="K49" s="5" t="s">
        <v>662</v>
      </c>
      <c r="L49" s="5" t="str">
        <f>VLOOKUP($K49,'Property names'!$A$1:$D$100,2,FALSE)</f>
        <v>The measure of temperature of the soil.</v>
      </c>
      <c r="M49" s="5" t="str">
        <f>VLOOKUP($K49,'Property names'!$A$1:$D$100,3,FALSE)</f>
        <v>Degrees Celsius</v>
      </c>
      <c r="N49" s="5" t="str">
        <f>VLOOKUP($K49,'Property names'!$A$1:$D$100,4,FALSE)</f>
        <v>ºC</v>
      </c>
      <c r="O49" s="5" t="str">
        <f t="shared" si="4"/>
        <v>Torresan_I002_soil_temperature_2</v>
      </c>
      <c r="P49" s="5" t="str">
        <f t="shared" si="5"/>
        <v>The datastream containing mesures of field Torresan by sensor I002 which measures Soil Temperature.</v>
      </c>
      <c r="Q49" s="5" t="s">
        <v>653</v>
      </c>
    </row>
    <row r="50" spans="1:17" ht="12.75">
      <c r="A50" s="5" t="s">
        <v>693</v>
      </c>
      <c r="B50" s="5" t="s">
        <v>694</v>
      </c>
      <c r="C50" s="5" t="s">
        <v>695</v>
      </c>
      <c r="D50" s="197">
        <v>39.776139999999998</v>
      </c>
      <c r="E50" s="197">
        <v>8.5485000000000007</v>
      </c>
      <c r="F50" s="5" t="s">
        <v>91</v>
      </c>
      <c r="G50" s="196" t="s">
        <v>672</v>
      </c>
      <c r="H50" s="5" t="str">
        <f>VLOOKUP(F50,'All sensors Installed'!$A$2:$K$1119,6,)</f>
        <v>ST04</v>
      </c>
      <c r="I50" s="5" t="str">
        <f>VLOOKUP(F50,'All sensors Installed'!$A$2:$K$1119,11,)</f>
        <v>AC1F09FFFE04E487</v>
      </c>
      <c r="J50" s="5" t="s">
        <v>682</v>
      </c>
      <c r="K50" s="5" t="s">
        <v>662</v>
      </c>
      <c r="L50" s="5" t="str">
        <f>VLOOKUP($K50,'Property names'!$A$1:$D$100,2,FALSE)</f>
        <v>The measure of temperature of the soil.</v>
      </c>
      <c r="M50" s="5" t="str">
        <f>VLOOKUP($K50,'Property names'!$A$1:$D$100,3,FALSE)</f>
        <v>Degrees Celsius</v>
      </c>
      <c r="N50" s="5" t="str">
        <f>VLOOKUP($K50,'Property names'!$A$1:$D$100,4,FALSE)</f>
        <v>ºC</v>
      </c>
      <c r="O50" s="5" t="str">
        <f t="shared" si="4"/>
        <v>Torresan_I002_soil_temperature_3</v>
      </c>
      <c r="P50" s="5" t="str">
        <f t="shared" si="5"/>
        <v>The datastream containing mesures of field Torresan by sensor I002 which measures Soil Temperature.</v>
      </c>
      <c r="Q50" s="5" t="s">
        <v>653</v>
      </c>
    </row>
    <row r="51" spans="1:17" ht="12.75">
      <c r="A51" s="5" t="s">
        <v>693</v>
      </c>
      <c r="B51" s="5" t="s">
        <v>694</v>
      </c>
      <c r="C51" s="5" t="s">
        <v>695</v>
      </c>
      <c r="D51" s="197">
        <v>39.776139999999998</v>
      </c>
      <c r="E51" s="197">
        <v>8.5485000000000007</v>
      </c>
      <c r="F51" s="5" t="s">
        <v>91</v>
      </c>
      <c r="G51" s="196" t="s">
        <v>672</v>
      </c>
      <c r="H51" s="5" t="str">
        <f>VLOOKUP(F51,'All sensors Installed'!$A$2:$K$1119,6,)</f>
        <v>ST04</v>
      </c>
      <c r="I51" s="5" t="str">
        <f>VLOOKUP(F51,'All sensors Installed'!$A$2:$K$1119,11,)</f>
        <v>AC1F09FFFE04E487</v>
      </c>
      <c r="J51" s="5" t="s">
        <v>683</v>
      </c>
      <c r="K51" s="5" t="s">
        <v>662</v>
      </c>
      <c r="L51" s="5" t="str">
        <f>VLOOKUP($K51,'Property names'!$A$1:$D$100,2,FALSE)</f>
        <v>The measure of temperature of the soil.</v>
      </c>
      <c r="M51" s="5" t="str">
        <f>VLOOKUP($K51,'Property names'!$A$1:$D$100,3,FALSE)</f>
        <v>Degrees Celsius</v>
      </c>
      <c r="N51" s="5" t="str">
        <f>VLOOKUP($K51,'Property names'!$A$1:$D$100,4,FALSE)</f>
        <v>ºC</v>
      </c>
      <c r="O51" s="5" t="str">
        <f t="shared" si="4"/>
        <v>Torresan_I002_soil_temperature_4</v>
      </c>
      <c r="P51" s="5" t="str">
        <f t="shared" si="5"/>
        <v>The datastream containing mesures of field Torresan by sensor I002 which measures Soil Temperature.</v>
      </c>
      <c r="Q51" s="5" t="s">
        <v>653</v>
      </c>
    </row>
    <row r="52" spans="1:17" ht="12.75">
      <c r="A52" s="5" t="s">
        <v>693</v>
      </c>
      <c r="B52" s="5" t="s">
        <v>694</v>
      </c>
      <c r="C52" s="5" t="s">
        <v>695</v>
      </c>
      <c r="D52" s="197">
        <v>39.776139999999998</v>
      </c>
      <c r="E52" s="197">
        <v>8.5485000000000007</v>
      </c>
      <c r="F52" s="5" t="s">
        <v>91</v>
      </c>
      <c r="G52" s="196" t="s">
        <v>672</v>
      </c>
      <c r="H52" s="5" t="str">
        <f>VLOOKUP(F52,'All sensors Installed'!$A$2:$K$1119,6,)</f>
        <v>ST04</v>
      </c>
      <c r="I52" s="5" t="str">
        <f>VLOOKUP(F52,'All sensors Installed'!$A$2:$K$1119,11,)</f>
        <v>AC1F09FFFE04E487</v>
      </c>
      <c r="J52" s="5" t="s">
        <v>684</v>
      </c>
      <c r="K52" s="5" t="s">
        <v>662</v>
      </c>
      <c r="L52" s="5" t="str">
        <f>VLOOKUP($K52,'Property names'!$A$1:$D$100,2,FALSE)</f>
        <v>The measure of temperature of the soil.</v>
      </c>
      <c r="M52" s="5" t="str">
        <f>VLOOKUP($K52,'Property names'!$A$1:$D$100,3,FALSE)</f>
        <v>Degrees Celsius</v>
      </c>
      <c r="N52" s="5" t="str">
        <f>VLOOKUP($K52,'Property names'!$A$1:$D$100,4,FALSE)</f>
        <v>ºC</v>
      </c>
      <c r="O52" s="5" t="str">
        <f t="shared" si="4"/>
        <v>Torresan_I002_soil_temperature_5</v>
      </c>
      <c r="P52" s="5" t="str">
        <f t="shared" si="5"/>
        <v>The datastream containing mesures of field Torresan by sensor I002 which measures Soil Temperature.</v>
      </c>
      <c r="Q52" s="5" t="s">
        <v>653</v>
      </c>
    </row>
    <row r="53" spans="1:17" ht="12.75">
      <c r="A53" s="5" t="s">
        <v>693</v>
      </c>
      <c r="B53" s="5" t="s">
        <v>694</v>
      </c>
      <c r="C53" s="5" t="s">
        <v>695</v>
      </c>
      <c r="D53" s="197">
        <v>39.776139999999998</v>
      </c>
      <c r="E53" s="197">
        <v>8.5485000000000007</v>
      </c>
      <c r="F53" s="5" t="s">
        <v>91</v>
      </c>
      <c r="G53" s="196" t="s">
        <v>672</v>
      </c>
      <c r="H53" s="5" t="str">
        <f>VLOOKUP(F53,'All sensors Installed'!$A$2:$K$1119,6,)</f>
        <v>ST04</v>
      </c>
      <c r="I53" s="5" t="str">
        <f>VLOOKUP(F53,'All sensors Installed'!$A$2:$K$1119,11,)</f>
        <v>AC1F09FFFE04E487</v>
      </c>
      <c r="J53" s="5" t="s">
        <v>685</v>
      </c>
      <c r="K53" s="5" t="s">
        <v>662</v>
      </c>
      <c r="L53" s="5" t="str">
        <f>VLOOKUP($K53,'Property names'!$A$1:$D$100,2,FALSE)</f>
        <v>The measure of temperature of the soil.</v>
      </c>
      <c r="M53" s="5" t="str">
        <f>VLOOKUP($K53,'Property names'!$A$1:$D$100,3,FALSE)</f>
        <v>Degrees Celsius</v>
      </c>
      <c r="N53" s="5" t="str">
        <f>VLOOKUP($K53,'Property names'!$A$1:$D$100,4,FALSE)</f>
        <v>ºC</v>
      </c>
      <c r="O53" s="5" t="str">
        <f t="shared" si="4"/>
        <v>Torresan_I002_soil_temperature_6</v>
      </c>
      <c r="P53" s="5" t="str">
        <f t="shared" si="5"/>
        <v>The datastream containing mesures of field Torresan by sensor I002 which measures Soil Temperature.</v>
      </c>
      <c r="Q53" s="5" t="s">
        <v>653</v>
      </c>
    </row>
    <row r="54" spans="1:17" ht="12.75">
      <c r="A54" s="5" t="s">
        <v>693</v>
      </c>
      <c r="B54" s="5" t="s">
        <v>696</v>
      </c>
      <c r="C54" s="5" t="s">
        <v>695</v>
      </c>
      <c r="D54" s="197">
        <v>39.761029999999998</v>
      </c>
      <c r="E54" s="197">
        <v>8.5806939999999994</v>
      </c>
      <c r="F54" s="5" t="s">
        <v>94</v>
      </c>
      <c r="G54" s="196" t="s">
        <v>672</v>
      </c>
      <c r="H54" s="5" t="str">
        <f>VLOOKUP(F54,'All sensors Installed'!$A$2:$K$1119,6,)</f>
        <v>ST04</v>
      </c>
      <c r="I54" s="5" t="str">
        <f>VLOOKUP(F54,'All sensors Installed'!$A$2:$K$1119,11,)</f>
        <v>AC1F09FFFE04E4C1</v>
      </c>
      <c r="J54" s="5" t="s">
        <v>673</v>
      </c>
      <c r="K54" s="5" t="s">
        <v>660</v>
      </c>
      <c r="L54" s="5" t="str">
        <f>VLOOKUP($K54,'Property names'!$A$1:$D$100,2,FALSE)</f>
        <v>The amount of moisture present in the soil, often expressed as a percentage of the maximum amount the soil could hold at a given temperature.</v>
      </c>
      <c r="M54" s="5" t="str">
        <f>VLOOKUP($K54,'Property names'!$A$1:$D$100,3,FALSE)</f>
        <v>Percentage</v>
      </c>
      <c r="N54" s="5" t="str">
        <f>VLOOKUP($K54,'Property names'!$A$1:$D$100,4,FALSE)</f>
        <v>%</v>
      </c>
      <c r="O54" s="5" t="str">
        <f t="shared" si="4"/>
        <v>Pinos_I003_soil_moisture_1</v>
      </c>
      <c r="P54" s="5" t="str">
        <f t="shared" si="5"/>
        <v>The datastream containing mesures of field Pinos by sensor I003 which measures Soil Moisture.</v>
      </c>
      <c r="Q54" s="5" t="s">
        <v>653</v>
      </c>
    </row>
    <row r="55" spans="1:17" ht="12.75">
      <c r="A55" s="5" t="s">
        <v>693</v>
      </c>
      <c r="B55" s="5" t="s">
        <v>696</v>
      </c>
      <c r="C55" s="5" t="s">
        <v>695</v>
      </c>
      <c r="D55" s="197">
        <v>39.761029999999998</v>
      </c>
      <c r="E55" s="197">
        <v>8.5806939999999994</v>
      </c>
      <c r="F55" s="5" t="s">
        <v>94</v>
      </c>
      <c r="G55" s="196" t="s">
        <v>672</v>
      </c>
      <c r="H55" s="5" t="str">
        <f>VLOOKUP(F55,'All sensors Installed'!$A$2:$K$1119,6,)</f>
        <v>ST04</v>
      </c>
      <c r="I55" s="5" t="str">
        <f>VLOOKUP(F55,'All sensors Installed'!$A$2:$K$1119,11,)</f>
        <v>AC1F09FFFE04E4C1</v>
      </c>
      <c r="J55" s="5" t="s">
        <v>674</v>
      </c>
      <c r="K55" s="5" t="s">
        <v>660</v>
      </c>
      <c r="L55" s="5" t="str">
        <f>VLOOKUP($K55,'Property names'!$A$1:$D$100,2,FALSE)</f>
        <v>The amount of moisture present in the soil, often expressed as a percentage of the maximum amount the soil could hold at a given temperature.</v>
      </c>
      <c r="M55" s="5" t="str">
        <f>VLOOKUP($K55,'Property names'!$A$1:$D$100,3,FALSE)</f>
        <v>Percentage</v>
      </c>
      <c r="N55" s="5" t="str">
        <f>VLOOKUP($K55,'Property names'!$A$1:$D$100,4,FALSE)</f>
        <v>%</v>
      </c>
      <c r="O55" s="5" t="str">
        <f t="shared" si="4"/>
        <v>Pinos_I003_soil_moisture_2</v>
      </c>
      <c r="P55" s="5" t="str">
        <f t="shared" si="5"/>
        <v>The datastream containing mesures of field Pinos by sensor I003 which measures Soil Moisture.</v>
      </c>
      <c r="Q55" s="5" t="s">
        <v>653</v>
      </c>
    </row>
    <row r="56" spans="1:17" ht="12.75">
      <c r="A56" s="5" t="s">
        <v>693</v>
      </c>
      <c r="B56" s="5" t="s">
        <v>696</v>
      </c>
      <c r="C56" s="5" t="s">
        <v>695</v>
      </c>
      <c r="D56" s="197">
        <v>39.761029999999998</v>
      </c>
      <c r="E56" s="197">
        <v>8.5806939999999994</v>
      </c>
      <c r="F56" s="5" t="s">
        <v>94</v>
      </c>
      <c r="G56" s="196" t="s">
        <v>672</v>
      </c>
      <c r="H56" s="5" t="str">
        <f>VLOOKUP(F56,'All sensors Installed'!$A$2:$K$1119,6,)</f>
        <v>ST04</v>
      </c>
      <c r="I56" s="5" t="str">
        <f>VLOOKUP(F56,'All sensors Installed'!$A$2:$K$1119,11,)</f>
        <v>AC1F09FFFE04E4C1</v>
      </c>
      <c r="J56" s="5" t="s">
        <v>675</v>
      </c>
      <c r="K56" s="5" t="s">
        <v>660</v>
      </c>
      <c r="L56" s="5" t="str">
        <f>VLOOKUP($K56,'Property names'!$A$1:$D$100,2,FALSE)</f>
        <v>The amount of moisture present in the soil, often expressed as a percentage of the maximum amount the soil could hold at a given temperature.</v>
      </c>
      <c r="M56" s="5" t="str">
        <f>VLOOKUP($K56,'Property names'!$A$1:$D$100,3,FALSE)</f>
        <v>Percentage</v>
      </c>
      <c r="N56" s="5" t="str">
        <f>VLOOKUP($K56,'Property names'!$A$1:$D$100,4,FALSE)</f>
        <v>%</v>
      </c>
      <c r="O56" s="5" t="str">
        <f t="shared" si="4"/>
        <v>Pinos_I003_soil_moisture_3</v>
      </c>
      <c r="P56" s="5" t="str">
        <f t="shared" si="5"/>
        <v>The datastream containing mesures of field Pinos by sensor I003 which measures Soil Moisture.</v>
      </c>
      <c r="Q56" s="5" t="s">
        <v>653</v>
      </c>
    </row>
    <row r="57" spans="1:17" ht="12.75">
      <c r="A57" s="5" t="s">
        <v>693</v>
      </c>
      <c r="B57" s="5" t="s">
        <v>696</v>
      </c>
      <c r="C57" s="5" t="s">
        <v>695</v>
      </c>
      <c r="D57" s="197">
        <v>39.761029999999998</v>
      </c>
      <c r="E57" s="197">
        <v>8.5806939999999994</v>
      </c>
      <c r="F57" s="5" t="s">
        <v>94</v>
      </c>
      <c r="G57" s="196" t="s">
        <v>672</v>
      </c>
      <c r="H57" s="5" t="str">
        <f>VLOOKUP(F57,'All sensors Installed'!$A$2:$K$1119,6,)</f>
        <v>ST04</v>
      </c>
      <c r="I57" s="5" t="str">
        <f>VLOOKUP(F57,'All sensors Installed'!$A$2:$K$1119,11,)</f>
        <v>AC1F09FFFE04E4C1</v>
      </c>
      <c r="J57" s="5" t="s">
        <v>676</v>
      </c>
      <c r="K57" s="5" t="s">
        <v>660</v>
      </c>
      <c r="L57" s="5" t="str">
        <f>VLOOKUP($K57,'Property names'!$A$1:$D$100,2,FALSE)</f>
        <v>The amount of moisture present in the soil, often expressed as a percentage of the maximum amount the soil could hold at a given temperature.</v>
      </c>
      <c r="M57" s="5" t="str">
        <f>VLOOKUP($K57,'Property names'!$A$1:$D$100,3,FALSE)</f>
        <v>Percentage</v>
      </c>
      <c r="N57" s="5" t="str">
        <f>VLOOKUP($K57,'Property names'!$A$1:$D$100,4,FALSE)</f>
        <v>%</v>
      </c>
      <c r="O57" s="5" t="str">
        <f t="shared" si="4"/>
        <v>Pinos_I003_soil_moisture_4</v>
      </c>
      <c r="P57" s="5" t="str">
        <f t="shared" si="5"/>
        <v>The datastream containing mesures of field Pinos by sensor I003 which measures Soil Moisture.</v>
      </c>
      <c r="Q57" s="5" t="s">
        <v>653</v>
      </c>
    </row>
    <row r="58" spans="1:17" ht="12.75">
      <c r="A58" s="5" t="s">
        <v>693</v>
      </c>
      <c r="B58" s="5" t="s">
        <v>696</v>
      </c>
      <c r="C58" s="5" t="s">
        <v>695</v>
      </c>
      <c r="D58" s="197">
        <v>39.761029999999998</v>
      </c>
      <c r="E58" s="197">
        <v>8.5806939999999994</v>
      </c>
      <c r="F58" s="5" t="s">
        <v>94</v>
      </c>
      <c r="G58" s="196" t="s">
        <v>672</v>
      </c>
      <c r="H58" s="5" t="str">
        <f>VLOOKUP(F58,'All sensors Installed'!$A$2:$K$1119,6,)</f>
        <v>ST04</v>
      </c>
      <c r="I58" s="5" t="str">
        <f>VLOOKUP(F58,'All sensors Installed'!$A$2:$K$1119,11,)</f>
        <v>AC1F09FFFE04E4C1</v>
      </c>
      <c r="J58" s="5" t="s">
        <v>677</v>
      </c>
      <c r="K58" s="5" t="s">
        <v>660</v>
      </c>
      <c r="L58" s="5" t="str">
        <f>VLOOKUP($K58,'Property names'!$A$1:$D$100,2,FALSE)</f>
        <v>The amount of moisture present in the soil, often expressed as a percentage of the maximum amount the soil could hold at a given temperature.</v>
      </c>
      <c r="M58" s="5" t="str">
        <f>VLOOKUP($K58,'Property names'!$A$1:$D$100,3,FALSE)</f>
        <v>Percentage</v>
      </c>
      <c r="N58" s="5" t="str">
        <f>VLOOKUP($K58,'Property names'!$A$1:$D$100,4,FALSE)</f>
        <v>%</v>
      </c>
      <c r="O58" s="5" t="str">
        <f t="shared" si="4"/>
        <v>Pinos_I003_soil_moisture_5</v>
      </c>
      <c r="P58" s="5" t="str">
        <f t="shared" si="5"/>
        <v>The datastream containing mesures of field Pinos by sensor I003 which measures Soil Moisture.</v>
      </c>
      <c r="Q58" s="5" t="s">
        <v>653</v>
      </c>
    </row>
    <row r="59" spans="1:17" ht="12.75">
      <c r="A59" s="5" t="s">
        <v>693</v>
      </c>
      <c r="B59" s="5" t="s">
        <v>696</v>
      </c>
      <c r="C59" s="5" t="s">
        <v>695</v>
      </c>
      <c r="D59" s="197">
        <v>39.761029999999998</v>
      </c>
      <c r="E59" s="197">
        <v>8.5806939999999994</v>
      </c>
      <c r="F59" s="5" t="s">
        <v>94</v>
      </c>
      <c r="G59" s="196" t="s">
        <v>672</v>
      </c>
      <c r="H59" s="5" t="str">
        <f>VLOOKUP(F59,'All sensors Installed'!$A$2:$K$1119,6,)</f>
        <v>ST04</v>
      </c>
      <c r="I59" s="5" t="str">
        <f>VLOOKUP(F59,'All sensors Installed'!$A$2:$K$1119,11,)</f>
        <v>AC1F09FFFE04E4C1</v>
      </c>
      <c r="J59" s="5" t="s">
        <v>678</v>
      </c>
      <c r="K59" s="5" t="s">
        <v>660</v>
      </c>
      <c r="L59" s="5" t="str">
        <f>VLOOKUP($K59,'Property names'!$A$1:$D$100,2,FALSE)</f>
        <v>The amount of moisture present in the soil, often expressed as a percentage of the maximum amount the soil could hold at a given temperature.</v>
      </c>
      <c r="M59" s="5" t="str">
        <f>VLOOKUP($K59,'Property names'!$A$1:$D$100,3,FALSE)</f>
        <v>Percentage</v>
      </c>
      <c r="N59" s="5" t="str">
        <f>VLOOKUP($K59,'Property names'!$A$1:$D$100,4,FALSE)</f>
        <v>%</v>
      </c>
      <c r="O59" s="5" t="str">
        <f t="shared" si="4"/>
        <v>Pinos_I003_soil_moisture_6</v>
      </c>
      <c r="P59" s="5" t="str">
        <f t="shared" si="5"/>
        <v>The datastream containing mesures of field Pinos by sensor I003 which measures Soil Moisture.</v>
      </c>
      <c r="Q59" s="5" t="s">
        <v>653</v>
      </c>
    </row>
    <row r="60" spans="1:17" ht="12.75">
      <c r="A60" s="5" t="s">
        <v>693</v>
      </c>
      <c r="B60" s="5" t="s">
        <v>696</v>
      </c>
      <c r="C60" s="5" t="s">
        <v>695</v>
      </c>
      <c r="D60" s="197">
        <v>39.761029999999998</v>
      </c>
      <c r="E60" s="197">
        <v>8.5806939999999994</v>
      </c>
      <c r="F60" s="5" t="s">
        <v>94</v>
      </c>
      <c r="G60" s="196" t="s">
        <v>672</v>
      </c>
      <c r="H60" s="5" t="str">
        <f>VLOOKUP(F60,'All sensors Installed'!$A$2:$K$1119,6,)</f>
        <v>ST04</v>
      </c>
      <c r="I60" s="5" t="str">
        <f>VLOOKUP(F60,'All sensors Installed'!$A$2:$K$1119,11,)</f>
        <v>AC1F09FFFE04E4C1</v>
      </c>
      <c r="J60" s="5" t="s">
        <v>679</v>
      </c>
      <c r="K60" s="5" t="s">
        <v>652</v>
      </c>
      <c r="L60" s="5" t="str">
        <f>VLOOKUP($K60,'Property names'!$A$1:$D$100,2,FALSE)</f>
        <v>The measure of the hotness or coldness of the air.</v>
      </c>
      <c r="M60" s="5" t="str">
        <f>VLOOKUP($K60,'Property names'!$A$1:$D$100,3,FALSE)</f>
        <v>Degrees Celsius</v>
      </c>
      <c r="N60" s="5" t="str">
        <f>VLOOKUP($K60,'Property names'!$A$1:$D$100,4,FALSE)</f>
        <v>ºC</v>
      </c>
      <c r="O60" s="5" t="str">
        <f t="shared" si="4"/>
        <v>Pinos_I003_ambient_temperature</v>
      </c>
      <c r="P60" s="5" t="str">
        <f t="shared" si="5"/>
        <v>The datastream containing mesures of field Pinos by sensor I003 which measures Air Temperature.</v>
      </c>
      <c r="Q60" s="5" t="s">
        <v>653</v>
      </c>
    </row>
    <row r="61" spans="1:17" ht="12.75">
      <c r="A61" s="5" t="s">
        <v>693</v>
      </c>
      <c r="B61" s="5" t="s">
        <v>696</v>
      </c>
      <c r="C61" s="5" t="s">
        <v>695</v>
      </c>
      <c r="D61" s="197">
        <v>39.761029999999998</v>
      </c>
      <c r="E61" s="197">
        <v>8.5806939999999994</v>
      </c>
      <c r="F61" s="5" t="s">
        <v>94</v>
      </c>
      <c r="G61" s="196" t="s">
        <v>672</v>
      </c>
      <c r="H61" s="5" t="str">
        <f>VLOOKUP(F61,'All sensors Installed'!$A$2:$K$1119,6,)</f>
        <v>ST04</v>
      </c>
      <c r="I61" s="5" t="str">
        <f>VLOOKUP(F61,'All sensors Installed'!$A$2:$K$1119,11,)</f>
        <v>AC1F09FFFE04E4C1</v>
      </c>
      <c r="J61" s="5" t="s">
        <v>680</v>
      </c>
      <c r="K61" s="5" t="s">
        <v>662</v>
      </c>
      <c r="L61" s="5" t="str">
        <f>VLOOKUP($K61,'Property names'!$A$1:$D$100,2,FALSE)</f>
        <v>The measure of temperature of the soil.</v>
      </c>
      <c r="M61" s="5" t="str">
        <f>VLOOKUP($K61,'Property names'!$A$1:$D$100,3,FALSE)</f>
        <v>Degrees Celsius</v>
      </c>
      <c r="N61" s="5" t="str">
        <f>VLOOKUP($K61,'Property names'!$A$1:$D$100,4,FALSE)</f>
        <v>ºC</v>
      </c>
      <c r="O61" s="5" t="str">
        <f t="shared" si="4"/>
        <v>Pinos_I003_soil_temperature_1</v>
      </c>
      <c r="P61" s="5" t="str">
        <f t="shared" si="5"/>
        <v>The datastream containing mesures of field Pinos by sensor I003 which measures Soil Temperature.</v>
      </c>
      <c r="Q61" s="5" t="s">
        <v>653</v>
      </c>
    </row>
    <row r="62" spans="1:17" ht="12.75">
      <c r="A62" s="5" t="s">
        <v>693</v>
      </c>
      <c r="B62" s="5" t="s">
        <v>696</v>
      </c>
      <c r="C62" s="5" t="s">
        <v>695</v>
      </c>
      <c r="D62" s="197">
        <v>39.761029999999998</v>
      </c>
      <c r="E62" s="197">
        <v>8.5806939999999994</v>
      </c>
      <c r="F62" s="5" t="s">
        <v>94</v>
      </c>
      <c r="G62" s="196" t="s">
        <v>672</v>
      </c>
      <c r="H62" s="5" t="str">
        <f>VLOOKUP(F62,'All sensors Installed'!$A$2:$K$1119,6,)</f>
        <v>ST04</v>
      </c>
      <c r="I62" s="5" t="str">
        <f>VLOOKUP(F62,'All sensors Installed'!$A$2:$K$1119,11,)</f>
        <v>AC1F09FFFE04E4C1</v>
      </c>
      <c r="J62" s="5" t="s">
        <v>681</v>
      </c>
      <c r="K62" s="5" t="s">
        <v>662</v>
      </c>
      <c r="L62" s="5" t="str">
        <f>VLOOKUP($K62,'Property names'!$A$1:$D$100,2,FALSE)</f>
        <v>The measure of temperature of the soil.</v>
      </c>
      <c r="M62" s="5" t="str">
        <f>VLOOKUP($K62,'Property names'!$A$1:$D$100,3,FALSE)</f>
        <v>Degrees Celsius</v>
      </c>
      <c r="N62" s="5" t="str">
        <f>VLOOKUP($K62,'Property names'!$A$1:$D$100,4,FALSE)</f>
        <v>ºC</v>
      </c>
      <c r="O62" s="5" t="str">
        <f t="shared" si="4"/>
        <v>Pinos_I003_soil_temperature_2</v>
      </c>
      <c r="P62" s="5" t="str">
        <f t="shared" si="5"/>
        <v>The datastream containing mesures of field Pinos by sensor I003 which measures Soil Temperature.</v>
      </c>
      <c r="Q62" s="5" t="s">
        <v>653</v>
      </c>
    </row>
    <row r="63" spans="1:17" ht="12.75">
      <c r="A63" s="5" t="s">
        <v>693</v>
      </c>
      <c r="B63" s="5" t="s">
        <v>696</v>
      </c>
      <c r="C63" s="5" t="s">
        <v>695</v>
      </c>
      <c r="D63" s="197">
        <v>39.761029999999998</v>
      </c>
      <c r="E63" s="197">
        <v>8.5806939999999994</v>
      </c>
      <c r="F63" s="5" t="s">
        <v>94</v>
      </c>
      <c r="G63" s="196" t="s">
        <v>672</v>
      </c>
      <c r="H63" s="5" t="str">
        <f>VLOOKUP(F63,'All sensors Installed'!$A$2:$K$1119,6,)</f>
        <v>ST04</v>
      </c>
      <c r="I63" s="5" t="str">
        <f>VLOOKUP(F63,'All sensors Installed'!$A$2:$K$1119,11,)</f>
        <v>AC1F09FFFE04E4C1</v>
      </c>
      <c r="J63" s="5" t="s">
        <v>682</v>
      </c>
      <c r="K63" s="5" t="s">
        <v>662</v>
      </c>
      <c r="L63" s="5" t="str">
        <f>VLOOKUP($K63,'Property names'!$A$1:$D$100,2,FALSE)</f>
        <v>The measure of temperature of the soil.</v>
      </c>
      <c r="M63" s="5" t="str">
        <f>VLOOKUP($K63,'Property names'!$A$1:$D$100,3,FALSE)</f>
        <v>Degrees Celsius</v>
      </c>
      <c r="N63" s="5" t="str">
        <f>VLOOKUP($K63,'Property names'!$A$1:$D$100,4,FALSE)</f>
        <v>ºC</v>
      </c>
      <c r="O63" s="5" t="str">
        <f t="shared" si="4"/>
        <v>Pinos_I003_soil_temperature_3</v>
      </c>
      <c r="P63" s="5" t="str">
        <f t="shared" si="5"/>
        <v>The datastream containing mesures of field Pinos by sensor I003 which measures Soil Temperature.</v>
      </c>
      <c r="Q63" s="5" t="s">
        <v>653</v>
      </c>
    </row>
    <row r="64" spans="1:17" ht="12.75">
      <c r="A64" s="5" t="s">
        <v>693</v>
      </c>
      <c r="B64" s="5" t="s">
        <v>696</v>
      </c>
      <c r="C64" s="5" t="s">
        <v>695</v>
      </c>
      <c r="D64" s="197">
        <v>39.761029999999998</v>
      </c>
      <c r="E64" s="197">
        <v>8.5806939999999994</v>
      </c>
      <c r="F64" s="5" t="s">
        <v>94</v>
      </c>
      <c r="G64" s="196" t="s">
        <v>672</v>
      </c>
      <c r="H64" s="5" t="str">
        <f>VLOOKUP(F64,'All sensors Installed'!$A$2:$K$1119,6,)</f>
        <v>ST04</v>
      </c>
      <c r="I64" s="5" t="str">
        <f>VLOOKUP(F64,'All sensors Installed'!$A$2:$K$1119,11,)</f>
        <v>AC1F09FFFE04E4C1</v>
      </c>
      <c r="J64" s="5" t="s">
        <v>683</v>
      </c>
      <c r="K64" s="5" t="s">
        <v>662</v>
      </c>
      <c r="L64" s="5" t="str">
        <f>VLOOKUP($K64,'Property names'!$A$1:$D$100,2,FALSE)</f>
        <v>The measure of temperature of the soil.</v>
      </c>
      <c r="M64" s="5" t="str">
        <f>VLOOKUP($K64,'Property names'!$A$1:$D$100,3,FALSE)</f>
        <v>Degrees Celsius</v>
      </c>
      <c r="N64" s="5" t="str">
        <f>VLOOKUP($K64,'Property names'!$A$1:$D$100,4,FALSE)</f>
        <v>ºC</v>
      </c>
      <c r="O64" s="5" t="str">
        <f t="shared" si="4"/>
        <v>Pinos_I003_soil_temperature_4</v>
      </c>
      <c r="P64" s="5" t="str">
        <f t="shared" si="5"/>
        <v>The datastream containing mesures of field Pinos by sensor I003 which measures Soil Temperature.</v>
      </c>
      <c r="Q64" s="5" t="s">
        <v>653</v>
      </c>
    </row>
    <row r="65" spans="1:17" ht="12.75">
      <c r="A65" s="5" t="s">
        <v>693</v>
      </c>
      <c r="B65" s="5" t="s">
        <v>696</v>
      </c>
      <c r="C65" s="5" t="s">
        <v>695</v>
      </c>
      <c r="D65" s="197">
        <v>39.761029999999998</v>
      </c>
      <c r="E65" s="197">
        <v>8.5806939999999994</v>
      </c>
      <c r="F65" s="5" t="s">
        <v>94</v>
      </c>
      <c r="G65" s="196" t="s">
        <v>672</v>
      </c>
      <c r="H65" s="5" t="str">
        <f>VLOOKUP(F65,'All sensors Installed'!$A$2:$K$1119,6,)</f>
        <v>ST04</v>
      </c>
      <c r="I65" s="5" t="str">
        <f>VLOOKUP(F65,'All sensors Installed'!$A$2:$K$1119,11,)</f>
        <v>AC1F09FFFE04E4C1</v>
      </c>
      <c r="J65" s="5" t="s">
        <v>684</v>
      </c>
      <c r="K65" s="5" t="s">
        <v>662</v>
      </c>
      <c r="L65" s="5" t="str">
        <f>VLOOKUP($K65,'Property names'!$A$1:$D$100,2,FALSE)</f>
        <v>The measure of temperature of the soil.</v>
      </c>
      <c r="M65" s="5" t="str">
        <f>VLOOKUP($K65,'Property names'!$A$1:$D$100,3,FALSE)</f>
        <v>Degrees Celsius</v>
      </c>
      <c r="N65" s="5" t="str">
        <f>VLOOKUP($K65,'Property names'!$A$1:$D$100,4,FALSE)</f>
        <v>ºC</v>
      </c>
      <c r="O65" s="5" t="str">
        <f t="shared" si="4"/>
        <v>Pinos_I003_soil_temperature_5</v>
      </c>
      <c r="P65" s="5" t="str">
        <f t="shared" si="5"/>
        <v>The datastream containing mesures of field Pinos by sensor I003 which measures Soil Temperature.</v>
      </c>
      <c r="Q65" s="5" t="s">
        <v>653</v>
      </c>
    </row>
    <row r="66" spans="1:17" ht="12.75">
      <c r="A66" s="5" t="s">
        <v>693</v>
      </c>
      <c r="B66" s="5" t="s">
        <v>696</v>
      </c>
      <c r="C66" s="5" t="s">
        <v>695</v>
      </c>
      <c r="D66" s="197">
        <v>39.761029999999998</v>
      </c>
      <c r="E66" s="197">
        <v>8.5806939999999994</v>
      </c>
      <c r="F66" s="5" t="s">
        <v>94</v>
      </c>
      <c r="G66" s="196" t="s">
        <v>672</v>
      </c>
      <c r="H66" s="5" t="str">
        <f>VLOOKUP(F66,'All sensors Installed'!$A$2:$K$1119,6,)</f>
        <v>ST04</v>
      </c>
      <c r="I66" s="5" t="str">
        <f>VLOOKUP(F66,'All sensors Installed'!$A$2:$K$1119,11,)</f>
        <v>AC1F09FFFE04E4C1</v>
      </c>
      <c r="J66" s="5" t="s">
        <v>685</v>
      </c>
      <c r="K66" s="5" t="s">
        <v>662</v>
      </c>
      <c r="L66" s="5" t="str">
        <f>VLOOKUP($K66,'Property names'!$A$1:$D$100,2,FALSE)</f>
        <v>The measure of temperature of the soil.</v>
      </c>
      <c r="M66" s="5" t="str">
        <f>VLOOKUP($K66,'Property names'!$A$1:$D$100,3,FALSE)</f>
        <v>Degrees Celsius</v>
      </c>
      <c r="N66" s="5" t="str">
        <f>VLOOKUP($K66,'Property names'!$A$1:$D$100,4,FALSE)</f>
        <v>ºC</v>
      </c>
      <c r="O66" s="5" t="str">
        <f t="shared" si="4"/>
        <v>Pinos_I003_soil_temperature_6</v>
      </c>
      <c r="P66" s="5" t="str">
        <f t="shared" si="5"/>
        <v>The datastream containing mesures of field Pinos by sensor I003 which measures Soil Temperature.</v>
      </c>
      <c r="Q66" s="5" t="s">
        <v>653</v>
      </c>
    </row>
    <row r="67" spans="1:17" ht="12.75">
      <c r="A67" s="5" t="s">
        <v>693</v>
      </c>
      <c r="B67" s="5" t="s">
        <v>696</v>
      </c>
      <c r="C67" s="5" t="s">
        <v>695</v>
      </c>
      <c r="D67" s="197">
        <v>39.761389999999999</v>
      </c>
      <c r="E67" s="197">
        <v>8.5815000000000001</v>
      </c>
      <c r="F67" s="5" t="s">
        <v>97</v>
      </c>
      <c r="G67" s="196" t="s">
        <v>672</v>
      </c>
      <c r="H67" s="5" t="str">
        <f>VLOOKUP(F67,'All sensors Installed'!$A$2:$K$1119,6,)</f>
        <v>ST04</v>
      </c>
      <c r="I67" s="5" t="str">
        <f>VLOOKUP(F67,'All sensors Installed'!$A$2:$K$1119,11,)</f>
        <v>AC1F09FFFE04E4B1</v>
      </c>
      <c r="J67" s="5" t="s">
        <v>673</v>
      </c>
      <c r="K67" s="5" t="s">
        <v>660</v>
      </c>
      <c r="L67" s="5" t="str">
        <f>VLOOKUP($K67,'Property names'!$A$1:$D$100,2,FALSE)</f>
        <v>The amount of moisture present in the soil, often expressed as a percentage of the maximum amount the soil could hold at a given temperature.</v>
      </c>
      <c r="M67" s="5" t="str">
        <f>VLOOKUP($K67,'Property names'!$A$1:$D$100,3,FALSE)</f>
        <v>Percentage</v>
      </c>
      <c r="N67" s="5" t="str">
        <f>VLOOKUP($K67,'Property names'!$A$1:$D$100,4,FALSE)</f>
        <v>%</v>
      </c>
      <c r="O67" s="5" t="str">
        <f t="shared" si="4"/>
        <v>Pinos_I004_soil_moisture_1</v>
      </c>
      <c r="P67" s="5" t="str">
        <f t="shared" si="5"/>
        <v>The datastream containing mesures of field Pinos by sensor I004 which measures Soil Moisture.</v>
      </c>
      <c r="Q67" s="5" t="s">
        <v>653</v>
      </c>
    </row>
    <row r="68" spans="1:17" ht="12.75">
      <c r="A68" s="5" t="s">
        <v>693</v>
      </c>
      <c r="B68" s="5" t="s">
        <v>696</v>
      </c>
      <c r="C68" s="5" t="s">
        <v>695</v>
      </c>
      <c r="D68" s="197">
        <v>39.761389999999999</v>
      </c>
      <c r="E68" s="197">
        <v>8.5815000000000001</v>
      </c>
      <c r="F68" s="5" t="s">
        <v>97</v>
      </c>
      <c r="G68" s="196" t="s">
        <v>672</v>
      </c>
      <c r="H68" s="5" t="str">
        <f>VLOOKUP(F68,'All sensors Installed'!$A$2:$K$1119,6,)</f>
        <v>ST04</v>
      </c>
      <c r="I68" s="5" t="str">
        <f>VLOOKUP(F68,'All sensors Installed'!$A$2:$K$1119,11,)</f>
        <v>AC1F09FFFE04E4B1</v>
      </c>
      <c r="J68" s="5" t="s">
        <v>674</v>
      </c>
      <c r="K68" s="5" t="s">
        <v>660</v>
      </c>
      <c r="L68" s="5" t="str">
        <f>VLOOKUP($K68,'Property names'!$A$1:$D$100,2,FALSE)</f>
        <v>The amount of moisture present in the soil, often expressed as a percentage of the maximum amount the soil could hold at a given temperature.</v>
      </c>
      <c r="M68" s="5" t="str">
        <f>VLOOKUP($K68,'Property names'!$A$1:$D$100,3,FALSE)</f>
        <v>Percentage</v>
      </c>
      <c r="N68" s="5" t="str">
        <f>VLOOKUP($K68,'Property names'!$A$1:$D$100,4,FALSE)</f>
        <v>%</v>
      </c>
      <c r="O68" s="5" t="str">
        <f t="shared" si="4"/>
        <v>Pinos_I004_soil_moisture_2</v>
      </c>
      <c r="P68" s="5" t="str">
        <f t="shared" si="5"/>
        <v>The datastream containing mesures of field Pinos by sensor I004 which measures Soil Moisture.</v>
      </c>
      <c r="Q68" s="5" t="s">
        <v>653</v>
      </c>
    </row>
    <row r="69" spans="1:17" ht="12.75">
      <c r="A69" s="5" t="s">
        <v>693</v>
      </c>
      <c r="B69" s="5" t="s">
        <v>696</v>
      </c>
      <c r="C69" s="5" t="s">
        <v>695</v>
      </c>
      <c r="D69" s="197">
        <v>39.761389999999999</v>
      </c>
      <c r="E69" s="197">
        <v>8.5815000000000001</v>
      </c>
      <c r="F69" s="5" t="s">
        <v>97</v>
      </c>
      <c r="G69" s="196" t="s">
        <v>672</v>
      </c>
      <c r="H69" s="5" t="str">
        <f>VLOOKUP(F69,'All sensors Installed'!$A$2:$K$1119,6,)</f>
        <v>ST04</v>
      </c>
      <c r="I69" s="5" t="str">
        <f>VLOOKUP(F69,'All sensors Installed'!$A$2:$K$1119,11,)</f>
        <v>AC1F09FFFE04E4B1</v>
      </c>
      <c r="J69" s="5" t="s">
        <v>675</v>
      </c>
      <c r="K69" s="5" t="s">
        <v>660</v>
      </c>
      <c r="L69" s="5" t="str">
        <f>VLOOKUP($K69,'Property names'!$A$1:$D$100,2,FALSE)</f>
        <v>The amount of moisture present in the soil, often expressed as a percentage of the maximum amount the soil could hold at a given temperature.</v>
      </c>
      <c r="M69" s="5" t="str">
        <f>VLOOKUP($K69,'Property names'!$A$1:$D$100,3,FALSE)</f>
        <v>Percentage</v>
      </c>
      <c r="N69" s="5" t="str">
        <f>VLOOKUP($K69,'Property names'!$A$1:$D$100,4,FALSE)</f>
        <v>%</v>
      </c>
      <c r="O69" s="5" t="str">
        <f t="shared" si="4"/>
        <v>Pinos_I004_soil_moisture_3</v>
      </c>
      <c r="P69" s="5" t="str">
        <f t="shared" si="5"/>
        <v>The datastream containing mesures of field Pinos by sensor I004 which measures Soil Moisture.</v>
      </c>
      <c r="Q69" s="5" t="s">
        <v>653</v>
      </c>
    </row>
    <row r="70" spans="1:17" ht="12.75">
      <c r="A70" s="5" t="s">
        <v>693</v>
      </c>
      <c r="B70" s="5" t="s">
        <v>696</v>
      </c>
      <c r="C70" s="5" t="s">
        <v>695</v>
      </c>
      <c r="D70" s="197">
        <v>39.761389999999999</v>
      </c>
      <c r="E70" s="197">
        <v>8.5815000000000001</v>
      </c>
      <c r="F70" s="5" t="s">
        <v>97</v>
      </c>
      <c r="G70" s="196" t="s">
        <v>672</v>
      </c>
      <c r="H70" s="5" t="str">
        <f>VLOOKUP(F70,'All sensors Installed'!$A$2:$K$1119,6,)</f>
        <v>ST04</v>
      </c>
      <c r="I70" s="5" t="str">
        <f>VLOOKUP(F70,'All sensors Installed'!$A$2:$K$1119,11,)</f>
        <v>AC1F09FFFE04E4B1</v>
      </c>
      <c r="J70" s="5" t="s">
        <v>676</v>
      </c>
      <c r="K70" s="5" t="s">
        <v>660</v>
      </c>
      <c r="L70" s="5" t="str">
        <f>VLOOKUP($K70,'Property names'!$A$1:$D$100,2,FALSE)</f>
        <v>The amount of moisture present in the soil, often expressed as a percentage of the maximum amount the soil could hold at a given temperature.</v>
      </c>
      <c r="M70" s="5" t="str">
        <f>VLOOKUP($K70,'Property names'!$A$1:$D$100,3,FALSE)</f>
        <v>Percentage</v>
      </c>
      <c r="N70" s="5" t="str">
        <f>VLOOKUP($K70,'Property names'!$A$1:$D$100,4,FALSE)</f>
        <v>%</v>
      </c>
      <c r="O70" s="5" t="str">
        <f t="shared" si="4"/>
        <v>Pinos_I004_soil_moisture_4</v>
      </c>
      <c r="P70" s="5" t="str">
        <f t="shared" si="5"/>
        <v>The datastream containing mesures of field Pinos by sensor I004 which measures Soil Moisture.</v>
      </c>
      <c r="Q70" s="5" t="s">
        <v>653</v>
      </c>
    </row>
    <row r="71" spans="1:17" ht="12.75">
      <c r="A71" s="5" t="s">
        <v>693</v>
      </c>
      <c r="B71" s="5" t="s">
        <v>696</v>
      </c>
      <c r="C71" s="5" t="s">
        <v>695</v>
      </c>
      <c r="D71" s="197">
        <v>39.761389999999999</v>
      </c>
      <c r="E71" s="197">
        <v>8.5815000000000001</v>
      </c>
      <c r="F71" s="5" t="s">
        <v>97</v>
      </c>
      <c r="G71" s="196" t="s">
        <v>672</v>
      </c>
      <c r="H71" s="5" t="str">
        <f>VLOOKUP(F71,'All sensors Installed'!$A$2:$K$1119,6,)</f>
        <v>ST04</v>
      </c>
      <c r="I71" s="5" t="str">
        <f>VLOOKUP(F71,'All sensors Installed'!$A$2:$K$1119,11,)</f>
        <v>AC1F09FFFE04E4B1</v>
      </c>
      <c r="J71" s="5" t="s">
        <v>677</v>
      </c>
      <c r="K71" s="5" t="s">
        <v>660</v>
      </c>
      <c r="L71" s="5" t="str">
        <f>VLOOKUP($K71,'Property names'!$A$1:$D$100,2,FALSE)</f>
        <v>The amount of moisture present in the soil, often expressed as a percentage of the maximum amount the soil could hold at a given temperature.</v>
      </c>
      <c r="M71" s="5" t="str">
        <f>VLOOKUP($K71,'Property names'!$A$1:$D$100,3,FALSE)</f>
        <v>Percentage</v>
      </c>
      <c r="N71" s="5" t="str">
        <f>VLOOKUP($K71,'Property names'!$A$1:$D$100,4,FALSE)</f>
        <v>%</v>
      </c>
      <c r="O71" s="5" t="str">
        <f t="shared" si="4"/>
        <v>Pinos_I004_soil_moisture_5</v>
      </c>
      <c r="P71" s="5" t="str">
        <f t="shared" si="5"/>
        <v>The datastream containing mesures of field Pinos by sensor I004 which measures Soil Moisture.</v>
      </c>
      <c r="Q71" s="5" t="s">
        <v>653</v>
      </c>
    </row>
    <row r="72" spans="1:17" ht="12.75">
      <c r="A72" s="5" t="s">
        <v>693</v>
      </c>
      <c r="B72" s="5" t="s">
        <v>696</v>
      </c>
      <c r="C72" s="5" t="s">
        <v>695</v>
      </c>
      <c r="D72" s="197">
        <v>39.761389999999999</v>
      </c>
      <c r="E72" s="197">
        <v>8.5815000000000001</v>
      </c>
      <c r="F72" s="5" t="s">
        <v>97</v>
      </c>
      <c r="G72" s="196" t="s">
        <v>672</v>
      </c>
      <c r="H72" s="5" t="str">
        <f>VLOOKUP(F72,'All sensors Installed'!$A$2:$K$1119,6,)</f>
        <v>ST04</v>
      </c>
      <c r="I72" s="5" t="str">
        <f>VLOOKUP(F72,'All sensors Installed'!$A$2:$K$1119,11,)</f>
        <v>AC1F09FFFE04E4B1</v>
      </c>
      <c r="J72" s="5" t="s">
        <v>678</v>
      </c>
      <c r="K72" s="5" t="s">
        <v>660</v>
      </c>
      <c r="L72" s="5" t="str">
        <f>VLOOKUP($K72,'Property names'!$A$1:$D$100,2,FALSE)</f>
        <v>The amount of moisture present in the soil, often expressed as a percentage of the maximum amount the soil could hold at a given temperature.</v>
      </c>
      <c r="M72" s="5" t="str">
        <f>VLOOKUP($K72,'Property names'!$A$1:$D$100,3,FALSE)</f>
        <v>Percentage</v>
      </c>
      <c r="N72" s="5" t="str">
        <f>VLOOKUP($K72,'Property names'!$A$1:$D$100,4,FALSE)</f>
        <v>%</v>
      </c>
      <c r="O72" s="5" t="str">
        <f t="shared" si="4"/>
        <v>Pinos_I004_soil_moisture_6</v>
      </c>
      <c r="P72" s="5" t="str">
        <f t="shared" si="5"/>
        <v>The datastream containing mesures of field Pinos by sensor I004 which measures Soil Moisture.</v>
      </c>
      <c r="Q72" s="5" t="s">
        <v>653</v>
      </c>
    </row>
    <row r="73" spans="1:17" ht="12.75">
      <c r="A73" s="5" t="s">
        <v>693</v>
      </c>
      <c r="B73" s="5" t="s">
        <v>696</v>
      </c>
      <c r="C73" s="5" t="s">
        <v>695</v>
      </c>
      <c r="D73" s="197">
        <v>39.761389999999999</v>
      </c>
      <c r="E73" s="197">
        <v>8.5815000000000001</v>
      </c>
      <c r="F73" s="5" t="s">
        <v>97</v>
      </c>
      <c r="G73" s="196" t="s">
        <v>672</v>
      </c>
      <c r="H73" s="5" t="str">
        <f>VLOOKUP(F73,'All sensors Installed'!$A$2:$K$1119,6,)</f>
        <v>ST04</v>
      </c>
      <c r="I73" s="5" t="str">
        <f>VLOOKUP(F73,'All sensors Installed'!$A$2:$K$1119,11,)</f>
        <v>AC1F09FFFE04E4B1</v>
      </c>
      <c r="J73" s="5" t="s">
        <v>679</v>
      </c>
      <c r="K73" s="5" t="s">
        <v>652</v>
      </c>
      <c r="L73" s="5" t="str">
        <f>VLOOKUP($K73,'Property names'!$A$1:$D$100,2,FALSE)</f>
        <v>The measure of the hotness or coldness of the air.</v>
      </c>
      <c r="M73" s="5" t="str">
        <f>VLOOKUP($K73,'Property names'!$A$1:$D$100,3,FALSE)</f>
        <v>Degrees Celsius</v>
      </c>
      <c r="N73" s="5" t="str">
        <f>VLOOKUP($K73,'Property names'!$A$1:$D$100,4,FALSE)</f>
        <v>ºC</v>
      </c>
      <c r="O73" s="5" t="str">
        <f t="shared" si="4"/>
        <v>Pinos_I004_ambient_temperature</v>
      </c>
      <c r="P73" s="5" t="str">
        <f t="shared" si="5"/>
        <v>The datastream containing mesures of field Pinos by sensor I004 which measures Air Temperature.</v>
      </c>
      <c r="Q73" s="5" t="s">
        <v>653</v>
      </c>
    </row>
    <row r="74" spans="1:17" ht="12.75">
      <c r="A74" s="5" t="s">
        <v>693</v>
      </c>
      <c r="B74" s="5" t="s">
        <v>696</v>
      </c>
      <c r="C74" s="5" t="s">
        <v>695</v>
      </c>
      <c r="D74" s="197">
        <v>39.761389999999999</v>
      </c>
      <c r="E74" s="197">
        <v>8.5815000000000001</v>
      </c>
      <c r="F74" s="5" t="s">
        <v>97</v>
      </c>
      <c r="G74" s="196" t="s">
        <v>672</v>
      </c>
      <c r="H74" s="5" t="str">
        <f>VLOOKUP(F74,'All sensors Installed'!$A$2:$K$1119,6,)</f>
        <v>ST04</v>
      </c>
      <c r="I74" s="5" t="str">
        <f>VLOOKUP(F74,'All sensors Installed'!$A$2:$K$1119,11,)</f>
        <v>AC1F09FFFE04E4B1</v>
      </c>
      <c r="J74" s="5" t="s">
        <v>680</v>
      </c>
      <c r="K74" s="5" t="s">
        <v>662</v>
      </c>
      <c r="L74" s="5" t="str">
        <f>VLOOKUP($K74,'Property names'!$A$1:$D$100,2,FALSE)</f>
        <v>The measure of temperature of the soil.</v>
      </c>
      <c r="M74" s="5" t="str">
        <f>VLOOKUP($K74,'Property names'!$A$1:$D$100,3,FALSE)</f>
        <v>Degrees Celsius</v>
      </c>
      <c r="N74" s="5" t="str">
        <f>VLOOKUP($K74,'Property names'!$A$1:$D$100,4,FALSE)</f>
        <v>ºC</v>
      </c>
      <c r="O74" s="5" t="str">
        <f t="shared" si="4"/>
        <v>Pinos_I004_soil_temperature_1</v>
      </c>
      <c r="P74" s="5" t="str">
        <f t="shared" si="5"/>
        <v>The datastream containing mesures of field Pinos by sensor I004 which measures Soil Temperature.</v>
      </c>
      <c r="Q74" s="5" t="s">
        <v>653</v>
      </c>
    </row>
    <row r="75" spans="1:17" ht="12.75">
      <c r="A75" s="5" t="s">
        <v>693</v>
      </c>
      <c r="B75" s="5" t="s">
        <v>696</v>
      </c>
      <c r="C75" s="5" t="s">
        <v>695</v>
      </c>
      <c r="D75" s="197">
        <v>39.761389999999999</v>
      </c>
      <c r="E75" s="197">
        <v>8.5815000000000001</v>
      </c>
      <c r="F75" s="5" t="s">
        <v>97</v>
      </c>
      <c r="G75" s="196" t="s">
        <v>672</v>
      </c>
      <c r="H75" s="5" t="str">
        <f>VLOOKUP(F75,'All sensors Installed'!$A$2:$K$1119,6,)</f>
        <v>ST04</v>
      </c>
      <c r="I75" s="5" t="str">
        <f>VLOOKUP(F75,'All sensors Installed'!$A$2:$K$1119,11,)</f>
        <v>AC1F09FFFE04E4B1</v>
      </c>
      <c r="J75" s="5" t="s">
        <v>681</v>
      </c>
      <c r="K75" s="5" t="s">
        <v>662</v>
      </c>
      <c r="L75" s="5" t="str">
        <f>VLOOKUP($K75,'Property names'!$A$1:$D$100,2,FALSE)</f>
        <v>The measure of temperature of the soil.</v>
      </c>
      <c r="M75" s="5" t="str">
        <f>VLOOKUP($K75,'Property names'!$A$1:$D$100,3,FALSE)</f>
        <v>Degrees Celsius</v>
      </c>
      <c r="N75" s="5" t="str">
        <f>VLOOKUP($K75,'Property names'!$A$1:$D$100,4,FALSE)</f>
        <v>ºC</v>
      </c>
      <c r="O75" s="5" t="str">
        <f t="shared" si="4"/>
        <v>Pinos_I004_soil_temperature_2</v>
      </c>
      <c r="P75" s="5" t="str">
        <f t="shared" si="5"/>
        <v>The datastream containing mesures of field Pinos by sensor I004 which measures Soil Temperature.</v>
      </c>
      <c r="Q75" s="5" t="s">
        <v>653</v>
      </c>
    </row>
    <row r="76" spans="1:17" ht="12.75">
      <c r="A76" s="5" t="s">
        <v>693</v>
      </c>
      <c r="B76" s="5" t="s">
        <v>696</v>
      </c>
      <c r="C76" s="5" t="s">
        <v>695</v>
      </c>
      <c r="D76" s="197">
        <v>39.761389999999999</v>
      </c>
      <c r="E76" s="197">
        <v>8.5815000000000001</v>
      </c>
      <c r="F76" s="5" t="s">
        <v>97</v>
      </c>
      <c r="G76" s="196" t="s">
        <v>672</v>
      </c>
      <c r="H76" s="5" t="str">
        <f>VLOOKUP(F76,'All sensors Installed'!$A$2:$K$1119,6,)</f>
        <v>ST04</v>
      </c>
      <c r="I76" s="5" t="str">
        <f>VLOOKUP(F76,'All sensors Installed'!$A$2:$K$1119,11,)</f>
        <v>AC1F09FFFE04E4B1</v>
      </c>
      <c r="J76" s="5" t="s">
        <v>682</v>
      </c>
      <c r="K76" s="5" t="s">
        <v>662</v>
      </c>
      <c r="L76" s="5" t="str">
        <f>VLOOKUP($K76,'Property names'!$A$1:$D$100,2,FALSE)</f>
        <v>The measure of temperature of the soil.</v>
      </c>
      <c r="M76" s="5" t="str">
        <f>VLOOKUP($K76,'Property names'!$A$1:$D$100,3,FALSE)</f>
        <v>Degrees Celsius</v>
      </c>
      <c r="N76" s="5" t="str">
        <f>VLOOKUP($K76,'Property names'!$A$1:$D$100,4,FALSE)</f>
        <v>ºC</v>
      </c>
      <c r="O76" s="5" t="str">
        <f t="shared" si="4"/>
        <v>Pinos_I004_soil_temperature_3</v>
      </c>
      <c r="P76" s="5" t="str">
        <f t="shared" si="5"/>
        <v>The datastream containing mesures of field Pinos by sensor I004 which measures Soil Temperature.</v>
      </c>
      <c r="Q76" s="5" t="s">
        <v>653</v>
      </c>
    </row>
    <row r="77" spans="1:17" ht="12.75">
      <c r="A77" s="5" t="s">
        <v>693</v>
      </c>
      <c r="B77" s="5" t="s">
        <v>696</v>
      </c>
      <c r="C77" s="5" t="s">
        <v>695</v>
      </c>
      <c r="D77" s="197">
        <v>39.761389999999999</v>
      </c>
      <c r="E77" s="197">
        <v>8.5815000000000001</v>
      </c>
      <c r="F77" s="5" t="s">
        <v>97</v>
      </c>
      <c r="G77" s="196" t="s">
        <v>672</v>
      </c>
      <c r="H77" s="5" t="str">
        <f>VLOOKUP(F77,'All sensors Installed'!$A$2:$K$1119,6,)</f>
        <v>ST04</v>
      </c>
      <c r="I77" s="5" t="str">
        <f>VLOOKUP(F77,'All sensors Installed'!$A$2:$K$1119,11,)</f>
        <v>AC1F09FFFE04E4B1</v>
      </c>
      <c r="J77" s="5" t="s">
        <v>683</v>
      </c>
      <c r="K77" s="5" t="s">
        <v>662</v>
      </c>
      <c r="L77" s="5" t="str">
        <f>VLOOKUP($K77,'Property names'!$A$1:$D$100,2,FALSE)</f>
        <v>The measure of temperature of the soil.</v>
      </c>
      <c r="M77" s="5" t="str">
        <f>VLOOKUP($K77,'Property names'!$A$1:$D$100,3,FALSE)</f>
        <v>Degrees Celsius</v>
      </c>
      <c r="N77" s="5" t="str">
        <f>VLOOKUP($K77,'Property names'!$A$1:$D$100,4,FALSE)</f>
        <v>ºC</v>
      </c>
      <c r="O77" s="5" t="str">
        <f t="shared" si="4"/>
        <v>Pinos_I004_soil_temperature_4</v>
      </c>
      <c r="P77" s="5" t="str">
        <f t="shared" si="5"/>
        <v>The datastream containing mesures of field Pinos by sensor I004 which measures Soil Temperature.</v>
      </c>
      <c r="Q77" s="5" t="s">
        <v>653</v>
      </c>
    </row>
    <row r="78" spans="1:17" ht="12.75">
      <c r="A78" s="5" t="s">
        <v>693</v>
      </c>
      <c r="B78" s="5" t="s">
        <v>696</v>
      </c>
      <c r="C78" s="5" t="s">
        <v>695</v>
      </c>
      <c r="D78" s="197">
        <v>39.761389999999999</v>
      </c>
      <c r="E78" s="197">
        <v>8.5815000000000001</v>
      </c>
      <c r="F78" s="5" t="s">
        <v>97</v>
      </c>
      <c r="G78" s="196" t="s">
        <v>672</v>
      </c>
      <c r="H78" s="5" t="str">
        <f>VLOOKUP(F78,'All sensors Installed'!$A$2:$K$1119,6,)</f>
        <v>ST04</v>
      </c>
      <c r="I78" s="5" t="str">
        <f>VLOOKUP(F78,'All sensors Installed'!$A$2:$K$1119,11,)</f>
        <v>AC1F09FFFE04E4B1</v>
      </c>
      <c r="J78" s="5" t="s">
        <v>684</v>
      </c>
      <c r="K78" s="5" t="s">
        <v>662</v>
      </c>
      <c r="L78" s="5" t="str">
        <f>VLOOKUP($K78,'Property names'!$A$1:$D$100,2,FALSE)</f>
        <v>The measure of temperature of the soil.</v>
      </c>
      <c r="M78" s="5" t="str">
        <f>VLOOKUP($K78,'Property names'!$A$1:$D$100,3,FALSE)</f>
        <v>Degrees Celsius</v>
      </c>
      <c r="N78" s="5" t="str">
        <f>VLOOKUP($K78,'Property names'!$A$1:$D$100,4,FALSE)</f>
        <v>ºC</v>
      </c>
      <c r="O78" s="5" t="str">
        <f t="shared" si="4"/>
        <v>Pinos_I004_soil_temperature_5</v>
      </c>
      <c r="P78" s="5" t="str">
        <f t="shared" si="5"/>
        <v>The datastream containing mesures of field Pinos by sensor I004 which measures Soil Temperature.</v>
      </c>
      <c r="Q78" s="5" t="s">
        <v>653</v>
      </c>
    </row>
    <row r="79" spans="1:17" ht="12.75">
      <c r="A79" s="5" t="s">
        <v>693</v>
      </c>
      <c r="B79" s="5" t="s">
        <v>696</v>
      </c>
      <c r="C79" s="5" t="s">
        <v>695</v>
      </c>
      <c r="D79" s="197">
        <v>39.761389999999999</v>
      </c>
      <c r="E79" s="197">
        <v>8.5815000000000001</v>
      </c>
      <c r="F79" s="5" t="s">
        <v>97</v>
      </c>
      <c r="G79" s="196" t="s">
        <v>672</v>
      </c>
      <c r="H79" s="5" t="str">
        <f>VLOOKUP(F79,'All sensors Installed'!$A$2:$K$1119,6,)</f>
        <v>ST04</v>
      </c>
      <c r="I79" s="5" t="str">
        <f>VLOOKUP(F79,'All sensors Installed'!$A$2:$K$1119,11,)</f>
        <v>AC1F09FFFE04E4B1</v>
      </c>
      <c r="J79" s="5" t="s">
        <v>685</v>
      </c>
      <c r="K79" s="5" t="s">
        <v>662</v>
      </c>
      <c r="L79" s="5" t="str">
        <f>VLOOKUP($K79,'Property names'!$A$1:$D$100,2,FALSE)</f>
        <v>The measure of temperature of the soil.</v>
      </c>
      <c r="M79" s="5" t="str">
        <f>VLOOKUP($K79,'Property names'!$A$1:$D$100,3,FALSE)</f>
        <v>Degrees Celsius</v>
      </c>
      <c r="N79" s="5" t="str">
        <f>VLOOKUP($K79,'Property names'!$A$1:$D$100,4,FALSE)</f>
        <v>ºC</v>
      </c>
      <c r="O79" s="5" t="str">
        <f t="shared" si="4"/>
        <v>Pinos_I004_soil_temperature_6</v>
      </c>
      <c r="P79" s="5" t="str">
        <f t="shared" si="5"/>
        <v>The datastream containing mesures of field Pinos by sensor I004 which measures Soil Temperature.</v>
      </c>
      <c r="Q79" s="5" t="s">
        <v>653</v>
      </c>
    </row>
    <row r="80" spans="1:17" ht="12.75">
      <c r="A80" s="5" t="s">
        <v>693</v>
      </c>
      <c r="B80" s="5" t="s">
        <v>697</v>
      </c>
      <c r="C80" s="5" t="s">
        <v>695</v>
      </c>
      <c r="D80" s="197">
        <v>39.944890000000001</v>
      </c>
      <c r="E80" s="197">
        <v>8.6972500000000004</v>
      </c>
      <c r="F80" s="5" t="s">
        <v>100</v>
      </c>
      <c r="G80" s="196" t="s">
        <v>672</v>
      </c>
      <c r="H80" s="5" t="str">
        <f>VLOOKUP(F80,'All sensors Installed'!$A$2:$K$1119,6,)</f>
        <v>ST04</v>
      </c>
      <c r="I80" s="5" t="str">
        <f>VLOOKUP(F80,'All sensors Installed'!$A$2:$K$1119,11,)</f>
        <v>AC1F09FFFE04DB8D</v>
      </c>
      <c r="J80" s="5" t="s">
        <v>673</v>
      </c>
      <c r="K80" s="5" t="s">
        <v>660</v>
      </c>
      <c r="L80" s="5" t="str">
        <f>VLOOKUP($K80,'Property names'!$A$1:$D$100,2,FALSE)</f>
        <v>The amount of moisture present in the soil, often expressed as a percentage of the maximum amount the soil could hold at a given temperature.</v>
      </c>
      <c r="M80" s="5" t="str">
        <f>VLOOKUP($K80,'Property names'!$A$1:$D$100,3,FALSE)</f>
        <v>Percentage</v>
      </c>
      <c r="N80" s="5" t="str">
        <f>VLOOKUP($K80,'Property names'!$A$1:$D$100,4,FALSE)</f>
        <v>%</v>
      </c>
      <c r="O80" s="5" t="str">
        <f t="shared" si="4"/>
        <v>Centro_Aziendale_I005_soil_moisture_1</v>
      </c>
      <c r="P80" s="5" t="str">
        <f t="shared" si="5"/>
        <v>The datastream containing mesures of field Centro Aziendale by sensor I005 which measures Soil Moisture.</v>
      </c>
      <c r="Q80" s="5" t="s">
        <v>653</v>
      </c>
    </row>
    <row r="81" spans="1:17" ht="12.75">
      <c r="A81" s="5" t="s">
        <v>693</v>
      </c>
      <c r="B81" s="5" t="s">
        <v>697</v>
      </c>
      <c r="C81" s="5" t="s">
        <v>695</v>
      </c>
      <c r="D81" s="197">
        <v>39.944890000000001</v>
      </c>
      <c r="E81" s="197">
        <v>8.6972500000000004</v>
      </c>
      <c r="F81" s="5" t="s">
        <v>100</v>
      </c>
      <c r="G81" s="196" t="s">
        <v>672</v>
      </c>
      <c r="H81" s="5" t="str">
        <f>VLOOKUP(F81,'All sensors Installed'!$A$2:$K$1119,6,)</f>
        <v>ST04</v>
      </c>
      <c r="I81" s="5" t="str">
        <f>VLOOKUP(F81,'All sensors Installed'!$A$2:$K$1119,11,)</f>
        <v>AC1F09FFFE04DB8D</v>
      </c>
      <c r="J81" s="5" t="s">
        <v>674</v>
      </c>
      <c r="K81" s="5" t="s">
        <v>660</v>
      </c>
      <c r="L81" s="5" t="str">
        <f>VLOOKUP($K81,'Property names'!$A$1:$D$100,2,FALSE)</f>
        <v>The amount of moisture present in the soil, often expressed as a percentage of the maximum amount the soil could hold at a given temperature.</v>
      </c>
      <c r="M81" s="5" t="str">
        <f>VLOOKUP($K81,'Property names'!$A$1:$D$100,3,FALSE)</f>
        <v>Percentage</v>
      </c>
      <c r="N81" s="5" t="str">
        <f>VLOOKUP($K81,'Property names'!$A$1:$D$100,4,FALSE)</f>
        <v>%</v>
      </c>
      <c r="O81" s="5" t="str">
        <f t="shared" si="4"/>
        <v>Centro_Aziendale_I005_soil_moisture_2</v>
      </c>
      <c r="P81" s="5" t="str">
        <f t="shared" si="5"/>
        <v>The datastream containing mesures of field Centro Aziendale by sensor I005 which measures Soil Moisture.</v>
      </c>
      <c r="Q81" s="5" t="s">
        <v>653</v>
      </c>
    </row>
    <row r="82" spans="1:17" ht="12.75">
      <c r="A82" s="5" t="s">
        <v>693</v>
      </c>
      <c r="B82" s="5" t="s">
        <v>697</v>
      </c>
      <c r="C82" s="5" t="s">
        <v>695</v>
      </c>
      <c r="D82" s="197">
        <v>39.944890000000001</v>
      </c>
      <c r="E82" s="197">
        <v>8.6972500000000004</v>
      </c>
      <c r="F82" s="5" t="s">
        <v>100</v>
      </c>
      <c r="G82" s="196" t="s">
        <v>672</v>
      </c>
      <c r="H82" s="5" t="str">
        <f>VLOOKUP(F82,'All sensors Installed'!$A$2:$K$1119,6,)</f>
        <v>ST04</v>
      </c>
      <c r="I82" s="5" t="str">
        <f>VLOOKUP(F82,'All sensors Installed'!$A$2:$K$1119,11,)</f>
        <v>AC1F09FFFE04DB8D</v>
      </c>
      <c r="J82" s="5" t="s">
        <v>675</v>
      </c>
      <c r="K82" s="5" t="s">
        <v>660</v>
      </c>
      <c r="L82" s="5" t="str">
        <f>VLOOKUP($K82,'Property names'!$A$1:$D$100,2,FALSE)</f>
        <v>The amount of moisture present in the soil, often expressed as a percentage of the maximum amount the soil could hold at a given temperature.</v>
      </c>
      <c r="M82" s="5" t="str">
        <f>VLOOKUP($K82,'Property names'!$A$1:$D$100,3,FALSE)</f>
        <v>Percentage</v>
      </c>
      <c r="N82" s="5" t="str">
        <f>VLOOKUP($K82,'Property names'!$A$1:$D$100,4,FALSE)</f>
        <v>%</v>
      </c>
      <c r="O82" s="5" t="str">
        <f t="shared" si="4"/>
        <v>Centro_Aziendale_I005_soil_moisture_3</v>
      </c>
      <c r="P82" s="5" t="str">
        <f t="shared" si="5"/>
        <v>The datastream containing mesures of field Centro Aziendale by sensor I005 which measures Soil Moisture.</v>
      </c>
      <c r="Q82" s="5" t="s">
        <v>653</v>
      </c>
    </row>
    <row r="83" spans="1:17" ht="12.75">
      <c r="A83" s="5" t="s">
        <v>693</v>
      </c>
      <c r="B83" s="5" t="s">
        <v>697</v>
      </c>
      <c r="C83" s="5" t="s">
        <v>695</v>
      </c>
      <c r="D83" s="197">
        <v>39.944890000000001</v>
      </c>
      <c r="E83" s="197">
        <v>8.6972500000000004</v>
      </c>
      <c r="F83" s="5" t="s">
        <v>100</v>
      </c>
      <c r="G83" s="196" t="s">
        <v>672</v>
      </c>
      <c r="H83" s="5" t="str">
        <f>VLOOKUP(F83,'All sensors Installed'!$A$2:$K$1119,6,)</f>
        <v>ST04</v>
      </c>
      <c r="I83" s="5" t="str">
        <f>VLOOKUP(F83,'All sensors Installed'!$A$2:$K$1119,11,)</f>
        <v>AC1F09FFFE04DB8D</v>
      </c>
      <c r="J83" s="5" t="s">
        <v>676</v>
      </c>
      <c r="K83" s="5" t="s">
        <v>660</v>
      </c>
      <c r="L83" s="5" t="str">
        <f>VLOOKUP($K83,'Property names'!$A$1:$D$100,2,FALSE)</f>
        <v>The amount of moisture present in the soil, often expressed as a percentage of the maximum amount the soil could hold at a given temperature.</v>
      </c>
      <c r="M83" s="5" t="str">
        <f>VLOOKUP($K83,'Property names'!$A$1:$D$100,3,FALSE)</f>
        <v>Percentage</v>
      </c>
      <c r="N83" s="5" t="str">
        <f>VLOOKUP($K83,'Property names'!$A$1:$D$100,4,FALSE)</f>
        <v>%</v>
      </c>
      <c r="O83" s="5" t="str">
        <f t="shared" si="4"/>
        <v>Centro_Aziendale_I005_soil_moisture_4</v>
      </c>
      <c r="P83" s="5" t="str">
        <f t="shared" si="5"/>
        <v>The datastream containing mesures of field Centro Aziendale by sensor I005 which measures Soil Moisture.</v>
      </c>
      <c r="Q83" s="5" t="s">
        <v>653</v>
      </c>
    </row>
    <row r="84" spans="1:17" ht="12.75">
      <c r="A84" s="5" t="s">
        <v>693</v>
      </c>
      <c r="B84" s="5" t="s">
        <v>697</v>
      </c>
      <c r="C84" s="5" t="s">
        <v>695</v>
      </c>
      <c r="D84" s="197">
        <v>39.944890000000001</v>
      </c>
      <c r="E84" s="197">
        <v>8.6972500000000004</v>
      </c>
      <c r="F84" s="5" t="s">
        <v>100</v>
      </c>
      <c r="G84" s="196" t="s">
        <v>672</v>
      </c>
      <c r="H84" s="5" t="str">
        <f>VLOOKUP(F84,'All sensors Installed'!$A$2:$K$1119,6,)</f>
        <v>ST04</v>
      </c>
      <c r="I84" s="5" t="str">
        <f>VLOOKUP(F84,'All sensors Installed'!$A$2:$K$1119,11,)</f>
        <v>AC1F09FFFE04DB8D</v>
      </c>
      <c r="J84" s="5" t="s">
        <v>677</v>
      </c>
      <c r="K84" s="5" t="s">
        <v>660</v>
      </c>
      <c r="L84" s="5" t="str">
        <f>VLOOKUP($K84,'Property names'!$A$1:$D$100,2,FALSE)</f>
        <v>The amount of moisture present in the soil, often expressed as a percentage of the maximum amount the soil could hold at a given temperature.</v>
      </c>
      <c r="M84" s="5" t="str">
        <f>VLOOKUP($K84,'Property names'!$A$1:$D$100,3,FALSE)</f>
        <v>Percentage</v>
      </c>
      <c r="N84" s="5" t="str">
        <f>VLOOKUP($K84,'Property names'!$A$1:$D$100,4,FALSE)</f>
        <v>%</v>
      </c>
      <c r="O84" s="5" t="str">
        <f t="shared" si="4"/>
        <v>Centro_Aziendale_I005_soil_moisture_5</v>
      </c>
      <c r="P84" s="5" t="str">
        <f t="shared" si="5"/>
        <v>The datastream containing mesures of field Centro Aziendale by sensor I005 which measures Soil Moisture.</v>
      </c>
      <c r="Q84" s="5" t="s">
        <v>653</v>
      </c>
    </row>
    <row r="85" spans="1:17" ht="12.75">
      <c r="A85" s="5" t="s">
        <v>693</v>
      </c>
      <c r="B85" s="5" t="s">
        <v>697</v>
      </c>
      <c r="C85" s="5" t="s">
        <v>695</v>
      </c>
      <c r="D85" s="197">
        <v>39.944890000000001</v>
      </c>
      <c r="E85" s="197">
        <v>8.6972500000000004</v>
      </c>
      <c r="F85" s="5" t="s">
        <v>100</v>
      </c>
      <c r="G85" s="196" t="s">
        <v>672</v>
      </c>
      <c r="H85" s="5" t="str">
        <f>VLOOKUP(F85,'All sensors Installed'!$A$2:$K$1119,6,)</f>
        <v>ST04</v>
      </c>
      <c r="I85" s="5" t="str">
        <f>VLOOKUP(F85,'All sensors Installed'!$A$2:$K$1119,11,)</f>
        <v>AC1F09FFFE04DB8D</v>
      </c>
      <c r="J85" s="5" t="s">
        <v>678</v>
      </c>
      <c r="K85" s="5" t="s">
        <v>660</v>
      </c>
      <c r="L85" s="5" t="str">
        <f>VLOOKUP($K85,'Property names'!$A$1:$D$100,2,FALSE)</f>
        <v>The amount of moisture present in the soil, often expressed as a percentage of the maximum amount the soil could hold at a given temperature.</v>
      </c>
      <c r="M85" s="5" t="str">
        <f>VLOOKUP($K85,'Property names'!$A$1:$D$100,3,FALSE)</f>
        <v>Percentage</v>
      </c>
      <c r="N85" s="5" t="str">
        <f>VLOOKUP($K85,'Property names'!$A$1:$D$100,4,FALSE)</f>
        <v>%</v>
      </c>
      <c r="O85" s="5" t="str">
        <f t="shared" si="4"/>
        <v>Centro_Aziendale_I005_soil_moisture_6</v>
      </c>
      <c r="P85" s="5" t="str">
        <f t="shared" si="5"/>
        <v>The datastream containing mesures of field Centro Aziendale by sensor I005 which measures Soil Moisture.</v>
      </c>
      <c r="Q85" s="5" t="s">
        <v>653</v>
      </c>
    </row>
    <row r="86" spans="1:17" ht="12.75">
      <c r="A86" s="5" t="s">
        <v>693</v>
      </c>
      <c r="B86" s="5" t="s">
        <v>697</v>
      </c>
      <c r="C86" s="5" t="s">
        <v>695</v>
      </c>
      <c r="D86" s="197">
        <v>39.944890000000001</v>
      </c>
      <c r="E86" s="197">
        <v>8.6972500000000004</v>
      </c>
      <c r="F86" s="5" t="s">
        <v>100</v>
      </c>
      <c r="G86" s="196" t="s">
        <v>672</v>
      </c>
      <c r="H86" s="5" t="str">
        <f>VLOOKUP(F86,'All sensors Installed'!$A$2:$K$1119,6,)</f>
        <v>ST04</v>
      </c>
      <c r="I86" s="5" t="str">
        <f>VLOOKUP(F86,'All sensors Installed'!$A$2:$K$1119,11,)</f>
        <v>AC1F09FFFE04DB8D</v>
      </c>
      <c r="J86" s="5" t="s">
        <v>679</v>
      </c>
      <c r="K86" s="5" t="s">
        <v>652</v>
      </c>
      <c r="L86" s="5" t="str">
        <f>VLOOKUP($K86,'Property names'!$A$1:$D$100,2,FALSE)</f>
        <v>The measure of the hotness or coldness of the air.</v>
      </c>
      <c r="M86" s="5" t="str">
        <f>VLOOKUP($K86,'Property names'!$A$1:$D$100,3,FALSE)</f>
        <v>Degrees Celsius</v>
      </c>
      <c r="N86" s="5" t="str">
        <f>VLOOKUP($K86,'Property names'!$A$1:$D$100,4,FALSE)</f>
        <v>ºC</v>
      </c>
      <c r="O86" s="5" t="str">
        <f t="shared" si="4"/>
        <v>Centro_Aziendale_I005_ambient_temperature</v>
      </c>
      <c r="P86" s="5" t="str">
        <f t="shared" si="5"/>
        <v>The datastream containing mesures of field Centro Aziendale by sensor I005 which measures Air Temperature.</v>
      </c>
      <c r="Q86" s="5" t="s">
        <v>653</v>
      </c>
    </row>
    <row r="87" spans="1:17" ht="12.75">
      <c r="A87" s="5" t="s">
        <v>693</v>
      </c>
      <c r="B87" s="5" t="s">
        <v>697</v>
      </c>
      <c r="C87" s="5" t="s">
        <v>695</v>
      </c>
      <c r="D87" s="197">
        <v>39.944890000000001</v>
      </c>
      <c r="E87" s="197">
        <v>8.6972500000000004</v>
      </c>
      <c r="F87" s="5" t="s">
        <v>100</v>
      </c>
      <c r="G87" s="196" t="s">
        <v>672</v>
      </c>
      <c r="H87" s="5" t="str">
        <f>VLOOKUP(F87,'All sensors Installed'!$A$2:$K$1119,6,)</f>
        <v>ST04</v>
      </c>
      <c r="I87" s="5" t="str">
        <f>VLOOKUP(F87,'All sensors Installed'!$A$2:$K$1119,11,)</f>
        <v>AC1F09FFFE04DB8D</v>
      </c>
      <c r="J87" s="5" t="s">
        <v>680</v>
      </c>
      <c r="K87" s="5" t="s">
        <v>662</v>
      </c>
      <c r="L87" s="5" t="str">
        <f>VLOOKUP($K87,'Property names'!$A$1:$D$100,2,FALSE)</f>
        <v>The measure of temperature of the soil.</v>
      </c>
      <c r="M87" s="5" t="str">
        <f>VLOOKUP($K87,'Property names'!$A$1:$D$100,3,FALSE)</f>
        <v>Degrees Celsius</v>
      </c>
      <c r="N87" s="5" t="str">
        <f>VLOOKUP($K87,'Property names'!$A$1:$D$100,4,FALSE)</f>
        <v>ºC</v>
      </c>
      <c r="O87" s="5" t="str">
        <f t="shared" si="4"/>
        <v>Centro_Aziendale_I005_soil_temperature_1</v>
      </c>
      <c r="P87" s="5" t="str">
        <f t="shared" si="5"/>
        <v>The datastream containing mesures of field Centro Aziendale by sensor I005 which measures Soil Temperature.</v>
      </c>
      <c r="Q87" s="5" t="s">
        <v>653</v>
      </c>
    </row>
    <row r="88" spans="1:17" ht="12.75">
      <c r="A88" s="5" t="s">
        <v>693</v>
      </c>
      <c r="B88" s="5" t="s">
        <v>697</v>
      </c>
      <c r="C88" s="5" t="s">
        <v>695</v>
      </c>
      <c r="D88" s="197">
        <v>39.944890000000001</v>
      </c>
      <c r="E88" s="197">
        <v>8.6972500000000004</v>
      </c>
      <c r="F88" s="5" t="s">
        <v>100</v>
      </c>
      <c r="G88" s="196" t="s">
        <v>672</v>
      </c>
      <c r="H88" s="5" t="str">
        <f>VLOOKUP(F88,'All sensors Installed'!$A$2:$K$1119,6,)</f>
        <v>ST04</v>
      </c>
      <c r="I88" s="5" t="str">
        <f>VLOOKUP(F88,'All sensors Installed'!$A$2:$K$1119,11,)</f>
        <v>AC1F09FFFE04DB8D</v>
      </c>
      <c r="J88" s="5" t="s">
        <v>681</v>
      </c>
      <c r="K88" s="5" t="s">
        <v>662</v>
      </c>
      <c r="L88" s="5" t="str">
        <f>VLOOKUP($K88,'Property names'!$A$1:$D$100,2,FALSE)</f>
        <v>The measure of temperature of the soil.</v>
      </c>
      <c r="M88" s="5" t="str">
        <f>VLOOKUP($K88,'Property names'!$A$1:$D$100,3,FALSE)</f>
        <v>Degrees Celsius</v>
      </c>
      <c r="N88" s="5" t="str">
        <f>VLOOKUP($K88,'Property names'!$A$1:$D$100,4,FALSE)</f>
        <v>ºC</v>
      </c>
      <c r="O88" s="5" t="str">
        <f t="shared" si="4"/>
        <v>Centro_Aziendale_I005_soil_temperature_2</v>
      </c>
      <c r="P88" s="5" t="str">
        <f t="shared" si="5"/>
        <v>The datastream containing mesures of field Centro Aziendale by sensor I005 which measures Soil Temperature.</v>
      </c>
      <c r="Q88" s="5" t="s">
        <v>653</v>
      </c>
    </row>
    <row r="89" spans="1:17" ht="12.75">
      <c r="A89" s="5" t="s">
        <v>693</v>
      </c>
      <c r="B89" s="5" t="s">
        <v>697</v>
      </c>
      <c r="C89" s="5" t="s">
        <v>695</v>
      </c>
      <c r="D89" s="197">
        <v>39.944890000000001</v>
      </c>
      <c r="E89" s="197">
        <v>8.6972500000000004</v>
      </c>
      <c r="F89" s="5" t="s">
        <v>100</v>
      </c>
      <c r="G89" s="196" t="s">
        <v>672</v>
      </c>
      <c r="H89" s="5" t="str">
        <f>VLOOKUP(F89,'All sensors Installed'!$A$2:$K$1119,6,)</f>
        <v>ST04</v>
      </c>
      <c r="I89" s="5" t="str">
        <f>VLOOKUP(F89,'All sensors Installed'!$A$2:$K$1119,11,)</f>
        <v>AC1F09FFFE04DB8D</v>
      </c>
      <c r="J89" s="5" t="s">
        <v>682</v>
      </c>
      <c r="K89" s="5" t="s">
        <v>662</v>
      </c>
      <c r="L89" s="5" t="str">
        <f>VLOOKUP($K89,'Property names'!$A$1:$D$100,2,FALSE)</f>
        <v>The measure of temperature of the soil.</v>
      </c>
      <c r="M89" s="5" t="str">
        <f>VLOOKUP($K89,'Property names'!$A$1:$D$100,3,FALSE)</f>
        <v>Degrees Celsius</v>
      </c>
      <c r="N89" s="5" t="str">
        <f>VLOOKUP($K89,'Property names'!$A$1:$D$100,4,FALSE)</f>
        <v>ºC</v>
      </c>
      <c r="O89" s="5" t="str">
        <f t="shared" si="4"/>
        <v>Centro_Aziendale_I005_soil_temperature_3</v>
      </c>
      <c r="P89" s="5" t="str">
        <f t="shared" si="5"/>
        <v>The datastream containing mesures of field Centro Aziendale by sensor I005 which measures Soil Temperature.</v>
      </c>
      <c r="Q89" s="5" t="s">
        <v>653</v>
      </c>
    </row>
    <row r="90" spans="1:17" ht="12.75">
      <c r="A90" s="5" t="s">
        <v>693</v>
      </c>
      <c r="B90" s="5" t="s">
        <v>697</v>
      </c>
      <c r="C90" s="5" t="s">
        <v>695</v>
      </c>
      <c r="D90" s="197">
        <v>39.944890000000001</v>
      </c>
      <c r="E90" s="197">
        <v>8.6972500000000004</v>
      </c>
      <c r="F90" s="5" t="s">
        <v>100</v>
      </c>
      <c r="G90" s="196" t="s">
        <v>672</v>
      </c>
      <c r="H90" s="5" t="str">
        <f>VLOOKUP(F90,'All sensors Installed'!$A$2:$K$1119,6,)</f>
        <v>ST04</v>
      </c>
      <c r="I90" s="5" t="str">
        <f>VLOOKUP(F90,'All sensors Installed'!$A$2:$K$1119,11,)</f>
        <v>AC1F09FFFE04DB8D</v>
      </c>
      <c r="J90" s="5" t="s">
        <v>683</v>
      </c>
      <c r="K90" s="5" t="s">
        <v>662</v>
      </c>
      <c r="L90" s="5" t="str">
        <f>VLOOKUP($K90,'Property names'!$A$1:$D$100,2,FALSE)</f>
        <v>The measure of temperature of the soil.</v>
      </c>
      <c r="M90" s="5" t="str">
        <f>VLOOKUP($K90,'Property names'!$A$1:$D$100,3,FALSE)</f>
        <v>Degrees Celsius</v>
      </c>
      <c r="N90" s="5" t="str">
        <f>VLOOKUP($K90,'Property names'!$A$1:$D$100,4,FALSE)</f>
        <v>ºC</v>
      </c>
      <c r="O90" s="5" t="str">
        <f t="shared" si="4"/>
        <v>Centro_Aziendale_I005_soil_temperature_4</v>
      </c>
      <c r="P90" s="5" t="str">
        <f t="shared" si="5"/>
        <v>The datastream containing mesures of field Centro Aziendale by sensor I005 which measures Soil Temperature.</v>
      </c>
      <c r="Q90" s="5" t="s">
        <v>653</v>
      </c>
    </row>
    <row r="91" spans="1:17" ht="12.75">
      <c r="A91" s="5" t="s">
        <v>693</v>
      </c>
      <c r="B91" s="5" t="s">
        <v>697</v>
      </c>
      <c r="C91" s="5" t="s">
        <v>695</v>
      </c>
      <c r="D91" s="197">
        <v>39.944890000000001</v>
      </c>
      <c r="E91" s="197">
        <v>8.6972500000000004</v>
      </c>
      <c r="F91" s="5" t="s">
        <v>100</v>
      </c>
      <c r="G91" s="196" t="s">
        <v>672</v>
      </c>
      <c r="H91" s="5" t="str">
        <f>VLOOKUP(F91,'All sensors Installed'!$A$2:$K$1119,6,)</f>
        <v>ST04</v>
      </c>
      <c r="I91" s="5" t="str">
        <f>VLOOKUP(F91,'All sensors Installed'!$A$2:$K$1119,11,)</f>
        <v>AC1F09FFFE04DB8D</v>
      </c>
      <c r="J91" s="5" t="s">
        <v>684</v>
      </c>
      <c r="K91" s="5" t="s">
        <v>662</v>
      </c>
      <c r="L91" s="5" t="str">
        <f>VLOOKUP($K91,'Property names'!$A$1:$D$100,2,FALSE)</f>
        <v>The measure of temperature of the soil.</v>
      </c>
      <c r="M91" s="5" t="str">
        <f>VLOOKUP($K91,'Property names'!$A$1:$D$100,3,FALSE)</f>
        <v>Degrees Celsius</v>
      </c>
      <c r="N91" s="5" t="str">
        <f>VLOOKUP($K91,'Property names'!$A$1:$D$100,4,FALSE)</f>
        <v>ºC</v>
      </c>
      <c r="O91" s="5" t="str">
        <f t="shared" si="4"/>
        <v>Centro_Aziendale_I005_soil_temperature_5</v>
      </c>
      <c r="P91" s="5" t="str">
        <f t="shared" si="5"/>
        <v>The datastream containing mesures of field Centro Aziendale by sensor I005 which measures Soil Temperature.</v>
      </c>
      <c r="Q91" s="5" t="s">
        <v>653</v>
      </c>
    </row>
    <row r="92" spans="1:17" ht="12.75">
      <c r="A92" s="5" t="s">
        <v>693</v>
      </c>
      <c r="B92" s="5" t="s">
        <v>697</v>
      </c>
      <c r="C92" s="5" t="s">
        <v>695</v>
      </c>
      <c r="D92" s="197">
        <v>39.944890000000001</v>
      </c>
      <c r="E92" s="197">
        <v>8.6972500000000004</v>
      </c>
      <c r="F92" s="5" t="s">
        <v>100</v>
      </c>
      <c r="G92" s="196" t="s">
        <v>672</v>
      </c>
      <c r="H92" s="5" t="str">
        <f>VLOOKUP(F92,'All sensors Installed'!$A$2:$K$1119,6,)</f>
        <v>ST04</v>
      </c>
      <c r="I92" s="5" t="str">
        <f>VLOOKUP(F92,'All sensors Installed'!$A$2:$K$1119,11,)</f>
        <v>AC1F09FFFE04DB8D</v>
      </c>
      <c r="J92" s="5" t="s">
        <v>685</v>
      </c>
      <c r="K92" s="5" t="s">
        <v>662</v>
      </c>
      <c r="L92" s="5" t="str">
        <f>VLOOKUP($K92,'Property names'!$A$1:$D$100,2,FALSE)</f>
        <v>The measure of temperature of the soil.</v>
      </c>
      <c r="M92" s="5" t="str">
        <f>VLOOKUP($K92,'Property names'!$A$1:$D$100,3,FALSE)</f>
        <v>Degrees Celsius</v>
      </c>
      <c r="N92" s="5" t="str">
        <f>VLOOKUP($K92,'Property names'!$A$1:$D$100,4,FALSE)</f>
        <v>ºC</v>
      </c>
      <c r="O92" s="5" t="str">
        <f t="shared" si="4"/>
        <v>Centro_Aziendale_I005_soil_temperature_6</v>
      </c>
      <c r="P92" s="5" t="str">
        <f t="shared" si="5"/>
        <v>The datastream containing mesures of field Centro Aziendale by sensor I005 which measures Soil Temperature.</v>
      </c>
      <c r="Q92" s="5" t="s">
        <v>653</v>
      </c>
    </row>
    <row r="93" spans="1:17" ht="12.75">
      <c r="A93" s="5" t="s">
        <v>693</v>
      </c>
      <c r="B93" s="5" t="s">
        <v>698</v>
      </c>
      <c r="C93" s="5" t="s">
        <v>695</v>
      </c>
      <c r="D93" s="197">
        <v>39.948329999999999</v>
      </c>
      <c r="E93" s="197">
        <v>8.7036390000000008</v>
      </c>
      <c r="F93" s="5" t="s">
        <v>103</v>
      </c>
      <c r="G93" s="196" t="s">
        <v>672</v>
      </c>
      <c r="H93" s="5" t="str">
        <f>VLOOKUP(F93,'All sensors Installed'!$A$2:$K$1119,6,)</f>
        <v>ST04</v>
      </c>
      <c r="I93" s="5" t="str">
        <f>VLOOKUP(F93,'All sensors Installed'!$A$2:$K$1119,11,)</f>
        <v>AC1F09FFFE04E488</v>
      </c>
      <c r="J93" s="5" t="s">
        <v>673</v>
      </c>
      <c r="K93" s="5" t="s">
        <v>660</v>
      </c>
      <c r="L93" s="5" t="str">
        <f>VLOOKUP($K93,'Property names'!$A$1:$D$100,2,FALSE)</f>
        <v>The amount of moisture present in the soil, often expressed as a percentage of the maximum amount the soil could hold at a given temperature.</v>
      </c>
      <c r="M93" s="5" t="str">
        <f>VLOOKUP($K93,'Property names'!$A$1:$D$100,3,FALSE)</f>
        <v>Percentage</v>
      </c>
      <c r="N93" s="5" t="str">
        <f>VLOOKUP($K93,'Property names'!$A$1:$D$100,4,FALSE)</f>
        <v>%</v>
      </c>
      <c r="O93" s="5" t="str">
        <f t="shared" si="4"/>
        <v>Camedda_I006_soil_moisture_1</v>
      </c>
      <c r="P93" s="5" t="str">
        <f t="shared" si="5"/>
        <v>The datastream containing mesures of field Camedda by sensor I006 which measures Soil Moisture.</v>
      </c>
      <c r="Q93" s="5" t="s">
        <v>653</v>
      </c>
    </row>
    <row r="94" spans="1:17" ht="12.75">
      <c r="A94" s="5" t="s">
        <v>693</v>
      </c>
      <c r="B94" s="5" t="s">
        <v>698</v>
      </c>
      <c r="C94" s="5" t="s">
        <v>695</v>
      </c>
      <c r="D94" s="197">
        <v>39.948329999999999</v>
      </c>
      <c r="E94" s="197">
        <v>8.7036390000000008</v>
      </c>
      <c r="F94" s="5" t="s">
        <v>103</v>
      </c>
      <c r="G94" s="196" t="s">
        <v>672</v>
      </c>
      <c r="H94" s="5" t="str">
        <f>VLOOKUP(F94,'All sensors Installed'!$A$2:$K$1119,6,)</f>
        <v>ST04</v>
      </c>
      <c r="I94" s="5" t="str">
        <f>VLOOKUP(F94,'All sensors Installed'!$A$2:$K$1119,11,)</f>
        <v>AC1F09FFFE04E488</v>
      </c>
      <c r="J94" s="5" t="s">
        <v>674</v>
      </c>
      <c r="K94" s="5" t="s">
        <v>660</v>
      </c>
      <c r="L94" s="5" t="str">
        <f>VLOOKUP($K94,'Property names'!$A$1:$D$100,2,FALSE)</f>
        <v>The amount of moisture present in the soil, often expressed as a percentage of the maximum amount the soil could hold at a given temperature.</v>
      </c>
      <c r="M94" s="5" t="str">
        <f>VLOOKUP($K94,'Property names'!$A$1:$D$100,3,FALSE)</f>
        <v>Percentage</v>
      </c>
      <c r="N94" s="5" t="str">
        <f>VLOOKUP($K94,'Property names'!$A$1:$D$100,4,FALSE)</f>
        <v>%</v>
      </c>
      <c r="O94" s="5" t="str">
        <f t="shared" si="4"/>
        <v>Camedda_I006_soil_moisture_2</v>
      </c>
      <c r="P94" s="5" t="str">
        <f t="shared" si="5"/>
        <v>The datastream containing mesures of field Camedda by sensor I006 which measures Soil Moisture.</v>
      </c>
      <c r="Q94" s="5" t="s">
        <v>653</v>
      </c>
    </row>
    <row r="95" spans="1:17" ht="12.75">
      <c r="A95" s="5" t="s">
        <v>693</v>
      </c>
      <c r="B95" s="5" t="s">
        <v>698</v>
      </c>
      <c r="C95" s="5" t="s">
        <v>695</v>
      </c>
      <c r="D95" s="197">
        <v>39.948329999999999</v>
      </c>
      <c r="E95" s="197">
        <v>8.7036390000000008</v>
      </c>
      <c r="F95" s="5" t="s">
        <v>103</v>
      </c>
      <c r="G95" s="196" t="s">
        <v>672</v>
      </c>
      <c r="H95" s="5" t="str">
        <f>VLOOKUP(F95,'All sensors Installed'!$A$2:$K$1119,6,)</f>
        <v>ST04</v>
      </c>
      <c r="I95" s="5" t="str">
        <f>VLOOKUP(F95,'All sensors Installed'!$A$2:$K$1119,11,)</f>
        <v>AC1F09FFFE04E488</v>
      </c>
      <c r="J95" s="5" t="s">
        <v>675</v>
      </c>
      <c r="K95" s="5" t="s">
        <v>660</v>
      </c>
      <c r="L95" s="5" t="str">
        <f>VLOOKUP($K95,'Property names'!$A$1:$D$100,2,FALSE)</f>
        <v>The amount of moisture present in the soil, often expressed as a percentage of the maximum amount the soil could hold at a given temperature.</v>
      </c>
      <c r="M95" s="5" t="str">
        <f>VLOOKUP($K95,'Property names'!$A$1:$D$100,3,FALSE)</f>
        <v>Percentage</v>
      </c>
      <c r="N95" s="5" t="str">
        <f>VLOOKUP($K95,'Property names'!$A$1:$D$100,4,FALSE)</f>
        <v>%</v>
      </c>
      <c r="O95" s="5" t="str">
        <f t="shared" si="4"/>
        <v>Camedda_I006_soil_moisture_3</v>
      </c>
      <c r="P95" s="5" t="str">
        <f t="shared" si="5"/>
        <v>The datastream containing mesures of field Camedda by sensor I006 which measures Soil Moisture.</v>
      </c>
      <c r="Q95" s="5" t="s">
        <v>653</v>
      </c>
    </row>
    <row r="96" spans="1:17" ht="12.75">
      <c r="A96" s="5" t="s">
        <v>693</v>
      </c>
      <c r="B96" s="5" t="s">
        <v>698</v>
      </c>
      <c r="C96" s="5" t="s">
        <v>695</v>
      </c>
      <c r="D96" s="197">
        <v>39.948329999999999</v>
      </c>
      <c r="E96" s="197">
        <v>8.7036390000000008</v>
      </c>
      <c r="F96" s="5" t="s">
        <v>103</v>
      </c>
      <c r="G96" s="196" t="s">
        <v>672</v>
      </c>
      <c r="H96" s="5" t="str">
        <f>VLOOKUP(F96,'All sensors Installed'!$A$2:$K$1119,6,)</f>
        <v>ST04</v>
      </c>
      <c r="I96" s="5" t="str">
        <f>VLOOKUP(F96,'All sensors Installed'!$A$2:$K$1119,11,)</f>
        <v>AC1F09FFFE04E488</v>
      </c>
      <c r="J96" s="5" t="s">
        <v>676</v>
      </c>
      <c r="K96" s="5" t="s">
        <v>660</v>
      </c>
      <c r="L96" s="5" t="str">
        <f>VLOOKUP($K96,'Property names'!$A$1:$D$100,2,FALSE)</f>
        <v>The amount of moisture present in the soil, often expressed as a percentage of the maximum amount the soil could hold at a given temperature.</v>
      </c>
      <c r="M96" s="5" t="str">
        <f>VLOOKUP($K96,'Property names'!$A$1:$D$100,3,FALSE)</f>
        <v>Percentage</v>
      </c>
      <c r="N96" s="5" t="str">
        <f>VLOOKUP($K96,'Property names'!$A$1:$D$100,4,FALSE)</f>
        <v>%</v>
      </c>
      <c r="O96" s="5" t="str">
        <f t="shared" si="4"/>
        <v>Camedda_I006_soil_moisture_4</v>
      </c>
      <c r="P96" s="5" t="str">
        <f t="shared" si="5"/>
        <v>The datastream containing mesures of field Camedda by sensor I006 which measures Soil Moisture.</v>
      </c>
      <c r="Q96" s="5" t="s">
        <v>653</v>
      </c>
    </row>
    <row r="97" spans="1:17" ht="12.75">
      <c r="A97" s="5" t="s">
        <v>693</v>
      </c>
      <c r="B97" s="5" t="s">
        <v>698</v>
      </c>
      <c r="C97" s="5" t="s">
        <v>695</v>
      </c>
      <c r="D97" s="197">
        <v>39.948329999999999</v>
      </c>
      <c r="E97" s="197">
        <v>8.7036390000000008</v>
      </c>
      <c r="F97" s="5" t="s">
        <v>103</v>
      </c>
      <c r="G97" s="196" t="s">
        <v>672</v>
      </c>
      <c r="H97" s="5" t="str">
        <f>VLOOKUP(F97,'All sensors Installed'!$A$2:$K$1119,6,)</f>
        <v>ST04</v>
      </c>
      <c r="I97" s="5" t="str">
        <f>VLOOKUP(F97,'All sensors Installed'!$A$2:$K$1119,11,)</f>
        <v>AC1F09FFFE04E488</v>
      </c>
      <c r="J97" s="5" t="s">
        <v>677</v>
      </c>
      <c r="K97" s="5" t="s">
        <v>660</v>
      </c>
      <c r="L97" s="5" t="str">
        <f>VLOOKUP($K97,'Property names'!$A$1:$D$100,2,FALSE)</f>
        <v>The amount of moisture present in the soil, often expressed as a percentage of the maximum amount the soil could hold at a given temperature.</v>
      </c>
      <c r="M97" s="5" t="str">
        <f>VLOOKUP($K97,'Property names'!$A$1:$D$100,3,FALSE)</f>
        <v>Percentage</v>
      </c>
      <c r="N97" s="5" t="str">
        <f>VLOOKUP($K97,'Property names'!$A$1:$D$100,4,FALSE)</f>
        <v>%</v>
      </c>
      <c r="O97" s="5" t="str">
        <f t="shared" si="4"/>
        <v>Camedda_I006_soil_moisture_5</v>
      </c>
      <c r="P97" s="5" t="str">
        <f t="shared" si="5"/>
        <v>The datastream containing mesures of field Camedda by sensor I006 which measures Soil Moisture.</v>
      </c>
      <c r="Q97" s="5" t="s">
        <v>653</v>
      </c>
    </row>
    <row r="98" spans="1:17" ht="12.75">
      <c r="A98" s="5" t="s">
        <v>693</v>
      </c>
      <c r="B98" s="5" t="s">
        <v>698</v>
      </c>
      <c r="C98" s="5" t="s">
        <v>695</v>
      </c>
      <c r="D98" s="197">
        <v>39.948329999999999</v>
      </c>
      <c r="E98" s="197">
        <v>8.7036390000000008</v>
      </c>
      <c r="F98" s="5" t="s">
        <v>103</v>
      </c>
      <c r="G98" s="196" t="s">
        <v>672</v>
      </c>
      <c r="H98" s="5" t="str">
        <f>VLOOKUP(F98,'All sensors Installed'!$A$2:$K$1119,6,)</f>
        <v>ST04</v>
      </c>
      <c r="I98" s="5" t="str">
        <f>VLOOKUP(F98,'All sensors Installed'!$A$2:$K$1119,11,)</f>
        <v>AC1F09FFFE04E488</v>
      </c>
      <c r="J98" s="5" t="s">
        <v>678</v>
      </c>
      <c r="K98" s="5" t="s">
        <v>660</v>
      </c>
      <c r="L98" s="5" t="str">
        <f>VLOOKUP($K98,'Property names'!$A$1:$D$100,2,FALSE)</f>
        <v>The amount of moisture present in the soil, often expressed as a percentage of the maximum amount the soil could hold at a given temperature.</v>
      </c>
      <c r="M98" s="5" t="str">
        <f>VLOOKUP($K98,'Property names'!$A$1:$D$100,3,FALSE)</f>
        <v>Percentage</v>
      </c>
      <c r="N98" s="5" t="str">
        <f>VLOOKUP($K98,'Property names'!$A$1:$D$100,4,FALSE)</f>
        <v>%</v>
      </c>
      <c r="O98" s="5" t="str">
        <f t="shared" si="4"/>
        <v>Camedda_I006_soil_moisture_6</v>
      </c>
      <c r="P98" s="5" t="str">
        <f t="shared" si="5"/>
        <v>The datastream containing mesures of field Camedda by sensor I006 which measures Soil Moisture.</v>
      </c>
      <c r="Q98" s="5" t="s">
        <v>653</v>
      </c>
    </row>
    <row r="99" spans="1:17" ht="12.75">
      <c r="A99" s="5" t="s">
        <v>693</v>
      </c>
      <c r="B99" s="5" t="s">
        <v>698</v>
      </c>
      <c r="C99" s="5" t="s">
        <v>695</v>
      </c>
      <c r="D99" s="197">
        <v>39.948329999999999</v>
      </c>
      <c r="E99" s="197">
        <v>8.7036390000000008</v>
      </c>
      <c r="F99" s="5" t="s">
        <v>103</v>
      </c>
      <c r="G99" s="196" t="s">
        <v>672</v>
      </c>
      <c r="H99" s="5" t="str">
        <f>VLOOKUP(F99,'All sensors Installed'!$A$2:$K$1119,6,)</f>
        <v>ST04</v>
      </c>
      <c r="I99" s="5" t="str">
        <f>VLOOKUP(F99,'All sensors Installed'!$A$2:$K$1119,11,)</f>
        <v>AC1F09FFFE04E488</v>
      </c>
      <c r="J99" s="5" t="s">
        <v>679</v>
      </c>
      <c r="K99" s="5" t="s">
        <v>652</v>
      </c>
      <c r="L99" s="5" t="str">
        <f>VLOOKUP($K99,'Property names'!$A$1:$D$100,2,FALSE)</f>
        <v>The measure of the hotness or coldness of the air.</v>
      </c>
      <c r="M99" s="5" t="str">
        <f>VLOOKUP($K99,'Property names'!$A$1:$D$100,3,FALSE)</f>
        <v>Degrees Celsius</v>
      </c>
      <c r="N99" s="5" t="str">
        <f>VLOOKUP($K99,'Property names'!$A$1:$D$100,4,FALSE)</f>
        <v>ºC</v>
      </c>
      <c r="O99" s="5" t="str">
        <f t="shared" si="4"/>
        <v>Camedda_I006_ambient_temperature</v>
      </c>
      <c r="P99" s="5" t="str">
        <f t="shared" si="5"/>
        <v>The datastream containing mesures of field Camedda by sensor I006 which measures Air Temperature.</v>
      </c>
      <c r="Q99" s="5" t="s">
        <v>653</v>
      </c>
    </row>
    <row r="100" spans="1:17" ht="12.75">
      <c r="A100" s="5" t="s">
        <v>693</v>
      </c>
      <c r="B100" s="5" t="s">
        <v>698</v>
      </c>
      <c r="C100" s="5" t="s">
        <v>695</v>
      </c>
      <c r="D100" s="197">
        <v>39.948329999999999</v>
      </c>
      <c r="E100" s="197">
        <v>8.7036390000000008</v>
      </c>
      <c r="F100" s="5" t="s">
        <v>103</v>
      </c>
      <c r="G100" s="196" t="s">
        <v>672</v>
      </c>
      <c r="H100" s="5" t="str">
        <f>VLOOKUP(F100,'All sensors Installed'!$A$2:$K$1119,6,)</f>
        <v>ST04</v>
      </c>
      <c r="I100" s="5" t="str">
        <f>VLOOKUP(F100,'All sensors Installed'!$A$2:$K$1119,11,)</f>
        <v>AC1F09FFFE04E488</v>
      </c>
      <c r="J100" s="5" t="s">
        <v>680</v>
      </c>
      <c r="K100" s="5" t="s">
        <v>662</v>
      </c>
      <c r="L100" s="5" t="str">
        <f>VLOOKUP($K100,'Property names'!$A$1:$D$100,2,FALSE)</f>
        <v>The measure of temperature of the soil.</v>
      </c>
      <c r="M100" s="5" t="str">
        <f>VLOOKUP($K100,'Property names'!$A$1:$D$100,3,FALSE)</f>
        <v>Degrees Celsius</v>
      </c>
      <c r="N100" s="5" t="str">
        <f>VLOOKUP($K100,'Property names'!$A$1:$D$100,4,FALSE)</f>
        <v>ºC</v>
      </c>
      <c r="O100" s="5" t="str">
        <f t="shared" si="4"/>
        <v>Camedda_I006_soil_temperature_1</v>
      </c>
      <c r="P100" s="5" t="str">
        <f t="shared" si="5"/>
        <v>The datastream containing mesures of field Camedda by sensor I006 which measures Soil Temperature.</v>
      </c>
      <c r="Q100" s="5" t="s">
        <v>653</v>
      </c>
    </row>
    <row r="101" spans="1:17" ht="12.75">
      <c r="A101" s="5" t="s">
        <v>693</v>
      </c>
      <c r="B101" s="5" t="s">
        <v>698</v>
      </c>
      <c r="C101" s="5" t="s">
        <v>695</v>
      </c>
      <c r="D101" s="197">
        <v>39.948329999999999</v>
      </c>
      <c r="E101" s="197">
        <v>8.7036390000000008</v>
      </c>
      <c r="F101" s="5" t="s">
        <v>103</v>
      </c>
      <c r="G101" s="196" t="s">
        <v>672</v>
      </c>
      <c r="H101" s="5" t="str">
        <f>VLOOKUP(F101,'All sensors Installed'!$A$2:$K$1119,6,)</f>
        <v>ST04</v>
      </c>
      <c r="I101" s="5" t="str">
        <f>VLOOKUP(F101,'All sensors Installed'!$A$2:$K$1119,11,)</f>
        <v>AC1F09FFFE04E488</v>
      </c>
      <c r="J101" s="5" t="s">
        <v>681</v>
      </c>
      <c r="K101" s="5" t="s">
        <v>662</v>
      </c>
      <c r="L101" s="5" t="str">
        <f>VLOOKUP($K101,'Property names'!$A$1:$D$100,2,FALSE)</f>
        <v>The measure of temperature of the soil.</v>
      </c>
      <c r="M101" s="5" t="str">
        <f>VLOOKUP($K101,'Property names'!$A$1:$D$100,3,FALSE)</f>
        <v>Degrees Celsius</v>
      </c>
      <c r="N101" s="5" t="str">
        <f>VLOOKUP($K101,'Property names'!$A$1:$D$100,4,FALSE)</f>
        <v>ºC</v>
      </c>
      <c r="O101" s="5" t="str">
        <f t="shared" si="4"/>
        <v>Camedda_I006_soil_temperature_2</v>
      </c>
      <c r="P101" s="5" t="str">
        <f t="shared" si="5"/>
        <v>The datastream containing mesures of field Camedda by sensor I006 which measures Soil Temperature.</v>
      </c>
      <c r="Q101" s="5" t="s">
        <v>653</v>
      </c>
    </row>
    <row r="102" spans="1:17" ht="12.75">
      <c r="A102" s="5" t="s">
        <v>693</v>
      </c>
      <c r="B102" s="5" t="s">
        <v>698</v>
      </c>
      <c r="C102" s="5" t="s">
        <v>695</v>
      </c>
      <c r="D102" s="197">
        <v>39.948329999999999</v>
      </c>
      <c r="E102" s="197">
        <v>8.7036390000000008</v>
      </c>
      <c r="F102" s="5" t="s">
        <v>103</v>
      </c>
      <c r="G102" s="196" t="s">
        <v>672</v>
      </c>
      <c r="H102" s="5" t="str">
        <f>VLOOKUP(F102,'All sensors Installed'!$A$2:$K$1119,6,)</f>
        <v>ST04</v>
      </c>
      <c r="I102" s="5" t="str">
        <f>VLOOKUP(F102,'All sensors Installed'!$A$2:$K$1119,11,)</f>
        <v>AC1F09FFFE04E488</v>
      </c>
      <c r="J102" s="5" t="s">
        <v>682</v>
      </c>
      <c r="K102" s="5" t="s">
        <v>662</v>
      </c>
      <c r="L102" s="5" t="str">
        <f>VLOOKUP($K102,'Property names'!$A$1:$D$100,2,FALSE)</f>
        <v>The measure of temperature of the soil.</v>
      </c>
      <c r="M102" s="5" t="str">
        <f>VLOOKUP($K102,'Property names'!$A$1:$D$100,3,FALSE)</f>
        <v>Degrees Celsius</v>
      </c>
      <c r="N102" s="5" t="str">
        <f>VLOOKUP($K102,'Property names'!$A$1:$D$100,4,FALSE)</f>
        <v>ºC</v>
      </c>
      <c r="O102" s="5" t="str">
        <f t="shared" si="4"/>
        <v>Camedda_I006_soil_temperature_3</v>
      </c>
      <c r="P102" s="5" t="str">
        <f t="shared" si="5"/>
        <v>The datastream containing mesures of field Camedda by sensor I006 which measures Soil Temperature.</v>
      </c>
      <c r="Q102" s="5" t="s">
        <v>653</v>
      </c>
    </row>
    <row r="103" spans="1:17" ht="12.75">
      <c r="A103" s="5" t="s">
        <v>693</v>
      </c>
      <c r="B103" s="5" t="s">
        <v>698</v>
      </c>
      <c r="C103" s="5" t="s">
        <v>695</v>
      </c>
      <c r="D103" s="197">
        <v>39.948329999999999</v>
      </c>
      <c r="E103" s="197">
        <v>8.7036390000000008</v>
      </c>
      <c r="F103" s="5" t="s">
        <v>103</v>
      </c>
      <c r="G103" s="196" t="s">
        <v>672</v>
      </c>
      <c r="H103" s="5" t="str">
        <f>VLOOKUP(F103,'All sensors Installed'!$A$2:$K$1119,6,)</f>
        <v>ST04</v>
      </c>
      <c r="I103" s="5" t="str">
        <f>VLOOKUP(F103,'All sensors Installed'!$A$2:$K$1119,11,)</f>
        <v>AC1F09FFFE04E488</v>
      </c>
      <c r="J103" s="5" t="s">
        <v>683</v>
      </c>
      <c r="K103" s="5" t="s">
        <v>662</v>
      </c>
      <c r="L103" s="5" t="str">
        <f>VLOOKUP($K103,'Property names'!$A$1:$D$100,2,FALSE)</f>
        <v>The measure of temperature of the soil.</v>
      </c>
      <c r="M103" s="5" t="str">
        <f>VLOOKUP($K103,'Property names'!$A$1:$D$100,3,FALSE)</f>
        <v>Degrees Celsius</v>
      </c>
      <c r="N103" s="5" t="str">
        <f>VLOOKUP($K103,'Property names'!$A$1:$D$100,4,FALSE)</f>
        <v>ºC</v>
      </c>
      <c r="O103" s="5" t="str">
        <f t="shared" si="4"/>
        <v>Camedda_I006_soil_temperature_4</v>
      </c>
      <c r="P103" s="5" t="str">
        <f t="shared" si="5"/>
        <v>The datastream containing mesures of field Camedda by sensor I006 which measures Soil Temperature.</v>
      </c>
      <c r="Q103" s="5" t="s">
        <v>653</v>
      </c>
    </row>
    <row r="104" spans="1:17" ht="12.75">
      <c r="A104" s="5" t="s">
        <v>693</v>
      </c>
      <c r="B104" s="5" t="s">
        <v>698</v>
      </c>
      <c r="C104" s="5" t="s">
        <v>695</v>
      </c>
      <c r="D104" s="197">
        <v>39.948329999999999</v>
      </c>
      <c r="E104" s="197">
        <v>8.7036390000000008</v>
      </c>
      <c r="F104" s="5" t="s">
        <v>103</v>
      </c>
      <c r="G104" s="196" t="s">
        <v>672</v>
      </c>
      <c r="H104" s="5" t="str">
        <f>VLOOKUP(F104,'All sensors Installed'!$A$2:$K$1119,6,)</f>
        <v>ST04</v>
      </c>
      <c r="I104" s="5" t="str">
        <f>VLOOKUP(F104,'All sensors Installed'!$A$2:$K$1119,11,)</f>
        <v>AC1F09FFFE04E488</v>
      </c>
      <c r="J104" s="5" t="s">
        <v>684</v>
      </c>
      <c r="K104" s="5" t="s">
        <v>662</v>
      </c>
      <c r="L104" s="5" t="str">
        <f>VLOOKUP($K104,'Property names'!$A$1:$D$100,2,FALSE)</f>
        <v>The measure of temperature of the soil.</v>
      </c>
      <c r="M104" s="5" t="str">
        <f>VLOOKUP($K104,'Property names'!$A$1:$D$100,3,FALSE)</f>
        <v>Degrees Celsius</v>
      </c>
      <c r="N104" s="5" t="str">
        <f>VLOOKUP($K104,'Property names'!$A$1:$D$100,4,FALSE)</f>
        <v>ºC</v>
      </c>
      <c r="O104" s="5" t="str">
        <f t="shared" si="4"/>
        <v>Camedda_I006_soil_temperature_5</v>
      </c>
      <c r="P104" s="5" t="str">
        <f t="shared" si="5"/>
        <v>The datastream containing mesures of field Camedda by sensor I006 which measures Soil Temperature.</v>
      </c>
      <c r="Q104" s="5" t="s">
        <v>653</v>
      </c>
    </row>
    <row r="105" spans="1:17" ht="12.75">
      <c r="A105" s="5" t="s">
        <v>693</v>
      </c>
      <c r="B105" s="5" t="s">
        <v>698</v>
      </c>
      <c r="C105" s="5" t="s">
        <v>695</v>
      </c>
      <c r="D105" s="197">
        <v>39.948329999999999</v>
      </c>
      <c r="E105" s="197">
        <v>8.7036390000000008</v>
      </c>
      <c r="F105" s="5" t="s">
        <v>103</v>
      </c>
      <c r="G105" s="196" t="s">
        <v>672</v>
      </c>
      <c r="H105" s="5" t="str">
        <f>VLOOKUP(F105,'All sensors Installed'!$A$2:$K$1119,6,)</f>
        <v>ST04</v>
      </c>
      <c r="I105" s="5" t="str">
        <f>VLOOKUP(F105,'All sensors Installed'!$A$2:$K$1119,11,)</f>
        <v>AC1F09FFFE04E488</v>
      </c>
      <c r="J105" s="5" t="s">
        <v>685</v>
      </c>
      <c r="K105" s="5" t="s">
        <v>662</v>
      </c>
      <c r="L105" s="5" t="str">
        <f>VLOOKUP($K105,'Property names'!$A$1:$D$100,2,FALSE)</f>
        <v>The measure of temperature of the soil.</v>
      </c>
      <c r="M105" s="5" t="str">
        <f>VLOOKUP($K105,'Property names'!$A$1:$D$100,3,FALSE)</f>
        <v>Degrees Celsius</v>
      </c>
      <c r="N105" s="5" t="str">
        <f>VLOOKUP($K105,'Property names'!$A$1:$D$100,4,FALSE)</f>
        <v>ºC</v>
      </c>
      <c r="O105" s="5" t="str">
        <f t="shared" si="4"/>
        <v>Camedda_I006_soil_temperature_6</v>
      </c>
      <c r="P105" s="5" t="str">
        <f t="shared" si="5"/>
        <v>The datastream containing mesures of field Camedda by sensor I006 which measures Soil Temperature.</v>
      </c>
      <c r="Q105" s="5" t="s">
        <v>653</v>
      </c>
    </row>
    <row r="106" spans="1:17" ht="12.75">
      <c r="A106" s="5" t="s">
        <v>693</v>
      </c>
      <c r="B106" s="5" t="s">
        <v>699</v>
      </c>
      <c r="C106" s="5" t="s">
        <v>695</v>
      </c>
      <c r="D106" s="197">
        <v>39.948529999999998</v>
      </c>
      <c r="E106" s="197">
        <v>8.6819170000000003</v>
      </c>
      <c r="F106" s="5" t="s">
        <v>106</v>
      </c>
      <c r="G106" s="196" t="s">
        <v>672</v>
      </c>
      <c r="H106" s="5" t="str">
        <f>VLOOKUP(F106,'All sensors Installed'!$A$2:$K$1119,6,)</f>
        <v>ST04</v>
      </c>
      <c r="I106" s="5" t="str">
        <f>VLOOKUP(F106,'All sensors Installed'!$A$2:$K$1119,11,)</f>
        <v>AC1F09FFFE04E284</v>
      </c>
      <c r="J106" s="5" t="s">
        <v>673</v>
      </c>
      <c r="K106" s="5" t="s">
        <v>660</v>
      </c>
      <c r="L106" s="5" t="str">
        <f>VLOOKUP($K106,'Property names'!$A$1:$D$100,2,FALSE)</f>
        <v>The amount of moisture present in the soil, often expressed as a percentage of the maximum amount the soil could hold at a given temperature.</v>
      </c>
      <c r="M106" s="5" t="str">
        <f>VLOOKUP($K106,'Property names'!$A$1:$D$100,3,FALSE)</f>
        <v>Percentage</v>
      </c>
      <c r="N106" s="5" t="str">
        <f>VLOOKUP($K106,'Property names'!$A$1:$D$100,4,FALSE)</f>
        <v>%</v>
      </c>
      <c r="O106" s="5" t="str">
        <f t="shared" si="4"/>
        <v>Perra_2_I007_soil_moisture_1</v>
      </c>
      <c r="P106" s="5" t="str">
        <f t="shared" si="5"/>
        <v>The datastream containing mesures of field Perra 2 by sensor I007 which measures Soil Moisture.</v>
      </c>
      <c r="Q106" s="5" t="s">
        <v>653</v>
      </c>
    </row>
    <row r="107" spans="1:17" ht="12.75">
      <c r="A107" s="5" t="s">
        <v>693</v>
      </c>
      <c r="B107" s="5" t="s">
        <v>699</v>
      </c>
      <c r="C107" s="5" t="s">
        <v>695</v>
      </c>
      <c r="D107" s="197">
        <v>39.948529999999998</v>
      </c>
      <c r="E107" s="197">
        <v>8.6819170000000003</v>
      </c>
      <c r="F107" s="5" t="s">
        <v>106</v>
      </c>
      <c r="G107" s="196" t="s">
        <v>672</v>
      </c>
      <c r="H107" s="5" t="str">
        <f>VLOOKUP(F107,'All sensors Installed'!$A$2:$K$1119,6,)</f>
        <v>ST04</v>
      </c>
      <c r="I107" s="5" t="str">
        <f>VLOOKUP(F107,'All sensors Installed'!$A$2:$K$1119,11,)</f>
        <v>AC1F09FFFE04E284</v>
      </c>
      <c r="J107" s="5" t="s">
        <v>674</v>
      </c>
      <c r="K107" s="5" t="s">
        <v>660</v>
      </c>
      <c r="L107" s="5" t="str">
        <f>VLOOKUP($K107,'Property names'!$A$1:$D$100,2,FALSE)</f>
        <v>The amount of moisture present in the soil, often expressed as a percentage of the maximum amount the soil could hold at a given temperature.</v>
      </c>
      <c r="M107" s="5" t="str">
        <f>VLOOKUP($K107,'Property names'!$A$1:$D$100,3,FALSE)</f>
        <v>Percentage</v>
      </c>
      <c r="N107" s="5" t="str">
        <f>VLOOKUP($K107,'Property names'!$A$1:$D$100,4,FALSE)</f>
        <v>%</v>
      </c>
      <c r="O107" s="5" t="str">
        <f t="shared" si="4"/>
        <v>Perra_2_I007_soil_moisture_2</v>
      </c>
      <c r="P107" s="5" t="str">
        <f t="shared" si="5"/>
        <v>The datastream containing mesures of field Perra 2 by sensor I007 which measures Soil Moisture.</v>
      </c>
      <c r="Q107" s="5" t="s">
        <v>653</v>
      </c>
    </row>
    <row r="108" spans="1:17" ht="12.75">
      <c r="A108" s="5" t="s">
        <v>693</v>
      </c>
      <c r="B108" s="5" t="s">
        <v>699</v>
      </c>
      <c r="C108" s="5" t="s">
        <v>695</v>
      </c>
      <c r="D108" s="197">
        <v>39.948529999999998</v>
      </c>
      <c r="E108" s="197">
        <v>8.6819170000000003</v>
      </c>
      <c r="F108" s="5" t="s">
        <v>106</v>
      </c>
      <c r="G108" s="196" t="s">
        <v>672</v>
      </c>
      <c r="H108" s="5" t="str">
        <f>VLOOKUP(F108,'All sensors Installed'!$A$2:$K$1119,6,)</f>
        <v>ST04</v>
      </c>
      <c r="I108" s="5" t="str">
        <f>VLOOKUP(F108,'All sensors Installed'!$A$2:$K$1119,11,)</f>
        <v>AC1F09FFFE04E284</v>
      </c>
      <c r="J108" s="5" t="s">
        <v>675</v>
      </c>
      <c r="K108" s="5" t="s">
        <v>660</v>
      </c>
      <c r="L108" s="5" t="str">
        <f>VLOOKUP($K108,'Property names'!$A$1:$D$100,2,FALSE)</f>
        <v>The amount of moisture present in the soil, often expressed as a percentage of the maximum amount the soil could hold at a given temperature.</v>
      </c>
      <c r="M108" s="5" t="str">
        <f>VLOOKUP($K108,'Property names'!$A$1:$D$100,3,FALSE)</f>
        <v>Percentage</v>
      </c>
      <c r="N108" s="5" t="str">
        <f>VLOOKUP($K108,'Property names'!$A$1:$D$100,4,FALSE)</f>
        <v>%</v>
      </c>
      <c r="O108" s="5" t="str">
        <f t="shared" si="4"/>
        <v>Perra_2_I007_soil_moisture_3</v>
      </c>
      <c r="P108" s="5" t="str">
        <f t="shared" si="5"/>
        <v>The datastream containing mesures of field Perra 2 by sensor I007 which measures Soil Moisture.</v>
      </c>
      <c r="Q108" s="5" t="s">
        <v>653</v>
      </c>
    </row>
    <row r="109" spans="1:17" ht="12.75">
      <c r="A109" s="5" t="s">
        <v>693</v>
      </c>
      <c r="B109" s="5" t="s">
        <v>699</v>
      </c>
      <c r="C109" s="5" t="s">
        <v>695</v>
      </c>
      <c r="D109" s="197">
        <v>39.948529999999998</v>
      </c>
      <c r="E109" s="197">
        <v>8.6819170000000003</v>
      </c>
      <c r="F109" s="5" t="s">
        <v>106</v>
      </c>
      <c r="G109" s="196" t="s">
        <v>672</v>
      </c>
      <c r="H109" s="5" t="str">
        <f>VLOOKUP(F109,'All sensors Installed'!$A$2:$K$1119,6,)</f>
        <v>ST04</v>
      </c>
      <c r="I109" s="5" t="str">
        <f>VLOOKUP(F109,'All sensors Installed'!$A$2:$K$1119,11,)</f>
        <v>AC1F09FFFE04E284</v>
      </c>
      <c r="J109" s="5" t="s">
        <v>676</v>
      </c>
      <c r="K109" s="5" t="s">
        <v>660</v>
      </c>
      <c r="L109" s="5" t="str">
        <f>VLOOKUP($K109,'Property names'!$A$1:$D$100,2,FALSE)</f>
        <v>The amount of moisture present in the soil, often expressed as a percentage of the maximum amount the soil could hold at a given temperature.</v>
      </c>
      <c r="M109" s="5" t="str">
        <f>VLOOKUP($K109,'Property names'!$A$1:$D$100,3,FALSE)</f>
        <v>Percentage</v>
      </c>
      <c r="N109" s="5" t="str">
        <f>VLOOKUP($K109,'Property names'!$A$1:$D$100,4,FALSE)</f>
        <v>%</v>
      </c>
      <c r="O109" s="5" t="str">
        <f t="shared" si="4"/>
        <v>Perra_2_I007_soil_moisture_4</v>
      </c>
      <c r="P109" s="5" t="str">
        <f t="shared" si="5"/>
        <v>The datastream containing mesures of field Perra 2 by sensor I007 which measures Soil Moisture.</v>
      </c>
      <c r="Q109" s="5" t="s">
        <v>653</v>
      </c>
    </row>
    <row r="110" spans="1:17" ht="12.75">
      <c r="A110" s="5" t="s">
        <v>693</v>
      </c>
      <c r="B110" s="5" t="s">
        <v>699</v>
      </c>
      <c r="C110" s="5" t="s">
        <v>695</v>
      </c>
      <c r="D110" s="197">
        <v>39.948529999999998</v>
      </c>
      <c r="E110" s="197">
        <v>8.6819170000000003</v>
      </c>
      <c r="F110" s="5" t="s">
        <v>106</v>
      </c>
      <c r="G110" s="196" t="s">
        <v>672</v>
      </c>
      <c r="H110" s="5" t="str">
        <f>VLOOKUP(F110,'All sensors Installed'!$A$2:$K$1119,6,)</f>
        <v>ST04</v>
      </c>
      <c r="I110" s="5" t="str">
        <f>VLOOKUP(F110,'All sensors Installed'!$A$2:$K$1119,11,)</f>
        <v>AC1F09FFFE04E284</v>
      </c>
      <c r="J110" s="5" t="s">
        <v>677</v>
      </c>
      <c r="K110" s="5" t="s">
        <v>660</v>
      </c>
      <c r="L110" s="5" t="str">
        <f>VLOOKUP($K110,'Property names'!$A$1:$D$100,2,FALSE)</f>
        <v>The amount of moisture present in the soil, often expressed as a percentage of the maximum amount the soil could hold at a given temperature.</v>
      </c>
      <c r="M110" s="5" t="str">
        <f>VLOOKUP($K110,'Property names'!$A$1:$D$100,3,FALSE)</f>
        <v>Percentage</v>
      </c>
      <c r="N110" s="5" t="str">
        <f>VLOOKUP($K110,'Property names'!$A$1:$D$100,4,FALSE)</f>
        <v>%</v>
      </c>
      <c r="O110" s="5" t="str">
        <f t="shared" si="4"/>
        <v>Perra_2_I007_soil_moisture_5</v>
      </c>
      <c r="P110" s="5" t="str">
        <f t="shared" si="5"/>
        <v>The datastream containing mesures of field Perra 2 by sensor I007 which measures Soil Moisture.</v>
      </c>
      <c r="Q110" s="5" t="s">
        <v>653</v>
      </c>
    </row>
    <row r="111" spans="1:17" ht="12.75">
      <c r="A111" s="5" t="s">
        <v>693</v>
      </c>
      <c r="B111" s="5" t="s">
        <v>699</v>
      </c>
      <c r="C111" s="5" t="s">
        <v>695</v>
      </c>
      <c r="D111" s="197">
        <v>39.948529999999998</v>
      </c>
      <c r="E111" s="197">
        <v>8.6819170000000003</v>
      </c>
      <c r="F111" s="5" t="s">
        <v>106</v>
      </c>
      <c r="G111" s="196" t="s">
        <v>672</v>
      </c>
      <c r="H111" s="5" t="str">
        <f>VLOOKUP(F111,'All sensors Installed'!$A$2:$K$1119,6,)</f>
        <v>ST04</v>
      </c>
      <c r="I111" s="5" t="str">
        <f>VLOOKUP(F111,'All sensors Installed'!$A$2:$K$1119,11,)</f>
        <v>AC1F09FFFE04E284</v>
      </c>
      <c r="J111" s="5" t="s">
        <v>678</v>
      </c>
      <c r="K111" s="5" t="s">
        <v>660</v>
      </c>
      <c r="L111" s="5" t="str">
        <f>VLOOKUP($K111,'Property names'!$A$1:$D$100,2,FALSE)</f>
        <v>The amount of moisture present in the soil, often expressed as a percentage of the maximum amount the soil could hold at a given temperature.</v>
      </c>
      <c r="M111" s="5" t="str">
        <f>VLOOKUP($K111,'Property names'!$A$1:$D$100,3,FALSE)</f>
        <v>Percentage</v>
      </c>
      <c r="N111" s="5" t="str">
        <f>VLOOKUP($K111,'Property names'!$A$1:$D$100,4,FALSE)</f>
        <v>%</v>
      </c>
      <c r="O111" s="5" t="str">
        <f t="shared" si="4"/>
        <v>Perra_2_I007_soil_moisture_6</v>
      </c>
      <c r="P111" s="5" t="str">
        <f t="shared" si="5"/>
        <v>The datastream containing mesures of field Perra 2 by sensor I007 which measures Soil Moisture.</v>
      </c>
      <c r="Q111" s="5" t="s">
        <v>653</v>
      </c>
    </row>
    <row r="112" spans="1:17" ht="12.75">
      <c r="A112" s="5" t="s">
        <v>693</v>
      </c>
      <c r="B112" s="5" t="s">
        <v>699</v>
      </c>
      <c r="C112" s="5" t="s">
        <v>695</v>
      </c>
      <c r="D112" s="197">
        <v>39.948529999999998</v>
      </c>
      <c r="E112" s="197">
        <v>8.6819170000000003</v>
      </c>
      <c r="F112" s="5" t="s">
        <v>106</v>
      </c>
      <c r="G112" s="196" t="s">
        <v>672</v>
      </c>
      <c r="H112" s="5" t="str">
        <f>VLOOKUP(F112,'All sensors Installed'!$A$2:$K$1119,6,)</f>
        <v>ST04</v>
      </c>
      <c r="I112" s="5" t="str">
        <f>VLOOKUP(F112,'All sensors Installed'!$A$2:$K$1119,11,)</f>
        <v>AC1F09FFFE04E284</v>
      </c>
      <c r="J112" s="5" t="s">
        <v>679</v>
      </c>
      <c r="K112" s="5" t="s">
        <v>652</v>
      </c>
      <c r="L112" s="5" t="str">
        <f>VLOOKUP($K112,'Property names'!$A$1:$D$100,2,FALSE)</f>
        <v>The measure of the hotness or coldness of the air.</v>
      </c>
      <c r="M112" s="5" t="str">
        <f>VLOOKUP($K112,'Property names'!$A$1:$D$100,3,FALSE)</f>
        <v>Degrees Celsius</v>
      </c>
      <c r="N112" s="5" t="str">
        <f>VLOOKUP($K112,'Property names'!$A$1:$D$100,4,FALSE)</f>
        <v>ºC</v>
      </c>
      <c r="O112" s="5" t="str">
        <f t="shared" si="4"/>
        <v>Perra_2_I007_ambient_temperature</v>
      </c>
      <c r="P112" s="5" t="str">
        <f t="shared" si="5"/>
        <v>The datastream containing mesures of field Perra 2 by sensor I007 which measures Air Temperature.</v>
      </c>
      <c r="Q112" s="5" t="s">
        <v>653</v>
      </c>
    </row>
    <row r="113" spans="1:17" ht="12.75">
      <c r="A113" s="5" t="s">
        <v>693</v>
      </c>
      <c r="B113" s="5" t="s">
        <v>699</v>
      </c>
      <c r="C113" s="5" t="s">
        <v>695</v>
      </c>
      <c r="D113" s="197">
        <v>39.948529999999998</v>
      </c>
      <c r="E113" s="197">
        <v>8.6819170000000003</v>
      </c>
      <c r="F113" s="5" t="s">
        <v>106</v>
      </c>
      <c r="G113" s="196" t="s">
        <v>672</v>
      </c>
      <c r="H113" s="5" t="str">
        <f>VLOOKUP(F113,'All sensors Installed'!$A$2:$K$1119,6,)</f>
        <v>ST04</v>
      </c>
      <c r="I113" s="5" t="str">
        <f>VLOOKUP(F113,'All sensors Installed'!$A$2:$K$1119,11,)</f>
        <v>AC1F09FFFE04E284</v>
      </c>
      <c r="J113" s="5" t="s">
        <v>680</v>
      </c>
      <c r="K113" s="5" t="s">
        <v>662</v>
      </c>
      <c r="L113" s="5" t="str">
        <f>VLOOKUP($K113,'Property names'!$A$1:$D$100,2,FALSE)</f>
        <v>The measure of temperature of the soil.</v>
      </c>
      <c r="M113" s="5" t="str">
        <f>VLOOKUP($K113,'Property names'!$A$1:$D$100,3,FALSE)</f>
        <v>Degrees Celsius</v>
      </c>
      <c r="N113" s="5" t="str">
        <f>VLOOKUP($K113,'Property names'!$A$1:$D$100,4,FALSE)</f>
        <v>ºC</v>
      </c>
      <c r="O113" s="5" t="str">
        <f t="shared" si="4"/>
        <v>Perra_2_I007_soil_temperature_1</v>
      </c>
      <c r="P113" s="5" t="str">
        <f t="shared" si="5"/>
        <v>The datastream containing mesures of field Perra 2 by sensor I007 which measures Soil Temperature.</v>
      </c>
      <c r="Q113" s="5" t="s">
        <v>653</v>
      </c>
    </row>
    <row r="114" spans="1:17" ht="12.75">
      <c r="A114" s="5" t="s">
        <v>693</v>
      </c>
      <c r="B114" s="5" t="s">
        <v>699</v>
      </c>
      <c r="C114" s="5" t="s">
        <v>695</v>
      </c>
      <c r="D114" s="197">
        <v>39.948529999999998</v>
      </c>
      <c r="E114" s="197">
        <v>8.6819170000000003</v>
      </c>
      <c r="F114" s="5" t="s">
        <v>106</v>
      </c>
      <c r="G114" s="196" t="s">
        <v>672</v>
      </c>
      <c r="H114" s="5" t="str">
        <f>VLOOKUP(F114,'All sensors Installed'!$A$2:$K$1119,6,)</f>
        <v>ST04</v>
      </c>
      <c r="I114" s="5" t="str">
        <f>VLOOKUP(F114,'All sensors Installed'!$A$2:$K$1119,11,)</f>
        <v>AC1F09FFFE04E284</v>
      </c>
      <c r="J114" s="5" t="s">
        <v>681</v>
      </c>
      <c r="K114" s="5" t="s">
        <v>662</v>
      </c>
      <c r="L114" s="5" t="str">
        <f>VLOOKUP($K114,'Property names'!$A$1:$D$100,2,FALSE)</f>
        <v>The measure of temperature of the soil.</v>
      </c>
      <c r="M114" s="5" t="str">
        <f>VLOOKUP($K114,'Property names'!$A$1:$D$100,3,FALSE)</f>
        <v>Degrees Celsius</v>
      </c>
      <c r="N114" s="5" t="str">
        <f>VLOOKUP($K114,'Property names'!$A$1:$D$100,4,FALSE)</f>
        <v>ºC</v>
      </c>
      <c r="O114" s="5" t="str">
        <f t="shared" si="4"/>
        <v>Perra_2_I007_soil_temperature_2</v>
      </c>
      <c r="P114" s="5" t="str">
        <f t="shared" si="5"/>
        <v>The datastream containing mesures of field Perra 2 by sensor I007 which measures Soil Temperature.</v>
      </c>
      <c r="Q114" s="5" t="s">
        <v>653</v>
      </c>
    </row>
    <row r="115" spans="1:17" ht="12.75">
      <c r="A115" s="5" t="s">
        <v>693</v>
      </c>
      <c r="B115" s="5" t="s">
        <v>699</v>
      </c>
      <c r="C115" s="5" t="s">
        <v>695</v>
      </c>
      <c r="D115" s="197">
        <v>39.948529999999998</v>
      </c>
      <c r="E115" s="197">
        <v>8.6819170000000003</v>
      </c>
      <c r="F115" s="5" t="s">
        <v>106</v>
      </c>
      <c r="G115" s="196" t="s">
        <v>672</v>
      </c>
      <c r="H115" s="5" t="str">
        <f>VLOOKUP(F115,'All sensors Installed'!$A$2:$K$1119,6,)</f>
        <v>ST04</v>
      </c>
      <c r="I115" s="5" t="str">
        <f>VLOOKUP(F115,'All sensors Installed'!$A$2:$K$1119,11,)</f>
        <v>AC1F09FFFE04E284</v>
      </c>
      <c r="J115" s="5" t="s">
        <v>682</v>
      </c>
      <c r="K115" s="5" t="s">
        <v>662</v>
      </c>
      <c r="L115" s="5" t="str">
        <f>VLOOKUP($K115,'Property names'!$A$1:$D$100,2,FALSE)</f>
        <v>The measure of temperature of the soil.</v>
      </c>
      <c r="M115" s="5" t="str">
        <f>VLOOKUP($K115,'Property names'!$A$1:$D$100,3,FALSE)</f>
        <v>Degrees Celsius</v>
      </c>
      <c r="N115" s="5" t="str">
        <f>VLOOKUP($K115,'Property names'!$A$1:$D$100,4,FALSE)</f>
        <v>ºC</v>
      </c>
      <c r="O115" s="5" t="str">
        <f t="shared" si="4"/>
        <v>Perra_2_I007_soil_temperature_3</v>
      </c>
      <c r="P115" s="5" t="str">
        <f t="shared" si="5"/>
        <v>The datastream containing mesures of field Perra 2 by sensor I007 which measures Soil Temperature.</v>
      </c>
      <c r="Q115" s="5" t="s">
        <v>653</v>
      </c>
    </row>
    <row r="116" spans="1:17" ht="12.75">
      <c r="A116" s="5" t="s">
        <v>693</v>
      </c>
      <c r="B116" s="5" t="s">
        <v>699</v>
      </c>
      <c r="C116" s="5" t="s">
        <v>695</v>
      </c>
      <c r="D116" s="197">
        <v>39.948529999999998</v>
      </c>
      <c r="E116" s="197">
        <v>8.6819170000000003</v>
      </c>
      <c r="F116" s="5" t="s">
        <v>106</v>
      </c>
      <c r="G116" s="196" t="s">
        <v>672</v>
      </c>
      <c r="H116" s="5" t="str">
        <f>VLOOKUP(F116,'All sensors Installed'!$A$2:$K$1119,6,)</f>
        <v>ST04</v>
      </c>
      <c r="I116" s="5" t="str">
        <f>VLOOKUP(F116,'All sensors Installed'!$A$2:$K$1119,11,)</f>
        <v>AC1F09FFFE04E284</v>
      </c>
      <c r="J116" s="5" t="s">
        <v>683</v>
      </c>
      <c r="K116" s="5" t="s">
        <v>662</v>
      </c>
      <c r="L116" s="5" t="str">
        <f>VLOOKUP($K116,'Property names'!$A$1:$D$100,2,FALSE)</f>
        <v>The measure of temperature of the soil.</v>
      </c>
      <c r="M116" s="5" t="str">
        <f>VLOOKUP($K116,'Property names'!$A$1:$D$100,3,FALSE)</f>
        <v>Degrees Celsius</v>
      </c>
      <c r="N116" s="5" t="str">
        <f>VLOOKUP($K116,'Property names'!$A$1:$D$100,4,FALSE)</f>
        <v>ºC</v>
      </c>
      <c r="O116" s="5" t="str">
        <f t="shared" si="4"/>
        <v>Perra_2_I007_soil_temperature_4</v>
      </c>
      <c r="P116" s="5" t="str">
        <f t="shared" si="5"/>
        <v>The datastream containing mesures of field Perra 2 by sensor I007 which measures Soil Temperature.</v>
      </c>
      <c r="Q116" s="5" t="s">
        <v>653</v>
      </c>
    </row>
    <row r="117" spans="1:17" ht="12.75">
      <c r="A117" s="5" t="s">
        <v>693</v>
      </c>
      <c r="B117" s="5" t="s">
        <v>699</v>
      </c>
      <c r="C117" s="5" t="s">
        <v>695</v>
      </c>
      <c r="D117" s="197">
        <v>39.948529999999998</v>
      </c>
      <c r="E117" s="197">
        <v>8.6819170000000003</v>
      </c>
      <c r="F117" s="5" t="s">
        <v>106</v>
      </c>
      <c r="G117" s="196" t="s">
        <v>672</v>
      </c>
      <c r="H117" s="5" t="str">
        <f>VLOOKUP(F117,'All sensors Installed'!$A$2:$K$1119,6,)</f>
        <v>ST04</v>
      </c>
      <c r="I117" s="5" t="str">
        <f>VLOOKUP(F117,'All sensors Installed'!$A$2:$K$1119,11,)</f>
        <v>AC1F09FFFE04E284</v>
      </c>
      <c r="J117" s="5" t="s">
        <v>684</v>
      </c>
      <c r="K117" s="5" t="s">
        <v>662</v>
      </c>
      <c r="L117" s="5" t="str">
        <f>VLOOKUP($K117,'Property names'!$A$1:$D$100,2,FALSE)</f>
        <v>The measure of temperature of the soil.</v>
      </c>
      <c r="M117" s="5" t="str">
        <f>VLOOKUP($K117,'Property names'!$A$1:$D$100,3,FALSE)</f>
        <v>Degrees Celsius</v>
      </c>
      <c r="N117" s="5" t="str">
        <f>VLOOKUP($K117,'Property names'!$A$1:$D$100,4,FALSE)</f>
        <v>ºC</v>
      </c>
      <c r="O117" s="5" t="str">
        <f t="shared" si="4"/>
        <v>Perra_2_I007_soil_temperature_5</v>
      </c>
      <c r="P117" s="5" t="str">
        <f t="shared" si="5"/>
        <v>The datastream containing mesures of field Perra 2 by sensor I007 which measures Soil Temperature.</v>
      </c>
      <c r="Q117" s="5" t="s">
        <v>653</v>
      </c>
    </row>
    <row r="118" spans="1:17" ht="12.75">
      <c r="A118" s="5" t="s">
        <v>693</v>
      </c>
      <c r="B118" s="5" t="s">
        <v>699</v>
      </c>
      <c r="C118" s="5" t="s">
        <v>695</v>
      </c>
      <c r="D118" s="197">
        <v>39.948529999999998</v>
      </c>
      <c r="E118" s="197">
        <v>8.6819170000000003</v>
      </c>
      <c r="F118" s="5" t="s">
        <v>106</v>
      </c>
      <c r="G118" s="196" t="s">
        <v>672</v>
      </c>
      <c r="H118" s="5" t="str">
        <f>VLOOKUP(F118,'All sensors Installed'!$A$2:$K$1119,6,)</f>
        <v>ST04</v>
      </c>
      <c r="I118" s="5" t="str">
        <f>VLOOKUP(F118,'All sensors Installed'!$A$2:$K$1119,11,)</f>
        <v>AC1F09FFFE04E284</v>
      </c>
      <c r="J118" s="5" t="s">
        <v>685</v>
      </c>
      <c r="K118" s="5" t="s">
        <v>662</v>
      </c>
      <c r="L118" s="5" t="str">
        <f>VLOOKUP($K118,'Property names'!$A$1:$D$100,2,FALSE)</f>
        <v>The measure of temperature of the soil.</v>
      </c>
      <c r="M118" s="5" t="str">
        <f>VLOOKUP($K118,'Property names'!$A$1:$D$100,3,FALSE)</f>
        <v>Degrees Celsius</v>
      </c>
      <c r="N118" s="5" t="str">
        <f>VLOOKUP($K118,'Property names'!$A$1:$D$100,4,FALSE)</f>
        <v>ºC</v>
      </c>
      <c r="O118" s="5" t="str">
        <f t="shared" si="4"/>
        <v>Perra_2_I007_soil_temperature_6</v>
      </c>
      <c r="P118" s="5" t="str">
        <f t="shared" si="5"/>
        <v>The datastream containing mesures of field Perra 2 by sensor I007 which measures Soil Temperature.</v>
      </c>
      <c r="Q118" s="5" t="s">
        <v>653</v>
      </c>
    </row>
    <row r="119" spans="1:17" ht="12.75">
      <c r="A119" s="5" t="s">
        <v>693</v>
      </c>
      <c r="B119" s="5" t="s">
        <v>700</v>
      </c>
      <c r="C119" s="5" t="s">
        <v>695</v>
      </c>
      <c r="D119" s="197">
        <v>39.948689999999999</v>
      </c>
      <c r="E119" s="197">
        <v>8.6801940000000002</v>
      </c>
      <c r="F119" s="5" t="s">
        <v>109</v>
      </c>
      <c r="G119" s="196" t="s">
        <v>672</v>
      </c>
      <c r="H119" s="5" t="str">
        <f>VLOOKUP(F119,'All sensors Installed'!$A$2:$K$1119,6,)</f>
        <v>ST04</v>
      </c>
      <c r="I119" s="5" t="str">
        <f>VLOOKUP(F119,'All sensors Installed'!$A$2:$K$1119,11,)</f>
        <v>AC1F09FFFE04E2CB</v>
      </c>
      <c r="J119" s="5" t="s">
        <v>673</v>
      </c>
      <c r="K119" s="5" t="s">
        <v>660</v>
      </c>
      <c r="L119" s="5" t="str">
        <f>VLOOKUP($K119,'Property names'!$A$1:$D$100,2,FALSE)</f>
        <v>The amount of moisture present in the soil, often expressed as a percentage of the maximum amount the soil could hold at a given temperature.</v>
      </c>
      <c r="M119" s="5" t="str">
        <f>VLOOKUP($K119,'Property names'!$A$1:$D$100,3,FALSE)</f>
        <v>Percentage</v>
      </c>
      <c r="N119" s="5" t="str">
        <f>VLOOKUP($K119,'Property names'!$A$1:$D$100,4,FALSE)</f>
        <v>%</v>
      </c>
      <c r="O119" s="5" t="str">
        <f t="shared" si="4"/>
        <v>Mazzacaddeo_I008_soil_moisture_1</v>
      </c>
      <c r="P119" s="5" t="str">
        <f t="shared" si="5"/>
        <v>The datastream containing mesures of field Mazzacaddeo by sensor I008 which measures Soil Moisture.</v>
      </c>
      <c r="Q119" s="5" t="s">
        <v>653</v>
      </c>
    </row>
    <row r="120" spans="1:17" ht="12.75">
      <c r="A120" s="5" t="s">
        <v>693</v>
      </c>
      <c r="B120" s="5" t="s">
        <v>700</v>
      </c>
      <c r="C120" s="5" t="s">
        <v>695</v>
      </c>
      <c r="D120" s="197">
        <v>39.948689999999999</v>
      </c>
      <c r="E120" s="197">
        <v>8.6801940000000002</v>
      </c>
      <c r="F120" s="5" t="s">
        <v>109</v>
      </c>
      <c r="G120" s="196" t="s">
        <v>672</v>
      </c>
      <c r="H120" s="5" t="str">
        <f>VLOOKUP(F120,'All sensors Installed'!$A$2:$K$1119,6,)</f>
        <v>ST04</v>
      </c>
      <c r="I120" s="5" t="str">
        <f>VLOOKUP(F120,'All sensors Installed'!$A$2:$K$1119,11,)</f>
        <v>AC1F09FFFE04E2CB</v>
      </c>
      <c r="J120" s="5" t="s">
        <v>674</v>
      </c>
      <c r="K120" s="5" t="s">
        <v>660</v>
      </c>
      <c r="L120" s="5" t="str">
        <f>VLOOKUP($K120,'Property names'!$A$1:$D$100,2,FALSE)</f>
        <v>The amount of moisture present in the soil, often expressed as a percentage of the maximum amount the soil could hold at a given temperature.</v>
      </c>
      <c r="M120" s="5" t="str">
        <f>VLOOKUP($K120,'Property names'!$A$1:$D$100,3,FALSE)</f>
        <v>Percentage</v>
      </c>
      <c r="N120" s="5" t="str">
        <f>VLOOKUP($K120,'Property names'!$A$1:$D$100,4,FALSE)</f>
        <v>%</v>
      </c>
      <c r="O120" s="5" t="str">
        <f t="shared" si="4"/>
        <v>Mazzacaddeo_I008_soil_moisture_2</v>
      </c>
      <c r="P120" s="5" t="str">
        <f t="shared" si="5"/>
        <v>The datastream containing mesures of field Mazzacaddeo by sensor I008 which measures Soil Moisture.</v>
      </c>
      <c r="Q120" s="5" t="s">
        <v>653</v>
      </c>
    </row>
    <row r="121" spans="1:17" ht="12.75">
      <c r="A121" s="5" t="s">
        <v>693</v>
      </c>
      <c r="B121" s="5" t="s">
        <v>700</v>
      </c>
      <c r="C121" s="5" t="s">
        <v>695</v>
      </c>
      <c r="D121" s="197">
        <v>39.948689999999999</v>
      </c>
      <c r="E121" s="197">
        <v>8.6801940000000002</v>
      </c>
      <c r="F121" s="5" t="s">
        <v>109</v>
      </c>
      <c r="G121" s="196" t="s">
        <v>672</v>
      </c>
      <c r="H121" s="5" t="str">
        <f>VLOOKUP(F121,'All sensors Installed'!$A$2:$K$1119,6,)</f>
        <v>ST04</v>
      </c>
      <c r="I121" s="5" t="str">
        <f>VLOOKUP(F121,'All sensors Installed'!$A$2:$K$1119,11,)</f>
        <v>AC1F09FFFE04E2CB</v>
      </c>
      <c r="J121" s="5" t="s">
        <v>675</v>
      </c>
      <c r="K121" s="5" t="s">
        <v>660</v>
      </c>
      <c r="L121" s="5" t="str">
        <f>VLOOKUP($K121,'Property names'!$A$1:$D$100,2,FALSE)</f>
        <v>The amount of moisture present in the soil, often expressed as a percentage of the maximum amount the soil could hold at a given temperature.</v>
      </c>
      <c r="M121" s="5" t="str">
        <f>VLOOKUP($K121,'Property names'!$A$1:$D$100,3,FALSE)</f>
        <v>Percentage</v>
      </c>
      <c r="N121" s="5" t="str">
        <f>VLOOKUP($K121,'Property names'!$A$1:$D$100,4,FALSE)</f>
        <v>%</v>
      </c>
      <c r="O121" s="5" t="str">
        <f t="shared" si="4"/>
        <v>Mazzacaddeo_I008_soil_moisture_3</v>
      </c>
      <c r="P121" s="5" t="str">
        <f t="shared" si="5"/>
        <v>The datastream containing mesures of field Mazzacaddeo by sensor I008 which measures Soil Moisture.</v>
      </c>
      <c r="Q121" s="5" t="s">
        <v>653</v>
      </c>
    </row>
    <row r="122" spans="1:17" ht="12.75">
      <c r="A122" s="5" t="s">
        <v>693</v>
      </c>
      <c r="B122" s="5" t="s">
        <v>700</v>
      </c>
      <c r="C122" s="5" t="s">
        <v>695</v>
      </c>
      <c r="D122" s="197">
        <v>39.948689999999999</v>
      </c>
      <c r="E122" s="197">
        <v>8.6801940000000002</v>
      </c>
      <c r="F122" s="5" t="s">
        <v>109</v>
      </c>
      <c r="G122" s="196" t="s">
        <v>672</v>
      </c>
      <c r="H122" s="5" t="str">
        <f>VLOOKUP(F122,'All sensors Installed'!$A$2:$K$1119,6,)</f>
        <v>ST04</v>
      </c>
      <c r="I122" s="5" t="str">
        <f>VLOOKUP(F122,'All sensors Installed'!$A$2:$K$1119,11,)</f>
        <v>AC1F09FFFE04E2CB</v>
      </c>
      <c r="J122" s="5" t="s">
        <v>676</v>
      </c>
      <c r="K122" s="5" t="s">
        <v>660</v>
      </c>
      <c r="L122" s="5" t="str">
        <f>VLOOKUP($K122,'Property names'!$A$1:$D$100,2,FALSE)</f>
        <v>The amount of moisture present in the soil, often expressed as a percentage of the maximum amount the soil could hold at a given temperature.</v>
      </c>
      <c r="M122" s="5" t="str">
        <f>VLOOKUP($K122,'Property names'!$A$1:$D$100,3,FALSE)</f>
        <v>Percentage</v>
      </c>
      <c r="N122" s="5" t="str">
        <f>VLOOKUP($K122,'Property names'!$A$1:$D$100,4,FALSE)</f>
        <v>%</v>
      </c>
      <c r="O122" s="5" t="str">
        <f t="shared" si="4"/>
        <v>Mazzacaddeo_I008_soil_moisture_4</v>
      </c>
      <c r="P122" s="5" t="str">
        <f t="shared" si="5"/>
        <v>The datastream containing mesures of field Mazzacaddeo by sensor I008 which measures Soil Moisture.</v>
      </c>
      <c r="Q122" s="5" t="s">
        <v>653</v>
      </c>
    </row>
    <row r="123" spans="1:17" ht="12.75">
      <c r="A123" s="5" t="s">
        <v>693</v>
      </c>
      <c r="B123" s="5" t="s">
        <v>700</v>
      </c>
      <c r="C123" s="5" t="s">
        <v>695</v>
      </c>
      <c r="D123" s="197">
        <v>39.948689999999999</v>
      </c>
      <c r="E123" s="197">
        <v>8.6801940000000002</v>
      </c>
      <c r="F123" s="5" t="s">
        <v>109</v>
      </c>
      <c r="G123" s="196" t="s">
        <v>672</v>
      </c>
      <c r="H123" s="5" t="str">
        <f>VLOOKUP(F123,'All sensors Installed'!$A$2:$K$1119,6,)</f>
        <v>ST04</v>
      </c>
      <c r="I123" s="5" t="str">
        <f>VLOOKUP(F123,'All sensors Installed'!$A$2:$K$1119,11,)</f>
        <v>AC1F09FFFE04E2CB</v>
      </c>
      <c r="J123" s="5" t="s">
        <v>677</v>
      </c>
      <c r="K123" s="5" t="s">
        <v>660</v>
      </c>
      <c r="L123" s="5" t="str">
        <f>VLOOKUP($K123,'Property names'!$A$1:$D$100,2,FALSE)</f>
        <v>The amount of moisture present in the soil, often expressed as a percentage of the maximum amount the soil could hold at a given temperature.</v>
      </c>
      <c r="M123" s="5" t="str">
        <f>VLOOKUP($K123,'Property names'!$A$1:$D$100,3,FALSE)</f>
        <v>Percentage</v>
      </c>
      <c r="N123" s="5" t="str">
        <f>VLOOKUP($K123,'Property names'!$A$1:$D$100,4,FALSE)</f>
        <v>%</v>
      </c>
      <c r="O123" s="5" t="str">
        <f t="shared" si="4"/>
        <v>Mazzacaddeo_I008_soil_moisture_5</v>
      </c>
      <c r="P123" s="5" t="str">
        <f t="shared" si="5"/>
        <v>The datastream containing mesures of field Mazzacaddeo by sensor I008 which measures Soil Moisture.</v>
      </c>
      <c r="Q123" s="5" t="s">
        <v>653</v>
      </c>
    </row>
    <row r="124" spans="1:17" ht="12.75">
      <c r="A124" s="5" t="s">
        <v>693</v>
      </c>
      <c r="B124" s="5" t="s">
        <v>700</v>
      </c>
      <c r="C124" s="5" t="s">
        <v>695</v>
      </c>
      <c r="D124" s="197">
        <v>39.948689999999999</v>
      </c>
      <c r="E124" s="197">
        <v>8.6801940000000002</v>
      </c>
      <c r="F124" s="5" t="s">
        <v>109</v>
      </c>
      <c r="G124" s="196" t="s">
        <v>672</v>
      </c>
      <c r="H124" s="5" t="str">
        <f>VLOOKUP(F124,'All sensors Installed'!$A$2:$K$1119,6,)</f>
        <v>ST04</v>
      </c>
      <c r="I124" s="5" t="str">
        <f>VLOOKUP(F124,'All sensors Installed'!$A$2:$K$1119,11,)</f>
        <v>AC1F09FFFE04E2CB</v>
      </c>
      <c r="J124" s="5" t="s">
        <v>678</v>
      </c>
      <c r="K124" s="5" t="s">
        <v>660</v>
      </c>
      <c r="L124" s="5" t="str">
        <f>VLOOKUP($K124,'Property names'!$A$1:$D$100,2,FALSE)</f>
        <v>The amount of moisture present in the soil, often expressed as a percentage of the maximum amount the soil could hold at a given temperature.</v>
      </c>
      <c r="M124" s="5" t="str">
        <f>VLOOKUP($K124,'Property names'!$A$1:$D$100,3,FALSE)</f>
        <v>Percentage</v>
      </c>
      <c r="N124" s="5" t="str">
        <f>VLOOKUP($K124,'Property names'!$A$1:$D$100,4,FALSE)</f>
        <v>%</v>
      </c>
      <c r="O124" s="5" t="str">
        <f t="shared" si="4"/>
        <v>Mazzacaddeo_I008_soil_moisture_6</v>
      </c>
      <c r="P124" s="5" t="str">
        <f t="shared" si="5"/>
        <v>The datastream containing mesures of field Mazzacaddeo by sensor I008 which measures Soil Moisture.</v>
      </c>
      <c r="Q124" s="5" t="s">
        <v>653</v>
      </c>
    </row>
    <row r="125" spans="1:17" ht="12.75">
      <c r="A125" s="5" t="s">
        <v>693</v>
      </c>
      <c r="B125" s="5" t="s">
        <v>700</v>
      </c>
      <c r="C125" s="5" t="s">
        <v>695</v>
      </c>
      <c r="D125" s="197">
        <v>39.948689999999999</v>
      </c>
      <c r="E125" s="197">
        <v>8.6801940000000002</v>
      </c>
      <c r="F125" s="5" t="s">
        <v>109</v>
      </c>
      <c r="G125" s="196" t="s">
        <v>672</v>
      </c>
      <c r="H125" s="5" t="str">
        <f>VLOOKUP(F125,'All sensors Installed'!$A$2:$K$1119,6,)</f>
        <v>ST04</v>
      </c>
      <c r="I125" s="5" t="str">
        <f>VLOOKUP(F125,'All sensors Installed'!$A$2:$K$1119,11,)</f>
        <v>AC1F09FFFE04E2CB</v>
      </c>
      <c r="J125" s="5" t="s">
        <v>679</v>
      </c>
      <c r="K125" s="5" t="s">
        <v>652</v>
      </c>
      <c r="L125" s="5" t="str">
        <f>VLOOKUP($K125,'Property names'!$A$1:$D$100,2,FALSE)</f>
        <v>The measure of the hotness or coldness of the air.</v>
      </c>
      <c r="M125" s="5" t="str">
        <f>VLOOKUP($K125,'Property names'!$A$1:$D$100,3,FALSE)</f>
        <v>Degrees Celsius</v>
      </c>
      <c r="N125" s="5" t="str">
        <f>VLOOKUP($K125,'Property names'!$A$1:$D$100,4,FALSE)</f>
        <v>ºC</v>
      </c>
      <c r="O125" s="5" t="str">
        <f t="shared" si="4"/>
        <v>Mazzacaddeo_I008_ambient_temperature</v>
      </c>
      <c r="P125" s="5" t="str">
        <f t="shared" si="5"/>
        <v>The datastream containing mesures of field Mazzacaddeo by sensor I008 which measures Air Temperature.</v>
      </c>
      <c r="Q125" s="5" t="s">
        <v>653</v>
      </c>
    </row>
    <row r="126" spans="1:17" ht="12.75">
      <c r="A126" s="5" t="s">
        <v>693</v>
      </c>
      <c r="B126" s="5" t="s">
        <v>700</v>
      </c>
      <c r="C126" s="5" t="s">
        <v>695</v>
      </c>
      <c r="D126" s="197">
        <v>39.948689999999999</v>
      </c>
      <c r="E126" s="197">
        <v>8.6801940000000002</v>
      </c>
      <c r="F126" s="5" t="s">
        <v>109</v>
      </c>
      <c r="G126" s="196" t="s">
        <v>672</v>
      </c>
      <c r="H126" s="5" t="str">
        <f>VLOOKUP(F126,'All sensors Installed'!$A$2:$K$1119,6,)</f>
        <v>ST04</v>
      </c>
      <c r="I126" s="5" t="str">
        <f>VLOOKUP(F126,'All sensors Installed'!$A$2:$K$1119,11,)</f>
        <v>AC1F09FFFE04E2CB</v>
      </c>
      <c r="J126" s="5" t="s">
        <v>680</v>
      </c>
      <c r="K126" s="5" t="s">
        <v>662</v>
      </c>
      <c r="L126" s="5" t="str">
        <f>VLOOKUP($K126,'Property names'!$A$1:$D$100,2,FALSE)</f>
        <v>The measure of temperature of the soil.</v>
      </c>
      <c r="M126" s="5" t="str">
        <f>VLOOKUP($K126,'Property names'!$A$1:$D$100,3,FALSE)</f>
        <v>Degrees Celsius</v>
      </c>
      <c r="N126" s="5" t="str">
        <f>VLOOKUP($K126,'Property names'!$A$1:$D$100,4,FALSE)</f>
        <v>ºC</v>
      </c>
      <c r="O126" s="5" t="str">
        <f t="shared" si="4"/>
        <v>Mazzacaddeo_I008_soil_temperature_1</v>
      </c>
      <c r="P126" s="5" t="str">
        <f t="shared" si="5"/>
        <v>The datastream containing mesures of field Mazzacaddeo by sensor I008 which measures Soil Temperature.</v>
      </c>
      <c r="Q126" s="5" t="s">
        <v>653</v>
      </c>
    </row>
    <row r="127" spans="1:17" ht="12.75">
      <c r="A127" s="5" t="s">
        <v>693</v>
      </c>
      <c r="B127" s="5" t="s">
        <v>700</v>
      </c>
      <c r="C127" s="5" t="s">
        <v>695</v>
      </c>
      <c r="D127" s="197">
        <v>39.948689999999999</v>
      </c>
      <c r="E127" s="197">
        <v>8.6801940000000002</v>
      </c>
      <c r="F127" s="5" t="s">
        <v>109</v>
      </c>
      <c r="G127" s="196" t="s">
        <v>672</v>
      </c>
      <c r="H127" s="5" t="str">
        <f>VLOOKUP(F127,'All sensors Installed'!$A$2:$K$1119,6,)</f>
        <v>ST04</v>
      </c>
      <c r="I127" s="5" t="str">
        <f>VLOOKUP(F127,'All sensors Installed'!$A$2:$K$1119,11,)</f>
        <v>AC1F09FFFE04E2CB</v>
      </c>
      <c r="J127" s="5" t="s">
        <v>681</v>
      </c>
      <c r="K127" s="5" t="s">
        <v>662</v>
      </c>
      <c r="L127" s="5" t="str">
        <f>VLOOKUP($K127,'Property names'!$A$1:$D$100,2,FALSE)</f>
        <v>The measure of temperature of the soil.</v>
      </c>
      <c r="M127" s="5" t="str">
        <f>VLOOKUP($K127,'Property names'!$A$1:$D$100,3,FALSE)</f>
        <v>Degrees Celsius</v>
      </c>
      <c r="N127" s="5" t="str">
        <f>VLOOKUP($K127,'Property names'!$A$1:$D$100,4,FALSE)</f>
        <v>ºC</v>
      </c>
      <c r="O127" s="5" t="str">
        <f t="shared" si="4"/>
        <v>Mazzacaddeo_I008_soil_temperature_2</v>
      </c>
      <c r="P127" s="5" t="str">
        <f t="shared" si="5"/>
        <v>The datastream containing mesures of field Mazzacaddeo by sensor I008 which measures Soil Temperature.</v>
      </c>
      <c r="Q127" s="5" t="s">
        <v>653</v>
      </c>
    </row>
    <row r="128" spans="1:17" ht="12.75">
      <c r="A128" s="5" t="s">
        <v>693</v>
      </c>
      <c r="B128" s="5" t="s">
        <v>700</v>
      </c>
      <c r="C128" s="5" t="s">
        <v>695</v>
      </c>
      <c r="D128" s="197">
        <v>39.948689999999999</v>
      </c>
      <c r="E128" s="197">
        <v>8.6801940000000002</v>
      </c>
      <c r="F128" s="5" t="s">
        <v>109</v>
      </c>
      <c r="G128" s="196" t="s">
        <v>672</v>
      </c>
      <c r="H128" s="5" t="str">
        <f>VLOOKUP(F128,'All sensors Installed'!$A$2:$K$1119,6,)</f>
        <v>ST04</v>
      </c>
      <c r="I128" s="5" t="str">
        <f>VLOOKUP(F128,'All sensors Installed'!$A$2:$K$1119,11,)</f>
        <v>AC1F09FFFE04E2CB</v>
      </c>
      <c r="J128" s="5" t="s">
        <v>682</v>
      </c>
      <c r="K128" s="5" t="s">
        <v>662</v>
      </c>
      <c r="L128" s="5" t="str">
        <f>VLOOKUP($K128,'Property names'!$A$1:$D$100,2,FALSE)</f>
        <v>The measure of temperature of the soil.</v>
      </c>
      <c r="M128" s="5" t="str">
        <f>VLOOKUP($K128,'Property names'!$A$1:$D$100,3,FALSE)</f>
        <v>Degrees Celsius</v>
      </c>
      <c r="N128" s="5" t="str">
        <f>VLOOKUP($K128,'Property names'!$A$1:$D$100,4,FALSE)</f>
        <v>ºC</v>
      </c>
      <c r="O128" s="5" t="str">
        <f t="shared" si="4"/>
        <v>Mazzacaddeo_I008_soil_temperature_3</v>
      </c>
      <c r="P128" s="5" t="str">
        <f t="shared" si="5"/>
        <v>The datastream containing mesures of field Mazzacaddeo by sensor I008 which measures Soil Temperature.</v>
      </c>
      <c r="Q128" s="5" t="s">
        <v>653</v>
      </c>
    </row>
    <row r="129" spans="1:17" ht="12.75">
      <c r="A129" s="5" t="s">
        <v>693</v>
      </c>
      <c r="B129" s="5" t="s">
        <v>700</v>
      </c>
      <c r="C129" s="5" t="s">
        <v>695</v>
      </c>
      <c r="D129" s="197">
        <v>39.948689999999999</v>
      </c>
      <c r="E129" s="197">
        <v>8.6801940000000002</v>
      </c>
      <c r="F129" s="5" t="s">
        <v>109</v>
      </c>
      <c r="G129" s="196" t="s">
        <v>672</v>
      </c>
      <c r="H129" s="5" t="str">
        <f>VLOOKUP(F129,'All sensors Installed'!$A$2:$K$1119,6,)</f>
        <v>ST04</v>
      </c>
      <c r="I129" s="5" t="str">
        <f>VLOOKUP(F129,'All sensors Installed'!$A$2:$K$1119,11,)</f>
        <v>AC1F09FFFE04E2CB</v>
      </c>
      <c r="J129" s="5" t="s">
        <v>683</v>
      </c>
      <c r="K129" s="5" t="s">
        <v>662</v>
      </c>
      <c r="L129" s="5" t="str">
        <f>VLOOKUP($K129,'Property names'!$A$1:$D$100,2,FALSE)</f>
        <v>The measure of temperature of the soil.</v>
      </c>
      <c r="M129" s="5" t="str">
        <f>VLOOKUP($K129,'Property names'!$A$1:$D$100,3,FALSE)</f>
        <v>Degrees Celsius</v>
      </c>
      <c r="N129" s="5" t="str">
        <f>VLOOKUP($K129,'Property names'!$A$1:$D$100,4,FALSE)</f>
        <v>ºC</v>
      </c>
      <c r="O129" s="5" t="str">
        <f t="shared" si="4"/>
        <v>Mazzacaddeo_I008_soil_temperature_4</v>
      </c>
      <c r="P129" s="5" t="str">
        <f t="shared" si="5"/>
        <v>The datastream containing mesures of field Mazzacaddeo by sensor I008 which measures Soil Temperature.</v>
      </c>
      <c r="Q129" s="5" t="s">
        <v>653</v>
      </c>
    </row>
    <row r="130" spans="1:17" ht="12.75">
      <c r="A130" s="5" t="s">
        <v>693</v>
      </c>
      <c r="B130" s="5" t="s">
        <v>700</v>
      </c>
      <c r="C130" s="5" t="s">
        <v>695</v>
      </c>
      <c r="D130" s="197">
        <v>39.948689999999999</v>
      </c>
      <c r="E130" s="197">
        <v>8.6801940000000002</v>
      </c>
      <c r="F130" s="5" t="s">
        <v>109</v>
      </c>
      <c r="G130" s="196" t="s">
        <v>672</v>
      </c>
      <c r="H130" s="5" t="str">
        <f>VLOOKUP(F130,'All sensors Installed'!$A$2:$K$1119,6,)</f>
        <v>ST04</v>
      </c>
      <c r="I130" s="5" t="str">
        <f>VLOOKUP(F130,'All sensors Installed'!$A$2:$K$1119,11,)</f>
        <v>AC1F09FFFE04E2CB</v>
      </c>
      <c r="J130" s="5" t="s">
        <v>684</v>
      </c>
      <c r="K130" s="5" t="s">
        <v>662</v>
      </c>
      <c r="L130" s="5" t="str">
        <f>VLOOKUP($K130,'Property names'!$A$1:$D$100,2,FALSE)</f>
        <v>The measure of temperature of the soil.</v>
      </c>
      <c r="M130" s="5" t="str">
        <f>VLOOKUP($K130,'Property names'!$A$1:$D$100,3,FALSE)</f>
        <v>Degrees Celsius</v>
      </c>
      <c r="N130" s="5" t="str">
        <f>VLOOKUP($K130,'Property names'!$A$1:$D$100,4,FALSE)</f>
        <v>ºC</v>
      </c>
      <c r="O130" s="5" t="str">
        <f t="shared" si="4"/>
        <v>Mazzacaddeo_I008_soil_temperature_5</v>
      </c>
      <c r="P130" s="5" t="str">
        <f t="shared" si="5"/>
        <v>The datastream containing mesures of field Mazzacaddeo by sensor I008 which measures Soil Temperature.</v>
      </c>
      <c r="Q130" s="5" t="s">
        <v>653</v>
      </c>
    </row>
    <row r="131" spans="1:17" ht="12.75">
      <c r="A131" s="5" t="s">
        <v>693</v>
      </c>
      <c r="B131" s="5" t="s">
        <v>700</v>
      </c>
      <c r="C131" s="5" t="s">
        <v>695</v>
      </c>
      <c r="D131" s="197">
        <v>39.948689999999999</v>
      </c>
      <c r="E131" s="197">
        <v>8.6801940000000002</v>
      </c>
      <c r="F131" s="5" t="s">
        <v>109</v>
      </c>
      <c r="G131" s="196" t="s">
        <v>672</v>
      </c>
      <c r="H131" s="5" t="str">
        <f>VLOOKUP(F131,'All sensors Installed'!$A$2:$K$1119,6,)</f>
        <v>ST04</v>
      </c>
      <c r="I131" s="5" t="str">
        <f>VLOOKUP(F131,'All sensors Installed'!$A$2:$K$1119,11,)</f>
        <v>AC1F09FFFE04E2CB</v>
      </c>
      <c r="J131" s="5" t="s">
        <v>685</v>
      </c>
      <c r="K131" s="5" t="s">
        <v>662</v>
      </c>
      <c r="L131" s="5" t="str">
        <f>VLOOKUP($K131,'Property names'!$A$1:$D$100,2,FALSE)</f>
        <v>The measure of temperature of the soil.</v>
      </c>
      <c r="M131" s="5" t="str">
        <f>VLOOKUP($K131,'Property names'!$A$1:$D$100,3,FALSE)</f>
        <v>Degrees Celsius</v>
      </c>
      <c r="N131" s="5" t="str">
        <f>VLOOKUP($K131,'Property names'!$A$1:$D$100,4,FALSE)</f>
        <v>ºC</v>
      </c>
      <c r="O131" s="5" t="str">
        <f t="shared" si="4"/>
        <v>Mazzacaddeo_I008_soil_temperature_6</v>
      </c>
      <c r="P131" s="5" t="str">
        <f t="shared" si="5"/>
        <v>The datastream containing mesures of field Mazzacaddeo by sensor I008 which measures Soil Temperature.</v>
      </c>
      <c r="Q131" s="5" t="s">
        <v>653</v>
      </c>
    </row>
    <row r="132" spans="1:17" ht="12.75">
      <c r="A132" s="5" t="s">
        <v>693</v>
      </c>
      <c r="B132" s="5" t="s">
        <v>701</v>
      </c>
      <c r="C132" s="5" t="s">
        <v>695</v>
      </c>
      <c r="D132" s="198">
        <v>39.71772</v>
      </c>
      <c r="E132" s="194">
        <v>8.5353300000000001</v>
      </c>
      <c r="F132" s="5" t="s">
        <v>112</v>
      </c>
      <c r="G132" s="196" t="s">
        <v>672</v>
      </c>
      <c r="H132" s="5" t="str">
        <f>VLOOKUP(F132,'All sensors Installed'!$A$2:$K$1119,6,)</f>
        <v>ST04</v>
      </c>
      <c r="I132" s="5" t="str">
        <f>VLOOKUP(F132,'All sensors Installed'!$A$2:$K$1119,11,)</f>
        <v>AC1F09FFFE04E240</v>
      </c>
      <c r="J132" s="5" t="s">
        <v>673</v>
      </c>
      <c r="K132" s="5" t="s">
        <v>660</v>
      </c>
      <c r="L132" s="5" t="str">
        <f>VLOOKUP($K132,'Property names'!$A$1:$D$100,2,FALSE)</f>
        <v>The amount of moisture present in the soil, often expressed as a percentage of the maximum amount the soil could hold at a given temperature.</v>
      </c>
      <c r="M132" s="5" t="str">
        <f>VLOOKUP($K132,'Property names'!$A$1:$D$100,3,FALSE)</f>
        <v>Percentage</v>
      </c>
      <c r="N132" s="5" t="str">
        <f>VLOOKUP($K132,'Property names'!$A$1:$D$100,4,FALSE)</f>
        <v>%</v>
      </c>
      <c r="O132" s="5" t="str">
        <f t="shared" si="4"/>
        <v>Pivetta_I009_soil_moisture_1</v>
      </c>
      <c r="P132" s="5" t="str">
        <f t="shared" si="5"/>
        <v>The datastream containing mesures of field Pivetta by sensor I009 which measures Soil Moisture.</v>
      </c>
      <c r="Q132" s="5" t="s">
        <v>653</v>
      </c>
    </row>
    <row r="133" spans="1:17" ht="12.75">
      <c r="A133" s="5" t="s">
        <v>693</v>
      </c>
      <c r="B133" s="5" t="s">
        <v>701</v>
      </c>
      <c r="C133" s="5" t="s">
        <v>695</v>
      </c>
      <c r="D133" s="198">
        <v>39.71772</v>
      </c>
      <c r="E133" s="194">
        <v>8.5353300000000001</v>
      </c>
      <c r="F133" s="5" t="s">
        <v>112</v>
      </c>
      <c r="G133" s="196" t="s">
        <v>672</v>
      </c>
      <c r="H133" s="5" t="str">
        <f>VLOOKUP(F133,'All sensors Installed'!$A$2:$K$1119,6,)</f>
        <v>ST04</v>
      </c>
      <c r="I133" s="5" t="str">
        <f>VLOOKUP(F133,'All sensors Installed'!$A$2:$K$1119,11,)</f>
        <v>AC1F09FFFE04E240</v>
      </c>
      <c r="J133" s="5" t="s">
        <v>674</v>
      </c>
      <c r="K133" s="5" t="s">
        <v>660</v>
      </c>
      <c r="L133" s="5" t="str">
        <f>VLOOKUP($K133,'Property names'!$A$1:$D$100,2,FALSE)</f>
        <v>The amount of moisture present in the soil, often expressed as a percentage of the maximum amount the soil could hold at a given temperature.</v>
      </c>
      <c r="M133" s="5" t="str">
        <f>VLOOKUP($K133,'Property names'!$A$1:$D$100,3,FALSE)</f>
        <v>Percentage</v>
      </c>
      <c r="N133" s="5" t="str">
        <f>VLOOKUP($K133,'Property names'!$A$1:$D$100,4,FALSE)</f>
        <v>%</v>
      </c>
      <c r="O133" s="5" t="str">
        <f t="shared" si="4"/>
        <v>Pivetta_I009_soil_moisture_2</v>
      </c>
      <c r="P133" s="5" t="str">
        <f t="shared" si="5"/>
        <v>The datastream containing mesures of field Pivetta by sensor I009 which measures Soil Moisture.</v>
      </c>
      <c r="Q133" s="5" t="s">
        <v>653</v>
      </c>
    </row>
    <row r="134" spans="1:17" ht="12.75">
      <c r="A134" s="5" t="s">
        <v>693</v>
      </c>
      <c r="B134" s="5" t="s">
        <v>701</v>
      </c>
      <c r="C134" s="5" t="s">
        <v>695</v>
      </c>
      <c r="D134" s="198">
        <v>39.71772</v>
      </c>
      <c r="E134" s="194">
        <v>8.5353300000000001</v>
      </c>
      <c r="F134" s="5" t="s">
        <v>112</v>
      </c>
      <c r="G134" s="196" t="s">
        <v>672</v>
      </c>
      <c r="H134" s="5" t="str">
        <f>VLOOKUP(F134,'All sensors Installed'!$A$2:$K$1119,6,)</f>
        <v>ST04</v>
      </c>
      <c r="I134" s="5" t="str">
        <f>VLOOKUP(F134,'All sensors Installed'!$A$2:$K$1119,11,)</f>
        <v>AC1F09FFFE04E240</v>
      </c>
      <c r="J134" s="5" t="s">
        <v>675</v>
      </c>
      <c r="K134" s="5" t="s">
        <v>660</v>
      </c>
      <c r="L134" s="5" t="str">
        <f>VLOOKUP($K134,'Property names'!$A$1:$D$100,2,FALSE)</f>
        <v>The amount of moisture present in the soil, often expressed as a percentage of the maximum amount the soil could hold at a given temperature.</v>
      </c>
      <c r="M134" s="5" t="str">
        <f>VLOOKUP($K134,'Property names'!$A$1:$D$100,3,FALSE)</f>
        <v>Percentage</v>
      </c>
      <c r="N134" s="5" t="str">
        <f>VLOOKUP($K134,'Property names'!$A$1:$D$100,4,FALSE)</f>
        <v>%</v>
      </c>
      <c r="O134" s="5" t="str">
        <f t="shared" si="4"/>
        <v>Pivetta_I009_soil_moisture_3</v>
      </c>
      <c r="P134" s="5" t="str">
        <f t="shared" si="5"/>
        <v>The datastream containing mesures of field Pivetta by sensor I009 which measures Soil Moisture.</v>
      </c>
      <c r="Q134" s="5" t="s">
        <v>653</v>
      </c>
    </row>
    <row r="135" spans="1:17" ht="12.75">
      <c r="A135" s="5" t="s">
        <v>693</v>
      </c>
      <c r="B135" s="5" t="s">
        <v>701</v>
      </c>
      <c r="C135" s="5" t="s">
        <v>695</v>
      </c>
      <c r="D135" s="198">
        <v>39.71772</v>
      </c>
      <c r="E135" s="194">
        <v>8.5353300000000001</v>
      </c>
      <c r="F135" s="5" t="s">
        <v>112</v>
      </c>
      <c r="G135" s="196" t="s">
        <v>672</v>
      </c>
      <c r="H135" s="5" t="str">
        <f>VLOOKUP(F135,'All sensors Installed'!$A$2:$K$1119,6,)</f>
        <v>ST04</v>
      </c>
      <c r="I135" s="5" t="str">
        <f>VLOOKUP(F135,'All sensors Installed'!$A$2:$K$1119,11,)</f>
        <v>AC1F09FFFE04E240</v>
      </c>
      <c r="J135" s="5" t="s">
        <v>676</v>
      </c>
      <c r="K135" s="5" t="s">
        <v>660</v>
      </c>
      <c r="L135" s="5" t="str">
        <f>VLOOKUP($K135,'Property names'!$A$1:$D$100,2,FALSE)</f>
        <v>The amount of moisture present in the soil, often expressed as a percentage of the maximum amount the soil could hold at a given temperature.</v>
      </c>
      <c r="M135" s="5" t="str">
        <f>VLOOKUP($K135,'Property names'!$A$1:$D$100,3,FALSE)</f>
        <v>Percentage</v>
      </c>
      <c r="N135" s="5" t="str">
        <f>VLOOKUP($K135,'Property names'!$A$1:$D$100,4,FALSE)</f>
        <v>%</v>
      </c>
      <c r="O135" s="5" t="str">
        <f t="shared" si="4"/>
        <v>Pivetta_I009_soil_moisture_4</v>
      </c>
      <c r="P135" s="5" t="str">
        <f t="shared" si="5"/>
        <v>The datastream containing mesures of field Pivetta by sensor I009 which measures Soil Moisture.</v>
      </c>
      <c r="Q135" s="5" t="s">
        <v>653</v>
      </c>
    </row>
    <row r="136" spans="1:17" ht="12.75">
      <c r="A136" s="5" t="s">
        <v>693</v>
      </c>
      <c r="B136" s="5" t="s">
        <v>701</v>
      </c>
      <c r="C136" s="5" t="s">
        <v>695</v>
      </c>
      <c r="D136" s="198">
        <v>39.71772</v>
      </c>
      <c r="E136" s="194">
        <v>8.5353300000000001</v>
      </c>
      <c r="F136" s="5" t="s">
        <v>112</v>
      </c>
      <c r="G136" s="196" t="s">
        <v>672</v>
      </c>
      <c r="H136" s="5" t="str">
        <f>VLOOKUP(F136,'All sensors Installed'!$A$2:$K$1119,6,)</f>
        <v>ST04</v>
      </c>
      <c r="I136" s="5" t="str">
        <f>VLOOKUP(F136,'All sensors Installed'!$A$2:$K$1119,11,)</f>
        <v>AC1F09FFFE04E240</v>
      </c>
      <c r="J136" s="5" t="s">
        <v>677</v>
      </c>
      <c r="K136" s="5" t="s">
        <v>660</v>
      </c>
      <c r="L136" s="5" t="str">
        <f>VLOOKUP($K136,'Property names'!$A$1:$D$100,2,FALSE)</f>
        <v>The amount of moisture present in the soil, often expressed as a percentage of the maximum amount the soil could hold at a given temperature.</v>
      </c>
      <c r="M136" s="5" t="str">
        <f>VLOOKUP($K136,'Property names'!$A$1:$D$100,3,FALSE)</f>
        <v>Percentage</v>
      </c>
      <c r="N136" s="5" t="str">
        <f>VLOOKUP($K136,'Property names'!$A$1:$D$100,4,FALSE)</f>
        <v>%</v>
      </c>
      <c r="O136" s="5" t="str">
        <f t="shared" si="4"/>
        <v>Pivetta_I009_soil_moisture_5</v>
      </c>
      <c r="P136" s="5" t="str">
        <f t="shared" si="5"/>
        <v>The datastream containing mesures of field Pivetta by sensor I009 which measures Soil Moisture.</v>
      </c>
      <c r="Q136" s="5" t="s">
        <v>653</v>
      </c>
    </row>
    <row r="137" spans="1:17" ht="12.75">
      <c r="A137" s="5" t="s">
        <v>693</v>
      </c>
      <c r="B137" s="5" t="s">
        <v>701</v>
      </c>
      <c r="C137" s="5" t="s">
        <v>695</v>
      </c>
      <c r="D137" s="198">
        <v>39.71772</v>
      </c>
      <c r="E137" s="194">
        <v>8.5353300000000001</v>
      </c>
      <c r="F137" s="5" t="s">
        <v>112</v>
      </c>
      <c r="G137" s="196" t="s">
        <v>672</v>
      </c>
      <c r="H137" s="5" t="str">
        <f>VLOOKUP(F137,'All sensors Installed'!$A$2:$K$1119,6,)</f>
        <v>ST04</v>
      </c>
      <c r="I137" s="5" t="str">
        <f>VLOOKUP(F137,'All sensors Installed'!$A$2:$K$1119,11,)</f>
        <v>AC1F09FFFE04E240</v>
      </c>
      <c r="J137" s="5" t="s">
        <v>678</v>
      </c>
      <c r="K137" s="5" t="s">
        <v>660</v>
      </c>
      <c r="L137" s="5" t="str">
        <f>VLOOKUP($K137,'Property names'!$A$1:$D$100,2,FALSE)</f>
        <v>The amount of moisture present in the soil, often expressed as a percentage of the maximum amount the soil could hold at a given temperature.</v>
      </c>
      <c r="M137" s="5" t="str">
        <f>VLOOKUP($K137,'Property names'!$A$1:$D$100,3,FALSE)</f>
        <v>Percentage</v>
      </c>
      <c r="N137" s="5" t="str">
        <f>VLOOKUP($K137,'Property names'!$A$1:$D$100,4,FALSE)</f>
        <v>%</v>
      </c>
      <c r="O137" s="5" t="str">
        <f t="shared" si="4"/>
        <v>Pivetta_I009_soil_moisture_6</v>
      </c>
      <c r="P137" s="5" t="str">
        <f t="shared" si="5"/>
        <v>The datastream containing mesures of field Pivetta by sensor I009 which measures Soil Moisture.</v>
      </c>
      <c r="Q137" s="5" t="s">
        <v>653</v>
      </c>
    </row>
    <row r="138" spans="1:17" ht="12.75">
      <c r="A138" s="5" t="s">
        <v>693</v>
      </c>
      <c r="B138" s="5" t="s">
        <v>701</v>
      </c>
      <c r="C138" s="5" t="s">
        <v>695</v>
      </c>
      <c r="D138" s="198">
        <v>39.71772</v>
      </c>
      <c r="E138" s="194">
        <v>8.5353300000000001</v>
      </c>
      <c r="F138" s="5" t="s">
        <v>112</v>
      </c>
      <c r="G138" s="196" t="s">
        <v>672</v>
      </c>
      <c r="H138" s="5" t="str">
        <f>VLOOKUP(F138,'All sensors Installed'!$A$2:$K$1119,6,)</f>
        <v>ST04</v>
      </c>
      <c r="I138" s="5" t="str">
        <f>VLOOKUP(F138,'All sensors Installed'!$A$2:$K$1119,11,)</f>
        <v>AC1F09FFFE04E240</v>
      </c>
      <c r="J138" s="5" t="s">
        <v>679</v>
      </c>
      <c r="K138" s="5" t="s">
        <v>652</v>
      </c>
      <c r="L138" s="5" t="str">
        <f>VLOOKUP($K138,'Property names'!$A$1:$D$100,2,FALSE)</f>
        <v>The measure of the hotness or coldness of the air.</v>
      </c>
      <c r="M138" s="5" t="str">
        <f>VLOOKUP($K138,'Property names'!$A$1:$D$100,3,FALSE)</f>
        <v>Degrees Celsius</v>
      </c>
      <c r="N138" s="5" t="str">
        <f>VLOOKUP($K138,'Property names'!$A$1:$D$100,4,FALSE)</f>
        <v>ºC</v>
      </c>
      <c r="O138" s="5" t="str">
        <f t="shared" si="4"/>
        <v>Pivetta_I009_ambient_temperature</v>
      </c>
      <c r="P138" s="5" t="str">
        <f t="shared" si="5"/>
        <v>The datastream containing mesures of field Pivetta by sensor I009 which measures Air Temperature.</v>
      </c>
      <c r="Q138" s="5" t="s">
        <v>653</v>
      </c>
    </row>
    <row r="139" spans="1:17" ht="12.75">
      <c r="A139" s="5" t="s">
        <v>693</v>
      </c>
      <c r="B139" s="5" t="s">
        <v>701</v>
      </c>
      <c r="C139" s="5" t="s">
        <v>695</v>
      </c>
      <c r="D139" s="198">
        <v>39.71772</v>
      </c>
      <c r="E139" s="194">
        <v>8.5353300000000001</v>
      </c>
      <c r="F139" s="5" t="s">
        <v>112</v>
      </c>
      <c r="G139" s="196" t="s">
        <v>672</v>
      </c>
      <c r="H139" s="5" t="str">
        <f>VLOOKUP(F139,'All sensors Installed'!$A$2:$K$1119,6,)</f>
        <v>ST04</v>
      </c>
      <c r="I139" s="5" t="str">
        <f>VLOOKUP(F139,'All sensors Installed'!$A$2:$K$1119,11,)</f>
        <v>AC1F09FFFE04E240</v>
      </c>
      <c r="J139" s="5" t="s">
        <v>680</v>
      </c>
      <c r="K139" s="5" t="s">
        <v>662</v>
      </c>
      <c r="L139" s="5" t="str">
        <f>VLOOKUP($K139,'Property names'!$A$1:$D$100,2,FALSE)</f>
        <v>The measure of temperature of the soil.</v>
      </c>
      <c r="M139" s="5" t="str">
        <f>VLOOKUP($K139,'Property names'!$A$1:$D$100,3,FALSE)</f>
        <v>Degrees Celsius</v>
      </c>
      <c r="N139" s="5" t="str">
        <f>VLOOKUP($K139,'Property names'!$A$1:$D$100,4,FALSE)</f>
        <v>ºC</v>
      </c>
      <c r="O139" s="5" t="str">
        <f t="shared" si="4"/>
        <v>Pivetta_I009_soil_temperature_1</v>
      </c>
      <c r="P139" s="5" t="str">
        <f t="shared" si="5"/>
        <v>The datastream containing mesures of field Pivetta by sensor I009 which measures Soil Temperature.</v>
      </c>
      <c r="Q139" s="5" t="s">
        <v>653</v>
      </c>
    </row>
    <row r="140" spans="1:17" ht="12.75">
      <c r="A140" s="5" t="s">
        <v>693</v>
      </c>
      <c r="B140" s="5" t="s">
        <v>701</v>
      </c>
      <c r="C140" s="5" t="s">
        <v>695</v>
      </c>
      <c r="D140" s="198">
        <v>39.71772</v>
      </c>
      <c r="E140" s="194">
        <v>8.5353300000000001</v>
      </c>
      <c r="F140" s="5" t="s">
        <v>112</v>
      </c>
      <c r="G140" s="196" t="s">
        <v>672</v>
      </c>
      <c r="H140" s="5" t="str">
        <f>VLOOKUP(F140,'All sensors Installed'!$A$2:$K$1119,6,)</f>
        <v>ST04</v>
      </c>
      <c r="I140" s="5" t="str">
        <f>VLOOKUP(F140,'All sensors Installed'!$A$2:$K$1119,11,)</f>
        <v>AC1F09FFFE04E240</v>
      </c>
      <c r="J140" s="5" t="s">
        <v>681</v>
      </c>
      <c r="K140" s="5" t="s">
        <v>662</v>
      </c>
      <c r="L140" s="5" t="str">
        <f>VLOOKUP($K140,'Property names'!$A$1:$D$100,2,FALSE)</f>
        <v>The measure of temperature of the soil.</v>
      </c>
      <c r="M140" s="5" t="str">
        <f>VLOOKUP($K140,'Property names'!$A$1:$D$100,3,FALSE)</f>
        <v>Degrees Celsius</v>
      </c>
      <c r="N140" s="5" t="str">
        <f>VLOOKUP($K140,'Property names'!$A$1:$D$100,4,FALSE)</f>
        <v>ºC</v>
      </c>
      <c r="O140" s="5" t="str">
        <f t="shared" si="4"/>
        <v>Pivetta_I009_soil_temperature_2</v>
      </c>
      <c r="P140" s="5" t="str">
        <f t="shared" si="5"/>
        <v>The datastream containing mesures of field Pivetta by sensor I009 which measures Soil Temperature.</v>
      </c>
      <c r="Q140" s="5" t="s">
        <v>653</v>
      </c>
    </row>
    <row r="141" spans="1:17" ht="12.75">
      <c r="A141" s="5" t="s">
        <v>693</v>
      </c>
      <c r="B141" s="5" t="s">
        <v>701</v>
      </c>
      <c r="C141" s="5" t="s">
        <v>695</v>
      </c>
      <c r="D141" s="198">
        <v>39.71772</v>
      </c>
      <c r="E141" s="194">
        <v>8.5353300000000001</v>
      </c>
      <c r="F141" s="5" t="s">
        <v>112</v>
      </c>
      <c r="G141" s="196" t="s">
        <v>672</v>
      </c>
      <c r="H141" s="5" t="str">
        <f>VLOOKUP(F141,'All sensors Installed'!$A$2:$K$1119,6,)</f>
        <v>ST04</v>
      </c>
      <c r="I141" s="5" t="str">
        <f>VLOOKUP(F141,'All sensors Installed'!$A$2:$K$1119,11,)</f>
        <v>AC1F09FFFE04E240</v>
      </c>
      <c r="J141" s="5" t="s">
        <v>682</v>
      </c>
      <c r="K141" s="5" t="s">
        <v>662</v>
      </c>
      <c r="L141" s="5" t="str">
        <f>VLOOKUP($K141,'Property names'!$A$1:$D$100,2,FALSE)</f>
        <v>The measure of temperature of the soil.</v>
      </c>
      <c r="M141" s="5" t="str">
        <f>VLOOKUP($K141,'Property names'!$A$1:$D$100,3,FALSE)</f>
        <v>Degrees Celsius</v>
      </c>
      <c r="N141" s="5" t="str">
        <f>VLOOKUP($K141,'Property names'!$A$1:$D$100,4,FALSE)</f>
        <v>ºC</v>
      </c>
      <c r="O141" s="5" t="str">
        <f t="shared" si="4"/>
        <v>Pivetta_I009_soil_temperature_3</v>
      </c>
      <c r="P141" s="5" t="str">
        <f t="shared" si="5"/>
        <v>The datastream containing mesures of field Pivetta by sensor I009 which measures Soil Temperature.</v>
      </c>
      <c r="Q141" s="5" t="s">
        <v>653</v>
      </c>
    </row>
    <row r="142" spans="1:17" ht="12.75">
      <c r="A142" s="5" t="s">
        <v>693</v>
      </c>
      <c r="B142" s="5" t="s">
        <v>701</v>
      </c>
      <c r="C142" s="5" t="s">
        <v>695</v>
      </c>
      <c r="D142" s="198">
        <v>39.71772</v>
      </c>
      <c r="E142" s="194">
        <v>8.5353300000000001</v>
      </c>
      <c r="F142" s="5" t="s">
        <v>112</v>
      </c>
      <c r="G142" s="196" t="s">
        <v>672</v>
      </c>
      <c r="H142" s="5" t="str">
        <f>VLOOKUP(F142,'All sensors Installed'!$A$2:$K$1119,6,)</f>
        <v>ST04</v>
      </c>
      <c r="I142" s="5" t="str">
        <f>VLOOKUP(F142,'All sensors Installed'!$A$2:$K$1119,11,)</f>
        <v>AC1F09FFFE04E240</v>
      </c>
      <c r="J142" s="5" t="s">
        <v>683</v>
      </c>
      <c r="K142" s="5" t="s">
        <v>662</v>
      </c>
      <c r="L142" s="5" t="str">
        <f>VLOOKUP($K142,'Property names'!$A$1:$D$100,2,FALSE)</f>
        <v>The measure of temperature of the soil.</v>
      </c>
      <c r="M142" s="5" t="str">
        <f>VLOOKUP($K142,'Property names'!$A$1:$D$100,3,FALSE)</f>
        <v>Degrees Celsius</v>
      </c>
      <c r="N142" s="5" t="str">
        <f>VLOOKUP($K142,'Property names'!$A$1:$D$100,4,FALSE)</f>
        <v>ºC</v>
      </c>
      <c r="O142" s="5" t="str">
        <f t="shared" si="4"/>
        <v>Pivetta_I009_soil_temperature_4</v>
      </c>
      <c r="P142" s="5" t="str">
        <f t="shared" si="5"/>
        <v>The datastream containing mesures of field Pivetta by sensor I009 which measures Soil Temperature.</v>
      </c>
      <c r="Q142" s="5" t="s">
        <v>653</v>
      </c>
    </row>
    <row r="143" spans="1:17" ht="12.75">
      <c r="A143" s="5" t="s">
        <v>693</v>
      </c>
      <c r="B143" s="5" t="s">
        <v>701</v>
      </c>
      <c r="C143" s="5" t="s">
        <v>695</v>
      </c>
      <c r="D143" s="198">
        <v>39.71772</v>
      </c>
      <c r="E143" s="194">
        <v>8.5353300000000001</v>
      </c>
      <c r="F143" s="5" t="s">
        <v>112</v>
      </c>
      <c r="G143" s="196" t="s">
        <v>672</v>
      </c>
      <c r="H143" s="5" t="str">
        <f>VLOOKUP(F143,'All sensors Installed'!$A$2:$K$1119,6,)</f>
        <v>ST04</v>
      </c>
      <c r="I143" s="5" t="str">
        <f>VLOOKUP(F143,'All sensors Installed'!$A$2:$K$1119,11,)</f>
        <v>AC1F09FFFE04E240</v>
      </c>
      <c r="J143" s="5" t="s">
        <v>684</v>
      </c>
      <c r="K143" s="5" t="s">
        <v>662</v>
      </c>
      <c r="L143" s="5" t="str">
        <f>VLOOKUP($K143,'Property names'!$A$1:$D$100,2,FALSE)</f>
        <v>The measure of temperature of the soil.</v>
      </c>
      <c r="M143" s="5" t="str">
        <f>VLOOKUP($K143,'Property names'!$A$1:$D$100,3,FALSE)</f>
        <v>Degrees Celsius</v>
      </c>
      <c r="N143" s="5" t="str">
        <f>VLOOKUP($K143,'Property names'!$A$1:$D$100,4,FALSE)</f>
        <v>ºC</v>
      </c>
      <c r="O143" s="5" t="str">
        <f t="shared" si="4"/>
        <v>Pivetta_I009_soil_temperature_5</v>
      </c>
      <c r="P143" s="5" t="str">
        <f t="shared" si="5"/>
        <v>The datastream containing mesures of field Pivetta by sensor I009 which measures Soil Temperature.</v>
      </c>
      <c r="Q143" s="5" t="s">
        <v>653</v>
      </c>
    </row>
    <row r="144" spans="1:17" ht="12.75">
      <c r="A144" s="5" t="s">
        <v>693</v>
      </c>
      <c r="B144" s="5" t="s">
        <v>701</v>
      </c>
      <c r="C144" s="5" t="s">
        <v>695</v>
      </c>
      <c r="D144" s="198">
        <v>39.71772</v>
      </c>
      <c r="E144" s="194">
        <v>8.5353300000000001</v>
      </c>
      <c r="F144" s="5" t="s">
        <v>112</v>
      </c>
      <c r="G144" s="196" t="s">
        <v>672</v>
      </c>
      <c r="H144" s="5" t="str">
        <f>VLOOKUP(F144,'All sensors Installed'!$A$2:$K$1119,6,)</f>
        <v>ST04</v>
      </c>
      <c r="I144" s="5" t="str">
        <f>VLOOKUP(F144,'All sensors Installed'!$A$2:$K$1119,11,)</f>
        <v>AC1F09FFFE04E240</v>
      </c>
      <c r="J144" s="5" t="s">
        <v>685</v>
      </c>
      <c r="K144" s="5" t="s">
        <v>662</v>
      </c>
      <c r="L144" s="5" t="str">
        <f>VLOOKUP($K144,'Property names'!$A$1:$D$100,2,FALSE)</f>
        <v>The measure of temperature of the soil.</v>
      </c>
      <c r="M144" s="5" t="str">
        <f>VLOOKUP($K144,'Property names'!$A$1:$D$100,3,FALSE)</f>
        <v>Degrees Celsius</v>
      </c>
      <c r="N144" s="5" t="str">
        <f>VLOOKUP($K144,'Property names'!$A$1:$D$100,4,FALSE)</f>
        <v>ºC</v>
      </c>
      <c r="O144" s="5" t="str">
        <f t="shared" si="4"/>
        <v>Pivetta_I009_soil_temperature_6</v>
      </c>
      <c r="P144" s="5" t="str">
        <f t="shared" si="5"/>
        <v>The datastream containing mesures of field Pivetta by sensor I009 which measures Soil Temperature.</v>
      </c>
      <c r="Q144" s="5" t="s">
        <v>653</v>
      </c>
    </row>
    <row r="145" spans="1:17" ht="12.75">
      <c r="A145" s="5" t="s">
        <v>693</v>
      </c>
      <c r="B145" s="5" t="s">
        <v>701</v>
      </c>
      <c r="C145" s="5" t="s">
        <v>695</v>
      </c>
      <c r="D145" s="198">
        <v>39.71772</v>
      </c>
      <c r="E145" s="194">
        <v>8.5353300000000001</v>
      </c>
      <c r="F145" s="5" t="s">
        <v>115</v>
      </c>
      <c r="G145" s="196" t="s">
        <v>672</v>
      </c>
      <c r="H145" s="5" t="str">
        <f>VLOOKUP(F145,'All sensors Installed'!$A$2:$K$1119,6,)</f>
        <v>ST04</v>
      </c>
      <c r="I145" s="5" t="str">
        <f>VLOOKUP(F145,'All sensors Installed'!$A$2:$K$1119,11,)</f>
        <v>AC1F09FFFE04E312</v>
      </c>
      <c r="J145" s="5" t="s">
        <v>673</v>
      </c>
      <c r="K145" s="5" t="s">
        <v>660</v>
      </c>
      <c r="L145" s="5" t="str">
        <f>VLOOKUP($K145,'Property names'!$A$1:$D$100,2,FALSE)</f>
        <v>The amount of moisture present in the soil, often expressed as a percentage of the maximum amount the soil could hold at a given temperature.</v>
      </c>
      <c r="M145" s="5" t="str">
        <f>VLOOKUP($K145,'Property names'!$A$1:$D$100,3,FALSE)</f>
        <v>Percentage</v>
      </c>
      <c r="N145" s="5" t="str">
        <f>VLOOKUP($K145,'Property names'!$A$1:$D$100,4,FALSE)</f>
        <v>%</v>
      </c>
      <c r="O145" s="5" t="str">
        <f t="shared" si="4"/>
        <v>Pivetta_I010_soil_moisture_1</v>
      </c>
      <c r="P145" s="5" t="str">
        <f t="shared" si="5"/>
        <v>The datastream containing mesures of field Pivetta by sensor I010 which measures Soil Moisture.</v>
      </c>
      <c r="Q145" s="5" t="s">
        <v>653</v>
      </c>
    </row>
    <row r="146" spans="1:17" ht="12.75">
      <c r="A146" s="5" t="s">
        <v>693</v>
      </c>
      <c r="B146" s="5" t="s">
        <v>701</v>
      </c>
      <c r="C146" s="5" t="s">
        <v>695</v>
      </c>
      <c r="D146" s="198">
        <v>39.71772</v>
      </c>
      <c r="E146" s="194">
        <v>8.5353300000000001</v>
      </c>
      <c r="F146" s="5" t="s">
        <v>115</v>
      </c>
      <c r="G146" s="196" t="s">
        <v>672</v>
      </c>
      <c r="H146" s="5" t="str">
        <f>VLOOKUP(F146,'All sensors Installed'!$A$2:$K$1119,6,)</f>
        <v>ST04</v>
      </c>
      <c r="I146" s="5" t="str">
        <f>VLOOKUP(F146,'All sensors Installed'!$A$2:$K$1119,11,)</f>
        <v>AC1F09FFFE04E312</v>
      </c>
      <c r="J146" s="5" t="s">
        <v>674</v>
      </c>
      <c r="K146" s="5" t="s">
        <v>660</v>
      </c>
      <c r="L146" s="5" t="str">
        <f>VLOOKUP($K146,'Property names'!$A$1:$D$100,2,FALSE)</f>
        <v>The amount of moisture present in the soil, often expressed as a percentage of the maximum amount the soil could hold at a given temperature.</v>
      </c>
      <c r="M146" s="5" t="str">
        <f>VLOOKUP($K146,'Property names'!$A$1:$D$100,3,FALSE)</f>
        <v>Percentage</v>
      </c>
      <c r="N146" s="5" t="str">
        <f>VLOOKUP($K146,'Property names'!$A$1:$D$100,4,FALSE)</f>
        <v>%</v>
      </c>
      <c r="O146" s="5" t="str">
        <f t="shared" si="4"/>
        <v>Pivetta_I010_soil_moisture_2</v>
      </c>
      <c r="P146" s="5" t="str">
        <f t="shared" si="5"/>
        <v>The datastream containing mesures of field Pivetta by sensor I010 which measures Soil Moisture.</v>
      </c>
      <c r="Q146" s="5" t="s">
        <v>653</v>
      </c>
    </row>
    <row r="147" spans="1:17" ht="12.75">
      <c r="A147" s="5" t="s">
        <v>693</v>
      </c>
      <c r="B147" s="5" t="s">
        <v>701</v>
      </c>
      <c r="C147" s="5" t="s">
        <v>695</v>
      </c>
      <c r="D147" s="198">
        <v>39.71772</v>
      </c>
      <c r="E147" s="194">
        <v>8.5353300000000001</v>
      </c>
      <c r="F147" s="5" t="s">
        <v>115</v>
      </c>
      <c r="G147" s="196" t="s">
        <v>672</v>
      </c>
      <c r="H147" s="5" t="str">
        <f>VLOOKUP(F147,'All sensors Installed'!$A$2:$K$1119,6,)</f>
        <v>ST04</v>
      </c>
      <c r="I147" s="5" t="str">
        <f>VLOOKUP(F147,'All sensors Installed'!$A$2:$K$1119,11,)</f>
        <v>AC1F09FFFE04E312</v>
      </c>
      <c r="J147" s="5" t="s">
        <v>675</v>
      </c>
      <c r="K147" s="5" t="s">
        <v>660</v>
      </c>
      <c r="L147" s="5" t="str">
        <f>VLOOKUP($K147,'Property names'!$A$1:$D$100,2,FALSE)</f>
        <v>The amount of moisture present in the soil, often expressed as a percentage of the maximum amount the soil could hold at a given temperature.</v>
      </c>
      <c r="M147" s="5" t="str">
        <f>VLOOKUP($K147,'Property names'!$A$1:$D$100,3,FALSE)</f>
        <v>Percentage</v>
      </c>
      <c r="N147" s="5" t="str">
        <f>VLOOKUP($K147,'Property names'!$A$1:$D$100,4,FALSE)</f>
        <v>%</v>
      </c>
      <c r="O147" s="5" t="str">
        <f t="shared" si="4"/>
        <v>Pivetta_I010_soil_moisture_3</v>
      </c>
      <c r="P147" s="5" t="str">
        <f t="shared" si="5"/>
        <v>The datastream containing mesures of field Pivetta by sensor I010 which measures Soil Moisture.</v>
      </c>
      <c r="Q147" s="5" t="s">
        <v>653</v>
      </c>
    </row>
    <row r="148" spans="1:17" ht="12.75">
      <c r="A148" s="5" t="s">
        <v>693</v>
      </c>
      <c r="B148" s="5" t="s">
        <v>701</v>
      </c>
      <c r="C148" s="5" t="s">
        <v>695</v>
      </c>
      <c r="D148" s="198">
        <v>39.71772</v>
      </c>
      <c r="E148" s="194">
        <v>8.5353300000000001</v>
      </c>
      <c r="F148" s="5" t="s">
        <v>115</v>
      </c>
      <c r="G148" s="196" t="s">
        <v>672</v>
      </c>
      <c r="H148" s="5" t="str">
        <f>VLOOKUP(F148,'All sensors Installed'!$A$2:$K$1119,6,)</f>
        <v>ST04</v>
      </c>
      <c r="I148" s="5" t="str">
        <f>VLOOKUP(F148,'All sensors Installed'!$A$2:$K$1119,11,)</f>
        <v>AC1F09FFFE04E312</v>
      </c>
      <c r="J148" s="5" t="s">
        <v>676</v>
      </c>
      <c r="K148" s="5" t="s">
        <v>660</v>
      </c>
      <c r="L148" s="5" t="str">
        <f>VLOOKUP($K148,'Property names'!$A$1:$D$100,2,FALSE)</f>
        <v>The amount of moisture present in the soil, often expressed as a percentage of the maximum amount the soil could hold at a given temperature.</v>
      </c>
      <c r="M148" s="5" t="str">
        <f>VLOOKUP($K148,'Property names'!$A$1:$D$100,3,FALSE)</f>
        <v>Percentage</v>
      </c>
      <c r="N148" s="5" t="str">
        <f>VLOOKUP($K148,'Property names'!$A$1:$D$100,4,FALSE)</f>
        <v>%</v>
      </c>
      <c r="O148" s="5" t="str">
        <f t="shared" si="4"/>
        <v>Pivetta_I010_soil_moisture_4</v>
      </c>
      <c r="P148" s="5" t="str">
        <f t="shared" si="5"/>
        <v>The datastream containing mesures of field Pivetta by sensor I010 which measures Soil Moisture.</v>
      </c>
      <c r="Q148" s="5" t="s">
        <v>653</v>
      </c>
    </row>
    <row r="149" spans="1:17" ht="12.75">
      <c r="A149" s="5" t="s">
        <v>693</v>
      </c>
      <c r="B149" s="5" t="s">
        <v>701</v>
      </c>
      <c r="C149" s="5" t="s">
        <v>695</v>
      </c>
      <c r="D149" s="198">
        <v>39.71772</v>
      </c>
      <c r="E149" s="194">
        <v>8.5353300000000001</v>
      </c>
      <c r="F149" s="5" t="s">
        <v>115</v>
      </c>
      <c r="G149" s="196" t="s">
        <v>672</v>
      </c>
      <c r="H149" s="5" t="str">
        <f>VLOOKUP(F149,'All sensors Installed'!$A$2:$K$1119,6,)</f>
        <v>ST04</v>
      </c>
      <c r="I149" s="5" t="str">
        <f>VLOOKUP(F149,'All sensors Installed'!$A$2:$K$1119,11,)</f>
        <v>AC1F09FFFE04E312</v>
      </c>
      <c r="J149" s="5" t="s">
        <v>677</v>
      </c>
      <c r="K149" s="5" t="s">
        <v>660</v>
      </c>
      <c r="L149" s="5" t="str">
        <f>VLOOKUP($K149,'Property names'!$A$1:$D$100,2,FALSE)</f>
        <v>The amount of moisture present in the soil, often expressed as a percentage of the maximum amount the soil could hold at a given temperature.</v>
      </c>
      <c r="M149" s="5" t="str">
        <f>VLOOKUP($K149,'Property names'!$A$1:$D$100,3,FALSE)</f>
        <v>Percentage</v>
      </c>
      <c r="N149" s="5" t="str">
        <f>VLOOKUP($K149,'Property names'!$A$1:$D$100,4,FALSE)</f>
        <v>%</v>
      </c>
      <c r="O149" s="5" t="str">
        <f t="shared" si="4"/>
        <v>Pivetta_I010_soil_moisture_5</v>
      </c>
      <c r="P149" s="5" t="str">
        <f t="shared" si="5"/>
        <v>The datastream containing mesures of field Pivetta by sensor I010 which measures Soil Moisture.</v>
      </c>
      <c r="Q149" s="5" t="s">
        <v>653</v>
      </c>
    </row>
    <row r="150" spans="1:17" ht="12.75">
      <c r="A150" s="5" t="s">
        <v>693</v>
      </c>
      <c r="B150" s="5" t="s">
        <v>701</v>
      </c>
      <c r="C150" s="5" t="s">
        <v>695</v>
      </c>
      <c r="D150" s="198">
        <v>39.71772</v>
      </c>
      <c r="E150" s="194">
        <v>8.5353300000000001</v>
      </c>
      <c r="F150" s="5" t="s">
        <v>115</v>
      </c>
      <c r="G150" s="196" t="s">
        <v>672</v>
      </c>
      <c r="H150" s="5" t="str">
        <f>VLOOKUP(F150,'All sensors Installed'!$A$2:$K$1119,6,)</f>
        <v>ST04</v>
      </c>
      <c r="I150" s="5" t="str">
        <f>VLOOKUP(F150,'All sensors Installed'!$A$2:$K$1119,11,)</f>
        <v>AC1F09FFFE04E312</v>
      </c>
      <c r="J150" s="5" t="s">
        <v>678</v>
      </c>
      <c r="K150" s="5" t="s">
        <v>660</v>
      </c>
      <c r="L150" s="5" t="str">
        <f>VLOOKUP($K150,'Property names'!$A$1:$D$100,2,FALSE)</f>
        <v>The amount of moisture present in the soil, often expressed as a percentage of the maximum amount the soil could hold at a given temperature.</v>
      </c>
      <c r="M150" s="5" t="str">
        <f>VLOOKUP($K150,'Property names'!$A$1:$D$100,3,FALSE)</f>
        <v>Percentage</v>
      </c>
      <c r="N150" s="5" t="str">
        <f>VLOOKUP($K150,'Property names'!$A$1:$D$100,4,FALSE)</f>
        <v>%</v>
      </c>
      <c r="O150" s="5" t="str">
        <f t="shared" si="4"/>
        <v>Pivetta_I010_soil_moisture_6</v>
      </c>
      <c r="P150" s="5" t="str">
        <f t="shared" si="5"/>
        <v>The datastream containing mesures of field Pivetta by sensor I010 which measures Soil Moisture.</v>
      </c>
      <c r="Q150" s="5" t="s">
        <v>653</v>
      </c>
    </row>
    <row r="151" spans="1:17" ht="12.75">
      <c r="A151" s="5" t="s">
        <v>693</v>
      </c>
      <c r="B151" s="5" t="s">
        <v>701</v>
      </c>
      <c r="C151" s="5" t="s">
        <v>695</v>
      </c>
      <c r="D151" s="198">
        <v>39.71772</v>
      </c>
      <c r="E151" s="194">
        <v>8.5353300000000001</v>
      </c>
      <c r="F151" s="5" t="s">
        <v>115</v>
      </c>
      <c r="G151" s="196" t="s">
        <v>672</v>
      </c>
      <c r="H151" s="5" t="str">
        <f>VLOOKUP(F151,'All sensors Installed'!$A$2:$K$1119,6,)</f>
        <v>ST04</v>
      </c>
      <c r="I151" s="5" t="str">
        <f>VLOOKUP(F151,'All sensors Installed'!$A$2:$K$1119,11,)</f>
        <v>AC1F09FFFE04E312</v>
      </c>
      <c r="J151" s="5" t="s">
        <v>679</v>
      </c>
      <c r="K151" s="5" t="s">
        <v>652</v>
      </c>
      <c r="L151" s="5" t="str">
        <f>VLOOKUP($K151,'Property names'!$A$1:$D$100,2,FALSE)</f>
        <v>The measure of the hotness or coldness of the air.</v>
      </c>
      <c r="M151" s="5" t="str">
        <f>VLOOKUP($K151,'Property names'!$A$1:$D$100,3,FALSE)</f>
        <v>Degrees Celsius</v>
      </c>
      <c r="N151" s="5" t="str">
        <f>VLOOKUP($K151,'Property names'!$A$1:$D$100,4,FALSE)</f>
        <v>ºC</v>
      </c>
      <c r="O151" s="5" t="str">
        <f t="shared" si="4"/>
        <v>Pivetta_I010_ambient_temperature</v>
      </c>
      <c r="P151" s="5" t="str">
        <f t="shared" si="5"/>
        <v>The datastream containing mesures of field Pivetta by sensor I010 which measures Air Temperature.</v>
      </c>
      <c r="Q151" s="5" t="s">
        <v>653</v>
      </c>
    </row>
    <row r="152" spans="1:17" ht="12.75">
      <c r="A152" s="5" t="s">
        <v>693</v>
      </c>
      <c r="B152" s="5" t="s">
        <v>701</v>
      </c>
      <c r="C152" s="5" t="s">
        <v>695</v>
      </c>
      <c r="D152" s="198">
        <v>39.71772</v>
      </c>
      <c r="E152" s="194">
        <v>8.5353300000000001</v>
      </c>
      <c r="F152" s="5" t="s">
        <v>115</v>
      </c>
      <c r="G152" s="196" t="s">
        <v>672</v>
      </c>
      <c r="H152" s="5" t="str">
        <f>VLOOKUP(F152,'All sensors Installed'!$A$2:$K$1119,6,)</f>
        <v>ST04</v>
      </c>
      <c r="I152" s="5" t="str">
        <f>VLOOKUP(F152,'All sensors Installed'!$A$2:$K$1119,11,)</f>
        <v>AC1F09FFFE04E312</v>
      </c>
      <c r="J152" s="5" t="s">
        <v>680</v>
      </c>
      <c r="K152" s="5" t="s">
        <v>662</v>
      </c>
      <c r="L152" s="5" t="str">
        <f>VLOOKUP($K152,'Property names'!$A$1:$D$100,2,FALSE)</f>
        <v>The measure of temperature of the soil.</v>
      </c>
      <c r="M152" s="5" t="str">
        <f>VLOOKUP($K152,'Property names'!$A$1:$D$100,3,FALSE)</f>
        <v>Degrees Celsius</v>
      </c>
      <c r="N152" s="5" t="str">
        <f>VLOOKUP($K152,'Property names'!$A$1:$D$100,4,FALSE)</f>
        <v>ºC</v>
      </c>
      <c r="O152" s="5" t="str">
        <f t="shared" si="4"/>
        <v>Pivetta_I010_soil_temperature_1</v>
      </c>
      <c r="P152" s="5" t="str">
        <f t="shared" si="5"/>
        <v>The datastream containing mesures of field Pivetta by sensor I010 which measures Soil Temperature.</v>
      </c>
      <c r="Q152" s="5" t="s">
        <v>653</v>
      </c>
    </row>
    <row r="153" spans="1:17" ht="12.75">
      <c r="A153" s="5" t="s">
        <v>693</v>
      </c>
      <c r="B153" s="5" t="s">
        <v>701</v>
      </c>
      <c r="C153" s="5" t="s">
        <v>695</v>
      </c>
      <c r="D153" s="198">
        <v>39.71772</v>
      </c>
      <c r="E153" s="194">
        <v>8.5353300000000001</v>
      </c>
      <c r="F153" s="5" t="s">
        <v>115</v>
      </c>
      <c r="G153" s="196" t="s">
        <v>672</v>
      </c>
      <c r="H153" s="5" t="str">
        <f>VLOOKUP(F153,'All sensors Installed'!$A$2:$K$1119,6,)</f>
        <v>ST04</v>
      </c>
      <c r="I153" s="5" t="str">
        <f>VLOOKUP(F153,'All sensors Installed'!$A$2:$K$1119,11,)</f>
        <v>AC1F09FFFE04E312</v>
      </c>
      <c r="J153" s="5" t="s">
        <v>681</v>
      </c>
      <c r="K153" s="5" t="s">
        <v>662</v>
      </c>
      <c r="L153" s="5" t="str">
        <f>VLOOKUP($K153,'Property names'!$A$1:$D$100,2,FALSE)</f>
        <v>The measure of temperature of the soil.</v>
      </c>
      <c r="M153" s="5" t="str">
        <f>VLOOKUP($K153,'Property names'!$A$1:$D$100,3,FALSE)</f>
        <v>Degrees Celsius</v>
      </c>
      <c r="N153" s="5" t="str">
        <f>VLOOKUP($K153,'Property names'!$A$1:$D$100,4,FALSE)</f>
        <v>ºC</v>
      </c>
      <c r="O153" s="5" t="str">
        <f t="shared" si="4"/>
        <v>Pivetta_I010_soil_temperature_2</v>
      </c>
      <c r="P153" s="5" t="str">
        <f t="shared" si="5"/>
        <v>The datastream containing mesures of field Pivetta by sensor I010 which measures Soil Temperature.</v>
      </c>
      <c r="Q153" s="5" t="s">
        <v>653</v>
      </c>
    </row>
    <row r="154" spans="1:17" ht="12.75">
      <c r="A154" s="5" t="s">
        <v>693</v>
      </c>
      <c r="B154" s="5" t="s">
        <v>701</v>
      </c>
      <c r="C154" s="5" t="s">
        <v>695</v>
      </c>
      <c r="D154" s="198">
        <v>39.71772</v>
      </c>
      <c r="E154" s="194">
        <v>8.5353300000000001</v>
      </c>
      <c r="F154" s="5" t="s">
        <v>115</v>
      </c>
      <c r="G154" s="196" t="s">
        <v>672</v>
      </c>
      <c r="H154" s="5" t="str">
        <f>VLOOKUP(F154,'All sensors Installed'!$A$2:$K$1119,6,)</f>
        <v>ST04</v>
      </c>
      <c r="I154" s="5" t="str">
        <f>VLOOKUP(F154,'All sensors Installed'!$A$2:$K$1119,11,)</f>
        <v>AC1F09FFFE04E312</v>
      </c>
      <c r="J154" s="5" t="s">
        <v>682</v>
      </c>
      <c r="K154" s="5" t="s">
        <v>662</v>
      </c>
      <c r="L154" s="5" t="str">
        <f>VLOOKUP($K154,'Property names'!$A$1:$D$100,2,FALSE)</f>
        <v>The measure of temperature of the soil.</v>
      </c>
      <c r="M154" s="5" t="str">
        <f>VLOOKUP($K154,'Property names'!$A$1:$D$100,3,FALSE)</f>
        <v>Degrees Celsius</v>
      </c>
      <c r="N154" s="5" t="str">
        <f>VLOOKUP($K154,'Property names'!$A$1:$D$100,4,FALSE)</f>
        <v>ºC</v>
      </c>
      <c r="O154" s="5" t="str">
        <f t="shared" si="4"/>
        <v>Pivetta_I010_soil_temperature_3</v>
      </c>
      <c r="P154" s="5" t="str">
        <f t="shared" si="5"/>
        <v>The datastream containing mesures of field Pivetta by sensor I010 which measures Soil Temperature.</v>
      </c>
      <c r="Q154" s="5" t="s">
        <v>653</v>
      </c>
    </row>
    <row r="155" spans="1:17" ht="12.75">
      <c r="A155" s="5" t="s">
        <v>693</v>
      </c>
      <c r="B155" s="5" t="s">
        <v>701</v>
      </c>
      <c r="C155" s="5" t="s">
        <v>695</v>
      </c>
      <c r="D155" s="198">
        <v>39.71772</v>
      </c>
      <c r="E155" s="194">
        <v>8.5353300000000001</v>
      </c>
      <c r="F155" s="5" t="s">
        <v>115</v>
      </c>
      <c r="G155" s="196" t="s">
        <v>672</v>
      </c>
      <c r="H155" s="5" t="str">
        <f>VLOOKUP(F155,'All sensors Installed'!$A$2:$K$1119,6,)</f>
        <v>ST04</v>
      </c>
      <c r="I155" s="5" t="str">
        <f>VLOOKUP(F155,'All sensors Installed'!$A$2:$K$1119,11,)</f>
        <v>AC1F09FFFE04E312</v>
      </c>
      <c r="J155" s="5" t="s">
        <v>683</v>
      </c>
      <c r="K155" s="5" t="s">
        <v>662</v>
      </c>
      <c r="L155" s="5" t="str">
        <f>VLOOKUP($K155,'Property names'!$A$1:$D$100,2,FALSE)</f>
        <v>The measure of temperature of the soil.</v>
      </c>
      <c r="M155" s="5" t="str">
        <f>VLOOKUP($K155,'Property names'!$A$1:$D$100,3,FALSE)</f>
        <v>Degrees Celsius</v>
      </c>
      <c r="N155" s="5" t="str">
        <f>VLOOKUP($K155,'Property names'!$A$1:$D$100,4,FALSE)</f>
        <v>ºC</v>
      </c>
      <c r="O155" s="5" t="str">
        <f t="shared" si="4"/>
        <v>Pivetta_I010_soil_temperature_4</v>
      </c>
      <c r="P155" s="5" t="str">
        <f t="shared" si="5"/>
        <v>The datastream containing mesures of field Pivetta by sensor I010 which measures Soil Temperature.</v>
      </c>
      <c r="Q155" s="5" t="s">
        <v>653</v>
      </c>
    </row>
    <row r="156" spans="1:17" ht="12.75">
      <c r="A156" s="5" t="s">
        <v>693</v>
      </c>
      <c r="B156" s="5" t="s">
        <v>701</v>
      </c>
      <c r="C156" s="5" t="s">
        <v>695</v>
      </c>
      <c r="D156" s="198">
        <v>39.71772</v>
      </c>
      <c r="E156" s="194">
        <v>8.5353300000000001</v>
      </c>
      <c r="F156" s="5" t="s">
        <v>115</v>
      </c>
      <c r="G156" s="196" t="s">
        <v>672</v>
      </c>
      <c r="H156" s="5" t="str">
        <f>VLOOKUP(F156,'All sensors Installed'!$A$2:$K$1119,6,)</f>
        <v>ST04</v>
      </c>
      <c r="I156" s="5" t="str">
        <f>VLOOKUP(F156,'All sensors Installed'!$A$2:$K$1119,11,)</f>
        <v>AC1F09FFFE04E312</v>
      </c>
      <c r="J156" s="5" t="s">
        <v>684</v>
      </c>
      <c r="K156" s="5" t="s">
        <v>662</v>
      </c>
      <c r="L156" s="5" t="str">
        <f>VLOOKUP($K156,'Property names'!$A$1:$D$100,2,FALSE)</f>
        <v>The measure of temperature of the soil.</v>
      </c>
      <c r="M156" s="5" t="str">
        <f>VLOOKUP($K156,'Property names'!$A$1:$D$100,3,FALSE)</f>
        <v>Degrees Celsius</v>
      </c>
      <c r="N156" s="5" t="str">
        <f>VLOOKUP($K156,'Property names'!$A$1:$D$100,4,FALSE)</f>
        <v>ºC</v>
      </c>
      <c r="O156" s="5" t="str">
        <f t="shared" si="4"/>
        <v>Pivetta_I010_soil_temperature_5</v>
      </c>
      <c r="P156" s="5" t="str">
        <f t="shared" si="5"/>
        <v>The datastream containing mesures of field Pivetta by sensor I010 which measures Soil Temperature.</v>
      </c>
      <c r="Q156" s="5" t="s">
        <v>653</v>
      </c>
    </row>
    <row r="157" spans="1:17" ht="12.75">
      <c r="A157" s="5" t="s">
        <v>693</v>
      </c>
      <c r="B157" s="5" t="s">
        <v>701</v>
      </c>
      <c r="C157" s="5" t="s">
        <v>695</v>
      </c>
      <c r="D157" s="198">
        <v>39.71772</v>
      </c>
      <c r="E157" s="194">
        <v>8.5353300000000001</v>
      </c>
      <c r="F157" s="5" t="s">
        <v>115</v>
      </c>
      <c r="G157" s="196" t="s">
        <v>672</v>
      </c>
      <c r="H157" s="5" t="str">
        <f>VLOOKUP(F157,'All sensors Installed'!$A$2:$K$1119,6,)</f>
        <v>ST04</v>
      </c>
      <c r="I157" s="5" t="str">
        <f>VLOOKUP(F157,'All sensors Installed'!$A$2:$K$1119,11,)</f>
        <v>AC1F09FFFE04E312</v>
      </c>
      <c r="J157" s="5" t="s">
        <v>685</v>
      </c>
      <c r="K157" s="5" t="s">
        <v>662</v>
      </c>
      <c r="L157" s="5" t="str">
        <f>VLOOKUP($K157,'Property names'!$A$1:$D$100,2,FALSE)</f>
        <v>The measure of temperature of the soil.</v>
      </c>
      <c r="M157" s="5" t="str">
        <f>VLOOKUP($K157,'Property names'!$A$1:$D$100,3,FALSE)</f>
        <v>Degrees Celsius</v>
      </c>
      <c r="N157" s="5" t="str">
        <f>VLOOKUP($K157,'Property names'!$A$1:$D$100,4,FALSE)</f>
        <v>ºC</v>
      </c>
      <c r="O157" s="5" t="str">
        <f t="shared" si="4"/>
        <v>Pivetta_I010_soil_temperature_6</v>
      </c>
      <c r="P157" s="5" t="str">
        <f t="shared" si="5"/>
        <v>The datastream containing mesures of field Pivetta by sensor I010 which measures Soil Temperature.</v>
      </c>
      <c r="Q157" s="5" t="s">
        <v>653</v>
      </c>
    </row>
    <row r="158" spans="1:17" ht="12.75">
      <c r="A158" s="5" t="s">
        <v>693</v>
      </c>
      <c r="B158" s="5" t="s">
        <v>697</v>
      </c>
      <c r="C158" s="5" t="s">
        <v>695</v>
      </c>
      <c r="D158" s="5">
        <v>39.944890000000001</v>
      </c>
      <c r="E158" s="5">
        <v>8.6972500000000004</v>
      </c>
      <c r="F158" s="5" t="s">
        <v>118</v>
      </c>
      <c r="G158" s="5" t="s">
        <v>702</v>
      </c>
      <c r="H158" s="5" t="s">
        <v>120</v>
      </c>
      <c r="I158" s="5" t="str">
        <f>VLOOKUP(F158,'All sensors Installed'!$A$2:$K$1119,11,)</f>
        <v>78D800B023960378</v>
      </c>
      <c r="J158" s="5" t="s">
        <v>703</v>
      </c>
      <c r="K158" s="5" t="s">
        <v>667</v>
      </c>
      <c r="L158" s="5" t="str">
        <f>VLOOKUP($K158,'Property names'!$A$1:$D$100,2,FALSE)</f>
        <v>The number of pulses read by flowmeter. Depending on flowmeter configuration it could correspond to a different number of cubic meter of water</v>
      </c>
      <c r="M158" s="5" t="str">
        <f>VLOOKUP($K158,'Property names'!$A$1:$D$100,3,FALSE)</f>
        <v>Number of pulses</v>
      </c>
      <c r="N158" s="5" t="str">
        <f>VLOOKUP($K158,'Property names'!$A$1:$D$100,4,FALSE)</f>
        <v>N/A</v>
      </c>
      <c r="O158" s="5" t="str">
        <f t="shared" si="4"/>
        <v>Centro_Aziendale_I011_water_count</v>
      </c>
      <c r="P158" s="5" t="str">
        <f t="shared" si="5"/>
        <v>The datastream containing mesures of field Centro Aziendale by sensor I011 which measures Flowmeter pulses.</v>
      </c>
      <c r="Q158" s="5" t="s">
        <v>653</v>
      </c>
    </row>
    <row r="159" spans="1:17" ht="12.75">
      <c r="A159" s="199" t="s">
        <v>693</v>
      </c>
      <c r="B159" s="26" t="s">
        <v>697</v>
      </c>
      <c r="C159" s="26" t="s">
        <v>695</v>
      </c>
      <c r="D159" s="5">
        <v>39.944890000000001</v>
      </c>
      <c r="E159" s="5">
        <v>8.6972500000000004</v>
      </c>
      <c r="F159" s="26" t="s">
        <v>118</v>
      </c>
      <c r="G159" s="26" t="s">
        <v>702</v>
      </c>
      <c r="H159" s="26" t="s">
        <v>120</v>
      </c>
      <c r="I159" s="200" t="str">
        <f>VLOOKUP(F159,'All sensors Installed'!$A$2:$K$1119,11,)</f>
        <v>78D800B023960378</v>
      </c>
      <c r="J159" s="26" t="s">
        <v>704</v>
      </c>
      <c r="K159" s="26" t="s">
        <v>705</v>
      </c>
      <c r="L159" s="26" t="str">
        <f>VLOOKUP($K159,'Property names'!$A$1:$D$100,2,FALSE)</f>
        <v>Incremental counting of water passed by the flowmeter</v>
      </c>
      <c r="M159" s="26" t="str">
        <f>VLOOKUP($K159,'Property names'!$A$1:$D$100,3,FALSE)</f>
        <v>Cubic meters</v>
      </c>
      <c r="N159" s="26" t="str">
        <f>VLOOKUP($K159,'Property names'!$A$1:$D$100,4,FALSE)</f>
        <v>m^3</v>
      </c>
      <c r="O159" s="26" t="str">
        <f t="shared" si="4"/>
        <v>Centro_Aziendale_I011_water_count_m3</v>
      </c>
      <c r="P159" s="26" t="str">
        <f t="shared" si="5"/>
        <v>The datastream containing mesures of field Centro Aziendale by sensor I011 which measures Water count m^3.</v>
      </c>
      <c r="Q159" s="26" t="s">
        <v>653</v>
      </c>
    </row>
    <row r="160" spans="1:17" ht="12.75">
      <c r="A160" s="5" t="s">
        <v>693</v>
      </c>
      <c r="B160" s="5" t="s">
        <v>700</v>
      </c>
      <c r="C160" s="5" t="s">
        <v>695</v>
      </c>
      <c r="D160" s="5">
        <v>39.948689999999999</v>
      </c>
      <c r="E160" s="5">
        <v>8.6801940000000002</v>
      </c>
      <c r="F160" s="5" t="s">
        <v>128</v>
      </c>
      <c r="G160" s="5" t="s">
        <v>702</v>
      </c>
      <c r="H160" s="5" t="s">
        <v>120</v>
      </c>
      <c r="I160" s="5" t="str">
        <f>VLOOKUP(F160,'All sensors Installed'!$A$2:$K$1119,11,)</f>
        <v>78D800B023960380</v>
      </c>
      <c r="J160" s="5" t="s">
        <v>703</v>
      </c>
      <c r="K160" s="5" t="s">
        <v>667</v>
      </c>
      <c r="L160" s="5" t="str">
        <f>VLOOKUP($K160,'Property names'!$A$1:$D$100,2,FALSE)</f>
        <v>The number of pulses read by flowmeter. Depending on flowmeter configuration it could correspond to a different number of cubic meter of water</v>
      </c>
      <c r="M160" s="5" t="str">
        <f>VLOOKUP($K160,'Property names'!$A$1:$D$100,3,FALSE)</f>
        <v>Number of pulses</v>
      </c>
      <c r="N160" s="5" t="str">
        <f>VLOOKUP($K160,'Property names'!$A$1:$D$100,4,FALSE)</f>
        <v>N/A</v>
      </c>
      <c r="O160" s="5" t="str">
        <f t="shared" si="4"/>
        <v>Mazzacaddeo_I013_water_count</v>
      </c>
      <c r="P160" s="5" t="str">
        <f t="shared" si="5"/>
        <v>The datastream containing mesures of field Mazzacaddeo by sensor I013 which measures Flowmeter pulses.</v>
      </c>
      <c r="Q160" s="5" t="s">
        <v>653</v>
      </c>
    </row>
    <row r="161" spans="1:17" ht="12.75">
      <c r="A161" s="5" t="s">
        <v>693</v>
      </c>
      <c r="B161" s="5" t="s">
        <v>700</v>
      </c>
      <c r="C161" s="5" t="s">
        <v>695</v>
      </c>
      <c r="D161" s="5">
        <v>39.948689999999999</v>
      </c>
      <c r="E161" s="5">
        <v>8.6801940000000002</v>
      </c>
      <c r="F161" s="5" t="s">
        <v>128</v>
      </c>
      <c r="G161" s="5" t="s">
        <v>702</v>
      </c>
      <c r="H161" s="5" t="s">
        <v>120</v>
      </c>
      <c r="I161" s="5" t="str">
        <f>VLOOKUP(F161,'All sensors Installed'!$A$2:$K$1119,11,)</f>
        <v>78D800B023960380</v>
      </c>
      <c r="J161" s="5" t="s">
        <v>704</v>
      </c>
      <c r="K161" s="5" t="s">
        <v>705</v>
      </c>
      <c r="L161" s="5" t="str">
        <f>VLOOKUP($K161,'Property names'!$A$1:$D$100,2,FALSE)</f>
        <v>Incremental counting of water passed by the flowmeter</v>
      </c>
      <c r="M161" s="5" t="str">
        <f>VLOOKUP($K161,'Property names'!$A$1:$D$100,3,FALSE)</f>
        <v>Cubic meters</v>
      </c>
      <c r="N161" s="5" t="str">
        <f>VLOOKUP($K161,'Property names'!$A$1:$D$100,4,FALSE)</f>
        <v>m^3</v>
      </c>
      <c r="O161" s="5" t="str">
        <f t="shared" si="4"/>
        <v>Mazzacaddeo_I013_water_count_m3</v>
      </c>
      <c r="P161" s="5" t="str">
        <f t="shared" si="5"/>
        <v>The datastream containing mesures of field Mazzacaddeo by sensor I013 which measures Water count m^3.</v>
      </c>
      <c r="Q161" s="5" t="s">
        <v>653</v>
      </c>
    </row>
    <row r="162" spans="1:17" ht="12.75">
      <c r="A162" s="5" t="s">
        <v>693</v>
      </c>
      <c r="B162" s="5" t="s">
        <v>699</v>
      </c>
      <c r="C162" s="5" t="s">
        <v>695</v>
      </c>
      <c r="D162" s="5">
        <v>39.948529999999998</v>
      </c>
      <c r="E162" s="5">
        <v>8.6819170000000003</v>
      </c>
      <c r="F162" s="5" t="s">
        <v>132</v>
      </c>
      <c r="G162" s="5" t="s">
        <v>702</v>
      </c>
      <c r="H162" s="5" t="s">
        <v>120</v>
      </c>
      <c r="I162" s="5" t="str">
        <f>VLOOKUP(F162,'All sensors Installed'!$A$2:$K$1119,11,)</f>
        <v>78D800B023960381</v>
      </c>
      <c r="J162" s="5" t="s">
        <v>703</v>
      </c>
      <c r="K162" s="5" t="s">
        <v>667</v>
      </c>
      <c r="L162" s="5" t="str">
        <f>VLOOKUP($K162,'Property names'!$A$1:$D$100,2,FALSE)</f>
        <v>The number of pulses read by flowmeter. Depending on flowmeter configuration it could correspond to a different number of cubic meter of water</v>
      </c>
      <c r="M162" s="5" t="str">
        <f>VLOOKUP($K162,'Property names'!$A$1:$D$100,3,FALSE)</f>
        <v>Number of pulses</v>
      </c>
      <c r="N162" s="5" t="str">
        <f>VLOOKUP($K162,'Property names'!$A$1:$D$100,4,FALSE)</f>
        <v>N/A</v>
      </c>
      <c r="O162" s="5" t="str">
        <f t="shared" si="4"/>
        <v>Perra_2_I014_water_count</v>
      </c>
      <c r="P162" s="5" t="str">
        <f t="shared" si="5"/>
        <v>The datastream containing mesures of field Perra 2 by sensor I014 which measures Flowmeter pulses.</v>
      </c>
      <c r="Q162" s="5" t="s">
        <v>653</v>
      </c>
    </row>
    <row r="163" spans="1:17" ht="12.75">
      <c r="A163" s="199" t="s">
        <v>693</v>
      </c>
      <c r="B163" s="26" t="s">
        <v>699</v>
      </c>
      <c r="C163" s="26" t="s">
        <v>695</v>
      </c>
      <c r="D163" s="5">
        <v>39.948529999999998</v>
      </c>
      <c r="E163" s="5">
        <v>8.6819170000000003</v>
      </c>
      <c r="F163" s="26" t="s">
        <v>132</v>
      </c>
      <c r="G163" s="26" t="s">
        <v>702</v>
      </c>
      <c r="H163" s="26" t="s">
        <v>120</v>
      </c>
      <c r="I163" s="200" t="str">
        <f>VLOOKUP(F163,'All sensors Installed'!$A$2:$K$1119,11,)</f>
        <v>78D800B023960381</v>
      </c>
      <c r="J163" s="26" t="s">
        <v>704</v>
      </c>
      <c r="K163" s="26" t="s">
        <v>705</v>
      </c>
      <c r="L163" s="26" t="str">
        <f>VLOOKUP($K163,'Property names'!$A$1:$D$100,2,FALSE)</f>
        <v>Incremental counting of water passed by the flowmeter</v>
      </c>
      <c r="M163" s="26" t="str">
        <f>VLOOKUP($K163,'Property names'!$A$1:$D$100,3,FALSE)</f>
        <v>Cubic meters</v>
      </c>
      <c r="N163" s="26" t="str">
        <f>VLOOKUP($K163,'Property names'!$A$1:$D$100,4,FALSE)</f>
        <v>m^3</v>
      </c>
      <c r="O163" s="26" t="str">
        <f t="shared" si="4"/>
        <v>Perra_2_I014_water_count_m3</v>
      </c>
      <c r="P163" s="26" t="str">
        <f t="shared" si="5"/>
        <v>The datastream containing mesures of field Perra 2 by sensor I014 which measures Water count m^3.</v>
      </c>
      <c r="Q163" s="26" t="s">
        <v>653</v>
      </c>
    </row>
    <row r="164" spans="1:17" ht="12.75">
      <c r="A164" s="5" t="s">
        <v>693</v>
      </c>
      <c r="B164" s="5" t="s">
        <v>694</v>
      </c>
      <c r="C164" s="5" t="s">
        <v>695</v>
      </c>
      <c r="D164" s="5">
        <v>39.775970000000001</v>
      </c>
      <c r="E164" s="5">
        <v>8.5490300000000001</v>
      </c>
      <c r="F164" s="5" t="s">
        <v>136</v>
      </c>
      <c r="G164" s="5" t="s">
        <v>702</v>
      </c>
      <c r="H164" s="5" t="s">
        <v>120</v>
      </c>
      <c r="I164" s="5" t="str">
        <f>VLOOKUP(F164,'All sensors Installed'!$A$2:$K$1119,11,)</f>
        <v>78D800B023960382</v>
      </c>
      <c r="J164" s="5" t="s">
        <v>703</v>
      </c>
      <c r="K164" s="5" t="s">
        <v>667</v>
      </c>
      <c r="L164" s="5" t="str">
        <f>VLOOKUP($K164,'Property names'!$A$1:$D$100,2,FALSE)</f>
        <v>The number of pulses read by flowmeter. Depending on flowmeter configuration it could correspond to a different number of cubic meter of water</v>
      </c>
      <c r="M164" s="5" t="str">
        <f>VLOOKUP($K164,'Property names'!$A$1:$D$100,3,FALSE)</f>
        <v>Number of pulses</v>
      </c>
      <c r="N164" s="5" t="str">
        <f>VLOOKUP($K164,'Property names'!$A$1:$D$100,4,FALSE)</f>
        <v>N/A</v>
      </c>
      <c r="O164" s="5" t="str">
        <f t="shared" si="4"/>
        <v>Torresan_I015_water_count</v>
      </c>
      <c r="P164" s="5" t="str">
        <f t="shared" si="5"/>
        <v>The datastream containing mesures of field Torresan by sensor I015 which measures Flowmeter pulses.</v>
      </c>
      <c r="Q164" s="5" t="s">
        <v>653</v>
      </c>
    </row>
    <row r="165" spans="1:17" ht="12.75">
      <c r="A165" s="199" t="s">
        <v>693</v>
      </c>
      <c r="B165" s="26" t="s">
        <v>694</v>
      </c>
      <c r="C165" s="26" t="s">
        <v>695</v>
      </c>
      <c r="D165" s="5">
        <v>39.775970000000001</v>
      </c>
      <c r="E165" s="5">
        <v>8.5490300000000001</v>
      </c>
      <c r="F165" s="26" t="s">
        <v>136</v>
      </c>
      <c r="G165" s="26" t="s">
        <v>702</v>
      </c>
      <c r="H165" s="26" t="s">
        <v>120</v>
      </c>
      <c r="I165" s="200" t="str">
        <f>VLOOKUP(F165,'All sensors Installed'!$A$2:$K$1119,11,)</f>
        <v>78D800B023960382</v>
      </c>
      <c r="J165" s="26" t="s">
        <v>704</v>
      </c>
      <c r="K165" s="26" t="s">
        <v>705</v>
      </c>
      <c r="L165" s="26" t="str">
        <f>VLOOKUP($K165,'Property names'!$A$1:$D$100,2,FALSE)</f>
        <v>Incremental counting of water passed by the flowmeter</v>
      </c>
      <c r="M165" s="26" t="str">
        <f>VLOOKUP($K165,'Property names'!$A$1:$D$100,3,FALSE)</f>
        <v>Cubic meters</v>
      </c>
      <c r="N165" s="26" t="str">
        <f>VLOOKUP($K165,'Property names'!$A$1:$D$100,4,FALSE)</f>
        <v>m^3</v>
      </c>
      <c r="O165" s="26" t="str">
        <f t="shared" si="4"/>
        <v>Torresan_I015_water_count_m3</v>
      </c>
      <c r="P165" s="26" t="str">
        <f t="shared" si="5"/>
        <v>The datastream containing mesures of field Torresan by sensor I015 which measures Water count m^3.</v>
      </c>
      <c r="Q165" s="26" t="s">
        <v>653</v>
      </c>
    </row>
    <row r="166" spans="1:17" ht="12.75">
      <c r="A166" s="5" t="s">
        <v>693</v>
      </c>
      <c r="B166" s="5" t="s">
        <v>694</v>
      </c>
      <c r="C166" s="5" t="s">
        <v>695</v>
      </c>
      <c r="D166" s="5">
        <v>39.776139999999998</v>
      </c>
      <c r="E166" s="5">
        <v>8.5485000000000007</v>
      </c>
      <c r="F166" s="5" t="s">
        <v>140</v>
      </c>
      <c r="G166" s="5" t="s">
        <v>702</v>
      </c>
      <c r="H166" s="5" t="s">
        <v>120</v>
      </c>
      <c r="I166" s="5" t="str">
        <f>VLOOKUP(F166,'All sensors Installed'!$A$2:$K$1119,11,)</f>
        <v>78D800B023960383</v>
      </c>
      <c r="J166" s="5" t="s">
        <v>703</v>
      </c>
      <c r="K166" s="5" t="s">
        <v>667</v>
      </c>
      <c r="L166" s="5" t="str">
        <f>VLOOKUP($K166,'Property names'!$A$1:$D$100,2,FALSE)</f>
        <v>The number of pulses read by flowmeter. Depending on flowmeter configuration it could correspond to a different number of cubic meter of water</v>
      </c>
      <c r="M166" s="5" t="str">
        <f>VLOOKUP($K166,'Property names'!$A$1:$D$100,3,FALSE)</f>
        <v>Number of pulses</v>
      </c>
      <c r="N166" s="5" t="str">
        <f>VLOOKUP($K166,'Property names'!$A$1:$D$100,4,FALSE)</f>
        <v>N/A</v>
      </c>
      <c r="O166" s="5" t="str">
        <f t="shared" si="4"/>
        <v>Torresan_I016_water_count</v>
      </c>
      <c r="P166" s="5" t="str">
        <f t="shared" si="5"/>
        <v>The datastream containing mesures of field Torresan by sensor I016 which measures Flowmeter pulses.</v>
      </c>
      <c r="Q166" s="5" t="s">
        <v>653</v>
      </c>
    </row>
    <row r="167" spans="1:17" ht="12.75">
      <c r="A167" s="199" t="s">
        <v>693</v>
      </c>
      <c r="B167" s="26" t="s">
        <v>694</v>
      </c>
      <c r="C167" s="26" t="s">
        <v>695</v>
      </c>
      <c r="D167" s="5">
        <v>39.776139999999998</v>
      </c>
      <c r="E167" s="5">
        <v>8.5485000000000007</v>
      </c>
      <c r="F167" s="26" t="s">
        <v>140</v>
      </c>
      <c r="G167" s="26" t="s">
        <v>702</v>
      </c>
      <c r="H167" s="26" t="s">
        <v>120</v>
      </c>
      <c r="I167" s="200" t="str">
        <f>VLOOKUP(F167,'All sensors Installed'!$A$2:$K$1119,11,)</f>
        <v>78D800B023960383</v>
      </c>
      <c r="J167" s="26" t="s">
        <v>704</v>
      </c>
      <c r="K167" s="26" t="s">
        <v>705</v>
      </c>
      <c r="L167" s="26" t="str">
        <f>VLOOKUP($K167,'Property names'!$A$1:$D$100,2,FALSE)</f>
        <v>Incremental counting of water passed by the flowmeter</v>
      </c>
      <c r="M167" s="26" t="str">
        <f>VLOOKUP($K167,'Property names'!$A$1:$D$100,3,FALSE)</f>
        <v>Cubic meters</v>
      </c>
      <c r="N167" s="26" t="str">
        <f>VLOOKUP($K167,'Property names'!$A$1:$D$100,4,FALSE)</f>
        <v>m^3</v>
      </c>
      <c r="O167" s="26" t="str">
        <f t="shared" si="4"/>
        <v>Torresan_I016_water_count_m3</v>
      </c>
      <c r="P167" s="26" t="str">
        <f t="shared" si="5"/>
        <v>The datastream containing mesures of field Torresan by sensor I016 which measures Water count m^3.</v>
      </c>
      <c r="Q167" s="26" t="s">
        <v>653</v>
      </c>
    </row>
    <row r="168" spans="1:17" ht="12.75">
      <c r="A168" s="5" t="s">
        <v>693</v>
      </c>
      <c r="B168" s="5" t="s">
        <v>696</v>
      </c>
      <c r="C168" s="5" t="s">
        <v>695</v>
      </c>
      <c r="D168" s="5">
        <v>39.761029999999998</v>
      </c>
      <c r="E168" s="5">
        <v>8.5806939999999994</v>
      </c>
      <c r="F168" s="5" t="s">
        <v>144</v>
      </c>
      <c r="G168" s="5" t="s">
        <v>702</v>
      </c>
      <c r="H168" s="5" t="s">
        <v>120</v>
      </c>
      <c r="I168" s="5" t="str">
        <f>VLOOKUP(F168,'All sensors Installed'!$A$2:$K$1119,11,)</f>
        <v>78D800B023960384</v>
      </c>
      <c r="J168" s="5" t="s">
        <v>703</v>
      </c>
      <c r="K168" s="5" t="s">
        <v>667</v>
      </c>
      <c r="L168" s="5" t="str">
        <f>VLOOKUP($K168,'Property names'!$A$1:$D$100,2,FALSE)</f>
        <v>The number of pulses read by flowmeter. Depending on flowmeter configuration it could correspond to a different number of cubic meter of water</v>
      </c>
      <c r="M168" s="5" t="str">
        <f>VLOOKUP($K168,'Property names'!$A$1:$D$100,3,FALSE)</f>
        <v>Number of pulses</v>
      </c>
      <c r="N168" s="5" t="str">
        <f>VLOOKUP($K168,'Property names'!$A$1:$D$100,4,FALSE)</f>
        <v>N/A</v>
      </c>
      <c r="O168" s="5" t="str">
        <f t="shared" si="4"/>
        <v>Pinos_I017_water_count</v>
      </c>
      <c r="P168" s="5" t="str">
        <f t="shared" si="5"/>
        <v>The datastream containing mesures of field Pinos by sensor I017 which measures Flowmeter pulses.</v>
      </c>
      <c r="Q168" s="5" t="s">
        <v>653</v>
      </c>
    </row>
    <row r="169" spans="1:17" ht="12.75">
      <c r="A169" s="199" t="s">
        <v>693</v>
      </c>
      <c r="B169" s="26" t="s">
        <v>696</v>
      </c>
      <c r="C169" s="26" t="s">
        <v>695</v>
      </c>
      <c r="D169" s="5">
        <v>39.761029999999998</v>
      </c>
      <c r="E169" s="5">
        <v>8.5806939999999994</v>
      </c>
      <c r="F169" s="26" t="s">
        <v>144</v>
      </c>
      <c r="G169" s="26" t="s">
        <v>702</v>
      </c>
      <c r="H169" s="26" t="s">
        <v>120</v>
      </c>
      <c r="I169" s="200" t="str">
        <f>VLOOKUP(F169,'All sensors Installed'!$A$2:$K$1119,11,)</f>
        <v>78D800B023960384</v>
      </c>
      <c r="J169" s="26" t="s">
        <v>704</v>
      </c>
      <c r="K169" s="26" t="s">
        <v>705</v>
      </c>
      <c r="L169" s="26" t="str">
        <f>VLOOKUP($K169,'Property names'!$A$1:$D$100,2,FALSE)</f>
        <v>Incremental counting of water passed by the flowmeter</v>
      </c>
      <c r="M169" s="26" t="str">
        <f>VLOOKUP($K169,'Property names'!$A$1:$D$100,3,FALSE)</f>
        <v>Cubic meters</v>
      </c>
      <c r="N169" s="26" t="str">
        <f>VLOOKUP($K169,'Property names'!$A$1:$D$100,4,FALSE)</f>
        <v>m^3</v>
      </c>
      <c r="O169" s="26" t="str">
        <f t="shared" si="4"/>
        <v>Pinos_I017_water_count_m3</v>
      </c>
      <c r="P169" s="26" t="str">
        <f t="shared" si="5"/>
        <v>The datastream containing mesures of field Pinos by sensor I017 which measures Water count m^3.</v>
      </c>
      <c r="Q169" s="26" t="s">
        <v>653</v>
      </c>
    </row>
    <row r="170" spans="1:17" ht="12.75">
      <c r="A170" s="5" t="s">
        <v>693</v>
      </c>
      <c r="B170" s="5" t="s">
        <v>696</v>
      </c>
      <c r="C170" s="5" t="s">
        <v>695</v>
      </c>
      <c r="D170" s="5">
        <v>39.761389999999999</v>
      </c>
      <c r="E170" s="5">
        <v>8.5815000000000001</v>
      </c>
      <c r="F170" s="5" t="s">
        <v>148</v>
      </c>
      <c r="G170" s="5" t="s">
        <v>702</v>
      </c>
      <c r="H170" s="5" t="s">
        <v>120</v>
      </c>
      <c r="I170" s="5" t="str">
        <f>VLOOKUP(F170,'All sensors Installed'!$A$2:$K$1119,11,)</f>
        <v>78D800B023960385</v>
      </c>
      <c r="J170" s="5" t="s">
        <v>703</v>
      </c>
      <c r="K170" s="5" t="s">
        <v>667</v>
      </c>
      <c r="L170" s="5" t="str">
        <f>VLOOKUP($K170,'Property names'!$A$1:$D$100,2,FALSE)</f>
        <v>The number of pulses read by flowmeter. Depending on flowmeter configuration it could correspond to a different number of cubic meter of water</v>
      </c>
      <c r="M170" s="5" t="str">
        <f>VLOOKUP($K170,'Property names'!$A$1:$D$100,3,FALSE)</f>
        <v>Number of pulses</v>
      </c>
      <c r="N170" s="5" t="str">
        <f>VLOOKUP($K170,'Property names'!$A$1:$D$100,4,FALSE)</f>
        <v>N/A</v>
      </c>
      <c r="O170" s="5" t="str">
        <f t="shared" si="4"/>
        <v>Pinos_I018_water_count</v>
      </c>
      <c r="P170" s="5" t="str">
        <f t="shared" si="5"/>
        <v>The datastream containing mesures of field Pinos by sensor I018 which measures Flowmeter pulses.</v>
      </c>
      <c r="Q170" s="5" t="s">
        <v>653</v>
      </c>
    </row>
    <row r="171" spans="1:17" ht="12.75">
      <c r="A171" s="199" t="s">
        <v>693</v>
      </c>
      <c r="B171" s="26" t="s">
        <v>696</v>
      </c>
      <c r="C171" s="26" t="s">
        <v>695</v>
      </c>
      <c r="D171" s="5">
        <v>39.761389999999999</v>
      </c>
      <c r="E171" s="5">
        <v>8.5815000000000001</v>
      </c>
      <c r="F171" s="26" t="s">
        <v>148</v>
      </c>
      <c r="G171" s="26" t="s">
        <v>702</v>
      </c>
      <c r="H171" s="26" t="s">
        <v>120</v>
      </c>
      <c r="I171" s="200" t="str">
        <f>VLOOKUP(F171,'All sensors Installed'!$A$2:$K$1119,11,)</f>
        <v>78D800B023960385</v>
      </c>
      <c r="J171" s="26" t="s">
        <v>704</v>
      </c>
      <c r="K171" s="26" t="s">
        <v>705</v>
      </c>
      <c r="L171" s="26" t="str">
        <f>VLOOKUP($K171,'Property names'!$A$1:$D$100,2,FALSE)</f>
        <v>Incremental counting of water passed by the flowmeter</v>
      </c>
      <c r="M171" s="26" t="str">
        <f>VLOOKUP($K171,'Property names'!$A$1:$D$100,3,FALSE)</f>
        <v>Cubic meters</v>
      </c>
      <c r="N171" s="26" t="str">
        <f>VLOOKUP($K171,'Property names'!$A$1:$D$100,4,FALSE)</f>
        <v>m^3</v>
      </c>
      <c r="O171" s="26" t="str">
        <f t="shared" si="4"/>
        <v>Pinos_I018_water_count_m3</v>
      </c>
      <c r="P171" s="26" t="str">
        <f t="shared" si="5"/>
        <v>The datastream containing mesures of field Pinos by sensor I018 which measures Water count m^3.</v>
      </c>
      <c r="Q171" s="26" t="s">
        <v>653</v>
      </c>
    </row>
    <row r="172" spans="1:17" ht="12.75">
      <c r="A172" s="201" t="s">
        <v>693</v>
      </c>
      <c r="B172" s="5" t="s">
        <v>701</v>
      </c>
      <c r="C172" s="5" t="s">
        <v>695</v>
      </c>
      <c r="D172" s="202">
        <v>39.71772</v>
      </c>
      <c r="E172" s="194">
        <v>8.5353300000000001</v>
      </c>
      <c r="F172" s="5" t="s">
        <v>152</v>
      </c>
      <c r="G172" s="5" t="s">
        <v>702</v>
      </c>
      <c r="H172" s="5" t="s">
        <v>120</v>
      </c>
      <c r="I172" s="5" t="str">
        <f>VLOOKUP(F172,'All sensors Installed'!$A$2:$K$1119,11,)</f>
        <v>78D800B023960386</v>
      </c>
      <c r="J172" s="5" t="s">
        <v>703</v>
      </c>
      <c r="K172" s="5" t="s">
        <v>667</v>
      </c>
      <c r="L172" s="5" t="str">
        <f>VLOOKUP($K172,'Property names'!$A$1:$D$100,2,FALSE)</f>
        <v>The number of pulses read by flowmeter. Depending on flowmeter configuration it could correspond to a different number of cubic meter of water</v>
      </c>
      <c r="M172" s="5" t="str">
        <f>VLOOKUP($K172,'Property names'!$A$1:$D$100,3,FALSE)</f>
        <v>Number of pulses</v>
      </c>
      <c r="N172" s="5" t="str">
        <f>VLOOKUP($K172,'Property names'!$A$1:$D$100,4,FALSE)</f>
        <v>N/A</v>
      </c>
      <c r="O172" s="5" t="str">
        <f t="shared" si="4"/>
        <v>Pivetta_I019_water_count</v>
      </c>
      <c r="P172" s="5" t="str">
        <f t="shared" si="5"/>
        <v>The datastream containing mesures of field Pivetta by sensor I019 which measures Flowmeter pulses.</v>
      </c>
      <c r="Q172" s="5" t="s">
        <v>653</v>
      </c>
    </row>
    <row r="173" spans="1:17" ht="12.75">
      <c r="A173" s="199" t="s">
        <v>693</v>
      </c>
      <c r="B173" s="26" t="s">
        <v>701</v>
      </c>
      <c r="C173" s="26" t="s">
        <v>695</v>
      </c>
      <c r="D173" s="202">
        <v>39.71772</v>
      </c>
      <c r="E173" s="194">
        <v>8.5353300000000001</v>
      </c>
      <c r="F173" s="26" t="s">
        <v>152</v>
      </c>
      <c r="G173" s="26" t="s">
        <v>702</v>
      </c>
      <c r="H173" s="26" t="s">
        <v>120</v>
      </c>
      <c r="I173" s="203" t="str">
        <f>VLOOKUP(F173,'All sensors Installed'!$A$2:$K$1119,11,)</f>
        <v>78D800B023960386</v>
      </c>
      <c r="J173" s="26" t="s">
        <v>704</v>
      </c>
      <c r="K173" s="26" t="s">
        <v>705</v>
      </c>
      <c r="L173" s="26" t="str">
        <f>VLOOKUP($K173,'Property names'!$A$1:$D$100,2,FALSE)</f>
        <v>Incremental counting of water passed by the flowmeter</v>
      </c>
      <c r="M173" s="26" t="str">
        <f>VLOOKUP($K173,'Property names'!$A$1:$D$100,3,FALSE)</f>
        <v>Cubic meters</v>
      </c>
      <c r="N173" s="26" t="str">
        <f>VLOOKUP($K173,'Property names'!$A$1:$D$100,4,FALSE)</f>
        <v>m^3</v>
      </c>
      <c r="O173" s="26" t="str">
        <f t="shared" si="4"/>
        <v>Pivetta_I019_water_count_m3</v>
      </c>
      <c r="P173" s="26" t="str">
        <f t="shared" si="5"/>
        <v>The datastream containing mesures of field Pivetta by sensor I019 which measures Water count m^3.</v>
      </c>
      <c r="Q173" s="26" t="s">
        <v>653</v>
      </c>
    </row>
    <row r="174" spans="1:17" ht="12.75">
      <c r="A174" s="201" t="s">
        <v>693</v>
      </c>
      <c r="B174" s="5" t="s">
        <v>701</v>
      </c>
      <c r="C174" s="5" t="s">
        <v>695</v>
      </c>
      <c r="D174" s="202">
        <v>39.184699999999999</v>
      </c>
      <c r="E174" s="194">
        <v>8.5352999999999994</v>
      </c>
      <c r="F174" s="5" t="s">
        <v>156</v>
      </c>
      <c r="G174" s="5" t="s">
        <v>702</v>
      </c>
      <c r="H174" s="5" t="s">
        <v>120</v>
      </c>
      <c r="I174" s="5" t="str">
        <f>VLOOKUP(F174,'All sensors Installed'!$A$2:$K$1119,11,)</f>
        <v>78D800B023960387</v>
      </c>
      <c r="J174" s="5" t="s">
        <v>703</v>
      </c>
      <c r="K174" s="5" t="s">
        <v>667</v>
      </c>
      <c r="L174" s="5" t="str">
        <f>VLOOKUP($K174,'Property names'!$A$1:$D$100,2,FALSE)</f>
        <v>The number of pulses read by flowmeter. Depending on flowmeter configuration it could correspond to a different number of cubic meter of water</v>
      </c>
      <c r="M174" s="5" t="str">
        <f>VLOOKUP($K174,'Property names'!$A$1:$D$100,3,FALSE)</f>
        <v>Number of pulses</v>
      </c>
      <c r="N174" s="5" t="str">
        <f>VLOOKUP($K174,'Property names'!$A$1:$D$100,4,FALSE)</f>
        <v>N/A</v>
      </c>
      <c r="O174" s="5" t="str">
        <f t="shared" si="4"/>
        <v>Pivetta_I020_water_count</v>
      </c>
      <c r="P174" s="5" t="str">
        <f t="shared" si="5"/>
        <v>The datastream containing mesures of field Pivetta by sensor I020 which measures Flowmeter pulses.</v>
      </c>
      <c r="Q174" s="5" t="s">
        <v>653</v>
      </c>
    </row>
    <row r="175" spans="1:17" ht="12.75">
      <c r="A175" s="199" t="s">
        <v>693</v>
      </c>
      <c r="B175" s="26" t="s">
        <v>701</v>
      </c>
      <c r="C175" s="26" t="s">
        <v>695</v>
      </c>
      <c r="D175" s="202">
        <v>39.184699999999999</v>
      </c>
      <c r="E175" s="194">
        <v>8.5352999999999994</v>
      </c>
      <c r="F175" s="26" t="s">
        <v>156</v>
      </c>
      <c r="G175" s="26" t="s">
        <v>702</v>
      </c>
      <c r="H175" s="26" t="s">
        <v>120</v>
      </c>
      <c r="I175" s="203" t="str">
        <f>VLOOKUP(F175,'All sensors Installed'!$A$2:$K$1119,11,)</f>
        <v>78D800B023960387</v>
      </c>
      <c r="J175" s="26" t="s">
        <v>704</v>
      </c>
      <c r="K175" s="26" t="s">
        <v>705</v>
      </c>
      <c r="L175" s="26" t="str">
        <f>VLOOKUP($K175,'Property names'!$A$1:$D$100,2,FALSE)</f>
        <v>Incremental counting of water passed by the flowmeter</v>
      </c>
      <c r="M175" s="26" t="str">
        <f>VLOOKUP($K175,'Property names'!$A$1:$D$100,3,FALSE)</f>
        <v>Cubic meters</v>
      </c>
      <c r="N175" s="26" t="str">
        <f>VLOOKUP($K175,'Property names'!$A$1:$D$100,4,FALSE)</f>
        <v>m^3</v>
      </c>
      <c r="O175" s="26" t="str">
        <f t="shared" si="4"/>
        <v>Pivetta_I020_water_count_m3</v>
      </c>
      <c r="P175" s="26" t="str">
        <f t="shared" si="5"/>
        <v>The datastream containing mesures of field Pivetta by sensor I020 which measures Water count m^3.</v>
      </c>
      <c r="Q175" s="26" t="s">
        <v>653</v>
      </c>
    </row>
    <row r="176" spans="1:17" ht="12.75">
      <c r="A176" s="201" t="s">
        <v>693</v>
      </c>
      <c r="B176" s="5" t="s">
        <v>706</v>
      </c>
      <c r="C176" s="5" t="s">
        <v>695</v>
      </c>
      <c r="D176" s="5">
        <v>39.949190000000002</v>
      </c>
      <c r="E176" s="5">
        <v>8.6803000000000008</v>
      </c>
      <c r="F176" s="5" t="s">
        <v>218</v>
      </c>
      <c r="G176" s="5" t="s">
        <v>707</v>
      </c>
      <c r="H176" s="5" t="s">
        <v>225</v>
      </c>
      <c r="I176" s="5" t="str">
        <f>VLOOKUP(F176,'All sensors Installed'!$A$2:$K$1119,11,)</f>
        <v>3932303169307818</v>
      </c>
      <c r="J176" s="5" t="s">
        <v>708</v>
      </c>
      <c r="K176" s="5" t="s">
        <v>709</v>
      </c>
      <c r="L176" s="5" t="str">
        <f>VLOOKUP($K176,'Property names'!$A$1:$D$100,2,FALSE)</f>
        <v>Energy from the sun in the form of electromagnetic waves.</v>
      </c>
      <c r="M176" s="5" t="str">
        <f>VLOOKUP($K176,'Property names'!$A$1:$D$100,3,FALSE)</f>
        <v>Watts per square meter</v>
      </c>
      <c r="N176" s="5" t="str">
        <f>VLOOKUP($K176,'Property names'!$A$1:$D$100,4,FALSE)</f>
        <v>W/m²</v>
      </c>
      <c r="O176" s="5" t="str">
        <f t="shared" si="4"/>
        <v>Desogus_I047_solar_radiation</v>
      </c>
      <c r="P176" s="5" t="str">
        <f t="shared" si="5"/>
        <v>The datastream containing mesures of field Desogus by sensor I047 which measures Solar Radiation.</v>
      </c>
      <c r="Q176" s="5" t="s">
        <v>653</v>
      </c>
    </row>
    <row r="177" spans="1:17" ht="12.75">
      <c r="A177" s="201" t="s">
        <v>693</v>
      </c>
      <c r="B177" s="5" t="s">
        <v>706</v>
      </c>
      <c r="C177" s="5" t="s">
        <v>695</v>
      </c>
      <c r="D177" s="5">
        <v>39.949190000000002</v>
      </c>
      <c r="E177" s="5">
        <v>8.6803000000000008</v>
      </c>
      <c r="F177" s="5" t="s">
        <v>218</v>
      </c>
      <c r="G177" s="5" t="s">
        <v>707</v>
      </c>
      <c r="H177" s="5" t="s">
        <v>225</v>
      </c>
      <c r="I177" s="5" t="str">
        <f>VLOOKUP(F177,'All sensors Installed'!$A$2:$K$1119,11,)</f>
        <v>3932303169307818</v>
      </c>
      <c r="J177" s="5" t="s">
        <v>651</v>
      </c>
      <c r="K177" s="5" t="s">
        <v>652</v>
      </c>
      <c r="L177" s="5" t="str">
        <f>VLOOKUP($K177,'Property names'!$A$1:$D$100,2,FALSE)</f>
        <v>The measure of the hotness or coldness of the air.</v>
      </c>
      <c r="M177" s="5" t="str">
        <f>VLOOKUP($K177,'Property names'!$A$1:$D$100,3,FALSE)</f>
        <v>Degrees Celsius</v>
      </c>
      <c r="N177" s="5" t="str">
        <f>VLOOKUP($K177,'Property names'!$A$1:$D$100,4,FALSE)</f>
        <v>ºC</v>
      </c>
      <c r="O177" s="5" t="str">
        <f t="shared" si="4"/>
        <v>Desogus_I047_air_temperature</v>
      </c>
      <c r="P177" s="5" t="str">
        <f t="shared" si="5"/>
        <v>The datastream containing mesures of field Desogus by sensor I047 which measures Air Temperature.</v>
      </c>
      <c r="Q177" s="5" t="s">
        <v>653</v>
      </c>
    </row>
    <row r="178" spans="1:17" ht="12.75">
      <c r="A178" s="201" t="s">
        <v>693</v>
      </c>
      <c r="B178" s="5" t="s">
        <v>706</v>
      </c>
      <c r="C178" s="5" t="s">
        <v>695</v>
      </c>
      <c r="D178" s="5">
        <v>39.949190000000002</v>
      </c>
      <c r="E178" s="5">
        <v>8.6803000000000008</v>
      </c>
      <c r="F178" s="5" t="s">
        <v>218</v>
      </c>
      <c r="G178" s="5" t="s">
        <v>707</v>
      </c>
      <c r="H178" s="5" t="s">
        <v>225</v>
      </c>
      <c r="I178" s="5" t="str">
        <f>VLOOKUP(F178,'All sensors Installed'!$A$2:$K$1119,11,)</f>
        <v>3932303169307818</v>
      </c>
      <c r="J178" s="5" t="s">
        <v>654</v>
      </c>
      <c r="K178" s="5" t="s">
        <v>655</v>
      </c>
      <c r="L178" s="5" t="str">
        <f>VLOOKUP($K178,'Property names'!$A$1:$D$100,2,FALSE)</f>
        <v>The amount of moisture or water vapor present in the air, often expressed as a percentage of the maximum amount the air could hold at a given temperature.</v>
      </c>
      <c r="M178" s="5" t="str">
        <f>VLOOKUP($K178,'Property names'!$A$1:$D$100,3,FALSE)</f>
        <v>Percentage</v>
      </c>
      <c r="N178" s="5" t="str">
        <f>VLOOKUP($K178,'Property names'!$A$1:$D$100,4,FALSE)</f>
        <v>%</v>
      </c>
      <c r="O178" s="5" t="str">
        <f t="shared" si="4"/>
        <v>Desogus_I047_air_humidity</v>
      </c>
      <c r="P178" s="5" t="str">
        <f t="shared" si="5"/>
        <v>The datastream containing mesures of field Desogus by sensor I047 which measures Air Humidity.</v>
      </c>
      <c r="Q178" s="5" t="s">
        <v>653</v>
      </c>
    </row>
    <row r="179" spans="1:17" ht="12.75">
      <c r="A179" s="201" t="s">
        <v>693</v>
      </c>
      <c r="B179" s="5" t="s">
        <v>706</v>
      </c>
      <c r="C179" s="5" t="s">
        <v>695</v>
      </c>
      <c r="D179" s="5">
        <v>39.949190000000002</v>
      </c>
      <c r="E179" s="5">
        <v>8.6803000000000008</v>
      </c>
      <c r="F179" s="5" t="s">
        <v>218</v>
      </c>
      <c r="G179" s="5" t="s">
        <v>707</v>
      </c>
      <c r="H179" s="5" t="s">
        <v>225</v>
      </c>
      <c r="I179" s="5" t="str">
        <f>VLOOKUP(F179,'All sensors Installed'!$A$2:$K$1119,11,)</f>
        <v>3932303169307818</v>
      </c>
      <c r="J179" s="5" t="s">
        <v>710</v>
      </c>
      <c r="K179" s="5" t="s">
        <v>711</v>
      </c>
      <c r="L179" s="5" t="str">
        <f>VLOOKUP($K179,'Property names'!$A$1:$D$100,2,FALSE)</f>
        <v>Cumulatime Rainfall.</v>
      </c>
      <c r="M179" s="5" t="str">
        <f>VLOOKUP($K179,'Property names'!$A$1:$D$100,3,FALSE)</f>
        <v>Millimeters</v>
      </c>
      <c r="N179" s="5" t="str">
        <f>VLOOKUP($K179,'Property names'!$A$1:$D$100,4,FALSE)</f>
        <v>mm</v>
      </c>
      <c r="O179" s="5" t="str">
        <f t="shared" si="4"/>
        <v>Desogus_I047_cumulative_precipitation</v>
      </c>
      <c r="P179" s="5" t="str">
        <f t="shared" si="5"/>
        <v>The datastream containing mesures of field Desogus by sensor I047 which measures Cumulative Rainfall.</v>
      </c>
      <c r="Q179" s="5" t="s">
        <v>653</v>
      </c>
    </row>
    <row r="180" spans="1:17" ht="12.75">
      <c r="A180" s="201" t="s">
        <v>693</v>
      </c>
      <c r="B180" s="5" t="s">
        <v>706</v>
      </c>
      <c r="C180" s="5" t="s">
        <v>695</v>
      </c>
      <c r="D180" s="5">
        <v>39.949190000000002</v>
      </c>
      <c r="E180" s="5">
        <v>8.6803000000000008</v>
      </c>
      <c r="F180" s="5" t="s">
        <v>218</v>
      </c>
      <c r="G180" s="5" t="s">
        <v>707</v>
      </c>
      <c r="H180" s="5" t="s">
        <v>225</v>
      </c>
      <c r="I180" s="5" t="str">
        <f>VLOOKUP(F180,'All sensors Installed'!$A$2:$K$1119,11,)</f>
        <v>3932303169307818</v>
      </c>
      <c r="J180" s="5" t="s">
        <v>712</v>
      </c>
      <c r="K180" s="5" t="s">
        <v>713</v>
      </c>
      <c r="L180" s="5" t="str">
        <f>VLOOKUP($K180,'Property names'!$A$1:$D$100,2,FALSE)</f>
        <v>The presence of moisture on the surface of plant leaves, often indicating favorable conditions for disease development.</v>
      </c>
      <c r="M180" s="5" t="str">
        <f>VLOOKUP($K180,'Property names'!$A$1:$D$100,3,FALSE)</f>
        <v>-</v>
      </c>
      <c r="N180" s="5" t="str">
        <f>VLOOKUP($K180,'Property names'!$A$1:$D$100,4,FALSE)</f>
        <v>-</v>
      </c>
      <c r="O180" s="5" t="str">
        <f t="shared" si="4"/>
        <v>Desogus_I047_leaf_wetting</v>
      </c>
      <c r="P180" s="5" t="str">
        <f t="shared" si="5"/>
        <v>The datastream containing mesures of field Desogus by sensor I047 which measures Leaf Wetness.</v>
      </c>
      <c r="Q180" s="5" t="s">
        <v>653</v>
      </c>
    </row>
    <row r="181" spans="1:17" ht="15">
      <c r="A181" s="204" t="s">
        <v>693</v>
      </c>
      <c r="B181" s="204" t="s">
        <v>698</v>
      </c>
      <c r="C181" s="204" t="s">
        <v>714</v>
      </c>
      <c r="D181" s="205">
        <v>3.9948329999999999</v>
      </c>
      <c r="E181" s="205">
        <v>8.7036390000000008</v>
      </c>
      <c r="F181" s="204" t="s">
        <v>168</v>
      </c>
      <c r="G181" s="204" t="s">
        <v>715</v>
      </c>
      <c r="H181" s="204" t="s">
        <v>170</v>
      </c>
      <c r="I181" s="206" t="str">
        <f t="shared" ref="I181:I420" si="6">CONCATENATE("EUI_EQ_",F181)</f>
        <v>EUI_EQ_I023</v>
      </c>
      <c r="J181" s="204"/>
      <c r="K181" s="5" t="s">
        <v>716</v>
      </c>
      <c r="L181" s="5" t="str">
        <f>VLOOKUP($K181,'Property names'!$A$1:$D$100,2,FALSE)</f>
        <v>UTC epoch time when the data were collected</v>
      </c>
      <c r="M181" s="5" t="str">
        <f>VLOOKUP($K181,'Property names'!$A$1:$D$100,3,FALSE)</f>
        <v>Seconds</v>
      </c>
      <c r="N181" s="5" t="str">
        <f>VLOOKUP($K181,'Property names'!$A$1:$D$100,4,FALSE)</f>
        <v>s</v>
      </c>
      <c r="O181" s="204" t="s">
        <v>717</v>
      </c>
      <c r="P181" s="204" t="s">
        <v>718</v>
      </c>
      <c r="Q181" s="5" t="s">
        <v>653</v>
      </c>
    </row>
    <row r="182" spans="1:17" ht="15">
      <c r="A182" s="204" t="s">
        <v>693</v>
      </c>
      <c r="B182" s="204" t="s">
        <v>698</v>
      </c>
      <c r="C182" s="204" t="s">
        <v>714</v>
      </c>
      <c r="D182" s="205">
        <v>3.9948329999999999</v>
      </c>
      <c r="E182" s="205">
        <v>8.7036390000000008</v>
      </c>
      <c r="F182" s="204" t="s">
        <v>168</v>
      </c>
      <c r="G182" s="204" t="s">
        <v>715</v>
      </c>
      <c r="H182" s="204" t="s">
        <v>170</v>
      </c>
      <c r="I182" s="206" t="str">
        <f t="shared" si="6"/>
        <v>EUI_EQ_I023</v>
      </c>
      <c r="J182" s="204" t="s">
        <v>719</v>
      </c>
      <c r="K182" s="5" t="s">
        <v>719</v>
      </c>
      <c r="L182" s="5" t="str">
        <f>VLOOKUP($K182,'Property names'!$A$1:$D$100,2,FALSE)</f>
        <v>Normalized Difference Vegetation Index</v>
      </c>
      <c r="M182" s="5" t="str">
        <f>VLOOKUP($K182,'Property names'!$A$1:$D$100,3,FALSE)</f>
        <v>-</v>
      </c>
      <c r="N182" s="5" t="str">
        <f>VLOOKUP($K182,'Property names'!$A$1:$D$100,4,FALSE)</f>
        <v>-</v>
      </c>
      <c r="O182" s="204" t="s">
        <v>720</v>
      </c>
      <c r="P182" s="204" t="s">
        <v>721</v>
      </c>
      <c r="Q182" s="5" t="s">
        <v>653</v>
      </c>
    </row>
    <row r="183" spans="1:17" ht="15">
      <c r="A183" s="204" t="s">
        <v>693</v>
      </c>
      <c r="B183" s="204" t="s">
        <v>698</v>
      </c>
      <c r="C183" s="204" t="s">
        <v>714</v>
      </c>
      <c r="D183" s="205">
        <v>3.9948329999999999</v>
      </c>
      <c r="E183" s="205">
        <v>8.7036390000000008</v>
      </c>
      <c r="F183" s="204" t="s">
        <v>168</v>
      </c>
      <c r="G183" s="204" t="s">
        <v>715</v>
      </c>
      <c r="H183" s="204" t="s">
        <v>170</v>
      </c>
      <c r="I183" s="206" t="str">
        <f t="shared" si="6"/>
        <v>EUI_EQ_I023</v>
      </c>
      <c r="J183" s="204" t="s">
        <v>722</v>
      </c>
      <c r="K183" s="5" t="s">
        <v>723</v>
      </c>
      <c r="L183" s="5" t="str">
        <f>VLOOKUP($K183,'Property names'!$A$1:$D$100,2,FALSE)</f>
        <v>Differential measurement of trunk radial growth</v>
      </c>
      <c r="M183" s="5" t="str">
        <f>VLOOKUP($K183,'Property names'!$A$1:$D$100,3,FALSE)</f>
        <v>Millimeters</v>
      </c>
      <c r="N183" s="5" t="str">
        <f>VLOOKUP($K183,'Property names'!$A$1:$D$100,4,FALSE)</f>
        <v>mm</v>
      </c>
      <c r="O183" s="204" t="s">
        <v>724</v>
      </c>
      <c r="P183" s="204" t="s">
        <v>725</v>
      </c>
      <c r="Q183" s="5" t="s">
        <v>653</v>
      </c>
    </row>
    <row r="184" spans="1:17" ht="15">
      <c r="A184" s="204" t="s">
        <v>693</v>
      </c>
      <c r="B184" s="204" t="s">
        <v>698</v>
      </c>
      <c r="C184" s="204" t="s">
        <v>714</v>
      </c>
      <c r="D184" s="205">
        <v>3.9948329999999999</v>
      </c>
      <c r="E184" s="205">
        <v>8.7036390000000008</v>
      </c>
      <c r="F184" s="204" t="s">
        <v>168</v>
      </c>
      <c r="G184" s="204" t="s">
        <v>715</v>
      </c>
      <c r="H184" s="204" t="s">
        <v>170</v>
      </c>
      <c r="I184" s="206" t="str">
        <f t="shared" si="6"/>
        <v>EUI_EQ_I023</v>
      </c>
      <c r="J184" s="204" t="s">
        <v>726</v>
      </c>
      <c r="K184" s="5" t="s">
        <v>727</v>
      </c>
      <c r="L184" s="5" t="str">
        <f>VLOOKUP($K184,'Property names'!$A$1:$D$100,2,FALSE)</f>
        <v>Sap velocity</v>
      </c>
      <c r="M184" s="5" t="str">
        <f>VLOOKUP($K184,'Property names'!$A$1:$D$100,3,FALSE)</f>
        <v>Centimeter per Second</v>
      </c>
      <c r="N184" s="5" t="str">
        <f>VLOOKUP($K184,'Property names'!$A$1:$D$100,4,FALSE)</f>
        <v>cm/h</v>
      </c>
      <c r="O184" s="204" t="s">
        <v>728</v>
      </c>
      <c r="P184" s="204" t="s">
        <v>729</v>
      </c>
      <c r="Q184" s="5" t="s">
        <v>653</v>
      </c>
    </row>
    <row r="185" spans="1:17" ht="15">
      <c r="A185" s="204" t="s">
        <v>693</v>
      </c>
      <c r="B185" s="204" t="s">
        <v>698</v>
      </c>
      <c r="C185" s="204" t="s">
        <v>714</v>
      </c>
      <c r="D185" s="205">
        <v>3.9948329999999999</v>
      </c>
      <c r="E185" s="205">
        <v>8.7036390000000008</v>
      </c>
      <c r="F185" s="204" t="s">
        <v>168</v>
      </c>
      <c r="G185" s="204" t="s">
        <v>715</v>
      </c>
      <c r="H185" s="204" t="s">
        <v>170</v>
      </c>
      <c r="I185" s="206" t="str">
        <f t="shared" si="6"/>
        <v>EUI_EQ_I023</v>
      </c>
      <c r="J185" s="204" t="s">
        <v>730</v>
      </c>
      <c r="K185" s="5" t="s">
        <v>730</v>
      </c>
      <c r="L185" s="5" t="str">
        <f>VLOOKUP($K185,'Property names'!$A$1:$D$100,2,FALSE)</f>
        <v>Rotation over X axis</v>
      </c>
      <c r="M185" s="5" t="str">
        <f>VLOOKUP($K185,'Property names'!$A$1:$D$100,3,FALSE)</f>
        <v>Degrees</v>
      </c>
      <c r="N185" s="5" t="str">
        <f>VLOOKUP($K185,'Property names'!$A$1:$D$100,4,FALSE)</f>
        <v>°</v>
      </c>
      <c r="O185" s="204" t="s">
        <v>731</v>
      </c>
      <c r="P185" s="204" t="s">
        <v>732</v>
      </c>
      <c r="Q185" s="5" t="s">
        <v>653</v>
      </c>
    </row>
    <row r="186" spans="1:17" ht="15">
      <c r="A186" s="204" t="s">
        <v>693</v>
      </c>
      <c r="B186" s="204" t="s">
        <v>698</v>
      </c>
      <c r="C186" s="204" t="s">
        <v>714</v>
      </c>
      <c r="D186" s="205">
        <v>3.9948329999999999</v>
      </c>
      <c r="E186" s="205">
        <v>8.7036390000000008</v>
      </c>
      <c r="F186" s="204" t="s">
        <v>168</v>
      </c>
      <c r="G186" s="204" t="s">
        <v>715</v>
      </c>
      <c r="H186" s="204" t="s">
        <v>170</v>
      </c>
      <c r="I186" s="206" t="str">
        <f t="shared" si="6"/>
        <v>EUI_EQ_I023</v>
      </c>
      <c r="J186" s="204" t="s">
        <v>733</v>
      </c>
      <c r="K186" s="5" t="s">
        <v>733</v>
      </c>
      <c r="L186" s="5" t="str">
        <f>VLOOKUP($K186,'Property names'!$A$1:$D$100,2,FALSE)</f>
        <v>Rotation over Y axis</v>
      </c>
      <c r="M186" s="5" t="str">
        <f>VLOOKUP($K186,'Property names'!$A$1:$D$100,3,FALSE)</f>
        <v>Degrees</v>
      </c>
      <c r="N186" s="5" t="str">
        <f>VLOOKUP($K186,'Property names'!$A$1:$D$100,4,FALSE)</f>
        <v>°</v>
      </c>
      <c r="O186" s="204" t="s">
        <v>734</v>
      </c>
      <c r="P186" s="204" t="s">
        <v>735</v>
      </c>
      <c r="Q186" s="5" t="s">
        <v>653</v>
      </c>
    </row>
    <row r="187" spans="1:17" ht="15">
      <c r="A187" s="204" t="s">
        <v>693</v>
      </c>
      <c r="B187" s="204" t="s">
        <v>698</v>
      </c>
      <c r="C187" s="204" t="s">
        <v>714</v>
      </c>
      <c r="D187" s="205">
        <v>3.9948329999999999</v>
      </c>
      <c r="E187" s="205">
        <v>8.7036390000000008</v>
      </c>
      <c r="F187" s="204" t="s">
        <v>168</v>
      </c>
      <c r="G187" s="204" t="s">
        <v>715</v>
      </c>
      <c r="H187" s="204" t="s">
        <v>170</v>
      </c>
      <c r="I187" s="206" t="str">
        <f t="shared" si="6"/>
        <v>EUI_EQ_I023</v>
      </c>
      <c r="J187" s="204" t="s">
        <v>736</v>
      </c>
      <c r="K187" s="5" t="s">
        <v>736</v>
      </c>
      <c r="L187" s="5" t="str">
        <f>VLOOKUP($K187,'Property names'!$A$1:$D$100,2,FALSE)</f>
        <v>Rotation over Z axis</v>
      </c>
      <c r="M187" s="5" t="str">
        <f>VLOOKUP($K187,'Property names'!$A$1:$D$100,3,FALSE)</f>
        <v>Degrees</v>
      </c>
      <c r="N187" s="5" t="str">
        <f>VLOOKUP($K187,'Property names'!$A$1:$D$100,4,FALSE)</f>
        <v>°</v>
      </c>
      <c r="O187" s="204" t="s">
        <v>737</v>
      </c>
      <c r="P187" s="204" t="s">
        <v>738</v>
      </c>
      <c r="Q187" s="5" t="s">
        <v>653</v>
      </c>
    </row>
    <row r="188" spans="1:17" ht="15">
      <c r="A188" s="204" t="s">
        <v>693</v>
      </c>
      <c r="B188" s="204" t="s">
        <v>698</v>
      </c>
      <c r="C188" s="204" t="s">
        <v>714</v>
      </c>
      <c r="D188" s="205">
        <v>3.9948329999999999</v>
      </c>
      <c r="E188" s="205">
        <v>8.7036390000000008</v>
      </c>
      <c r="F188" s="204" t="s">
        <v>168</v>
      </c>
      <c r="G188" s="204" t="s">
        <v>715</v>
      </c>
      <c r="H188" s="204" t="s">
        <v>170</v>
      </c>
      <c r="I188" s="206" t="str">
        <f t="shared" si="6"/>
        <v>EUI_EQ_I023</v>
      </c>
      <c r="J188" s="204" t="s">
        <v>679</v>
      </c>
      <c r="K188" s="204" t="s">
        <v>652</v>
      </c>
      <c r="L188" s="5" t="str">
        <f>VLOOKUP($K188,'Property names'!$A$1:$D$100,2,FALSE)</f>
        <v>The measure of the hotness or coldness of the air.</v>
      </c>
      <c r="M188" s="5" t="str">
        <f>VLOOKUP($K188,'Property names'!$A$1:$D$100,3,FALSE)</f>
        <v>Degrees Celsius</v>
      </c>
      <c r="N188" s="5" t="str">
        <f>VLOOKUP($K188,'Property names'!$A$1:$D$100,4,FALSE)</f>
        <v>ºC</v>
      </c>
      <c r="O188" s="204" t="s">
        <v>739</v>
      </c>
      <c r="P188" s="204" t="s">
        <v>740</v>
      </c>
      <c r="Q188" s="5" t="s">
        <v>653</v>
      </c>
    </row>
    <row r="189" spans="1:17" ht="15">
      <c r="A189" s="204" t="s">
        <v>693</v>
      </c>
      <c r="B189" s="204" t="s">
        <v>698</v>
      </c>
      <c r="C189" s="204" t="s">
        <v>714</v>
      </c>
      <c r="D189" s="205">
        <v>3.9948329999999999</v>
      </c>
      <c r="E189" s="205">
        <v>8.7036390000000008</v>
      </c>
      <c r="F189" s="204" t="s">
        <v>168</v>
      </c>
      <c r="G189" s="204" t="s">
        <v>715</v>
      </c>
      <c r="H189" s="204" t="s">
        <v>170</v>
      </c>
      <c r="I189" s="206" t="str">
        <f t="shared" si="6"/>
        <v>EUI_EQ_I023</v>
      </c>
      <c r="J189" s="204" t="s">
        <v>654</v>
      </c>
      <c r="K189" s="204" t="s">
        <v>655</v>
      </c>
      <c r="L189" s="5" t="str">
        <f>VLOOKUP($K189,'Property names'!$A$1:$D$100,2,FALSE)</f>
        <v>The amount of moisture or water vapor present in the air, often expressed as a percentage of the maximum amount the air could hold at a given temperature.</v>
      </c>
      <c r="M189" s="5" t="str">
        <f>VLOOKUP($K189,'Property names'!$A$1:$D$100,3,FALSE)</f>
        <v>Percentage</v>
      </c>
      <c r="N189" s="5" t="str">
        <f>VLOOKUP($K189,'Property names'!$A$1:$D$100,4,FALSE)</f>
        <v>%</v>
      </c>
      <c r="O189" s="204" t="s">
        <v>741</v>
      </c>
      <c r="P189" s="204" t="s">
        <v>742</v>
      </c>
      <c r="Q189" s="5" t="s">
        <v>653</v>
      </c>
    </row>
    <row r="190" spans="1:17" ht="15">
      <c r="A190" s="207" t="s">
        <v>693</v>
      </c>
      <c r="B190" s="204" t="s">
        <v>698</v>
      </c>
      <c r="C190" s="204" t="s">
        <v>714</v>
      </c>
      <c r="D190" s="205">
        <v>3.9948329999999999</v>
      </c>
      <c r="E190" s="205">
        <v>8.7036390000000008</v>
      </c>
      <c r="F190" s="204" t="s">
        <v>168</v>
      </c>
      <c r="G190" s="204" t="s">
        <v>715</v>
      </c>
      <c r="H190" s="204" t="s">
        <v>170</v>
      </c>
      <c r="I190" s="206" t="str">
        <f t="shared" si="6"/>
        <v>EUI_EQ_I023</v>
      </c>
      <c r="J190" s="204" t="s">
        <v>743</v>
      </c>
      <c r="K190" s="204" t="s">
        <v>692</v>
      </c>
      <c r="L190" s="5" t="str">
        <f>VLOOKUP($K190,'Property names'!$A$1:$D$100,2,FALSE)</f>
        <v>The electrical potential in a battery, indicating its charge level.</v>
      </c>
      <c r="M190" s="5" t="str">
        <f>VLOOKUP($K190,'Property names'!$A$1:$D$100,3,FALSE)</f>
        <v>Millivolts</v>
      </c>
      <c r="N190" s="5" t="str">
        <f>VLOOKUP($K190,'Property names'!$A$1:$D$100,4,FALSE)</f>
        <v>mV</v>
      </c>
      <c r="O190" s="204" t="s">
        <v>744</v>
      </c>
      <c r="P190" s="204" t="s">
        <v>745</v>
      </c>
      <c r="Q190" s="5" t="s">
        <v>653</v>
      </c>
    </row>
    <row r="191" spans="1:17" ht="15">
      <c r="A191" s="204" t="s">
        <v>693</v>
      </c>
      <c r="B191" s="204" t="s">
        <v>698</v>
      </c>
      <c r="C191" s="204" t="s">
        <v>714</v>
      </c>
      <c r="D191" s="205">
        <v>3.9948329999999999</v>
      </c>
      <c r="E191" s="205">
        <v>8.7036390000000008</v>
      </c>
      <c r="F191" s="204" t="s">
        <v>172</v>
      </c>
      <c r="G191" s="204" t="s">
        <v>715</v>
      </c>
      <c r="H191" s="204" t="s">
        <v>170</v>
      </c>
      <c r="I191" s="206" t="str">
        <f t="shared" si="6"/>
        <v>EUI_EQ_I024</v>
      </c>
      <c r="J191" s="204" t="s">
        <v>716</v>
      </c>
      <c r="K191" s="5" t="s">
        <v>716</v>
      </c>
      <c r="L191" s="5" t="str">
        <f>VLOOKUP($K191,'Property names'!$A$1:$D$100,2,FALSE)</f>
        <v>UTC epoch time when the data were collected</v>
      </c>
      <c r="M191" s="5" t="str">
        <f>VLOOKUP($K191,'Property names'!$A$1:$D$100,3,FALSE)</f>
        <v>Seconds</v>
      </c>
      <c r="N191" s="5" t="str">
        <f>VLOOKUP($K191,'Property names'!$A$1:$D$100,4,FALSE)</f>
        <v>s</v>
      </c>
      <c r="O191" s="204" t="s">
        <v>746</v>
      </c>
      <c r="P191" s="204" t="s">
        <v>747</v>
      </c>
      <c r="Q191" s="5" t="s">
        <v>653</v>
      </c>
    </row>
    <row r="192" spans="1:17" ht="15">
      <c r="A192" s="204" t="s">
        <v>693</v>
      </c>
      <c r="B192" s="204" t="s">
        <v>698</v>
      </c>
      <c r="C192" s="204" t="s">
        <v>714</v>
      </c>
      <c r="D192" s="205">
        <v>3.9948329999999999</v>
      </c>
      <c r="E192" s="205">
        <v>8.7036390000000008</v>
      </c>
      <c r="F192" s="204" t="s">
        <v>172</v>
      </c>
      <c r="G192" s="204" t="s">
        <v>715</v>
      </c>
      <c r="H192" s="204" t="s">
        <v>170</v>
      </c>
      <c r="I192" s="206" t="str">
        <f t="shared" si="6"/>
        <v>EUI_EQ_I024</v>
      </c>
      <c r="J192" s="204" t="s">
        <v>719</v>
      </c>
      <c r="K192" s="5" t="s">
        <v>719</v>
      </c>
      <c r="L192" s="5" t="str">
        <f>VLOOKUP($K192,'Property names'!$A$1:$D$100,2,FALSE)</f>
        <v>Normalized Difference Vegetation Index</v>
      </c>
      <c r="M192" s="5" t="str">
        <f>VLOOKUP($K192,'Property names'!$A$1:$D$100,3,FALSE)</f>
        <v>-</v>
      </c>
      <c r="N192" s="5" t="str">
        <f>VLOOKUP($K192,'Property names'!$A$1:$D$100,4,FALSE)</f>
        <v>-</v>
      </c>
      <c r="O192" s="204" t="s">
        <v>748</v>
      </c>
      <c r="P192" s="204" t="s">
        <v>749</v>
      </c>
      <c r="Q192" s="5" t="s">
        <v>653</v>
      </c>
    </row>
    <row r="193" spans="1:17" ht="15">
      <c r="A193" s="204" t="s">
        <v>693</v>
      </c>
      <c r="B193" s="204" t="s">
        <v>698</v>
      </c>
      <c r="C193" s="204" t="s">
        <v>714</v>
      </c>
      <c r="D193" s="205">
        <v>3.9948329999999999</v>
      </c>
      <c r="E193" s="205">
        <v>8.7036390000000008</v>
      </c>
      <c r="F193" s="204" t="s">
        <v>172</v>
      </c>
      <c r="G193" s="204" t="s">
        <v>715</v>
      </c>
      <c r="H193" s="204" t="s">
        <v>170</v>
      </c>
      <c r="I193" s="206" t="str">
        <f t="shared" si="6"/>
        <v>EUI_EQ_I024</v>
      </c>
      <c r="J193" s="204" t="s">
        <v>722</v>
      </c>
      <c r="K193" s="5" t="s">
        <v>723</v>
      </c>
      <c r="L193" s="5" t="str">
        <f>VLOOKUP($K193,'Property names'!$A$1:$D$100,2,FALSE)</f>
        <v>Differential measurement of trunk radial growth</v>
      </c>
      <c r="M193" s="5" t="str">
        <f>VLOOKUP($K193,'Property names'!$A$1:$D$100,3,FALSE)</f>
        <v>Millimeters</v>
      </c>
      <c r="N193" s="5" t="str">
        <f>VLOOKUP($K193,'Property names'!$A$1:$D$100,4,FALSE)</f>
        <v>mm</v>
      </c>
      <c r="O193" s="204" t="s">
        <v>750</v>
      </c>
      <c r="P193" s="204" t="s">
        <v>751</v>
      </c>
      <c r="Q193" s="5" t="s">
        <v>653</v>
      </c>
    </row>
    <row r="194" spans="1:17" ht="15">
      <c r="A194" s="204" t="s">
        <v>693</v>
      </c>
      <c r="B194" s="204" t="s">
        <v>698</v>
      </c>
      <c r="C194" s="204" t="s">
        <v>714</v>
      </c>
      <c r="D194" s="205">
        <v>3.9948329999999999</v>
      </c>
      <c r="E194" s="205">
        <v>8.7036390000000008</v>
      </c>
      <c r="F194" s="204" t="s">
        <v>172</v>
      </c>
      <c r="G194" s="204" t="s">
        <v>715</v>
      </c>
      <c r="H194" s="204" t="s">
        <v>170</v>
      </c>
      <c r="I194" s="206" t="str">
        <f t="shared" si="6"/>
        <v>EUI_EQ_I024</v>
      </c>
      <c r="J194" s="204" t="s">
        <v>726</v>
      </c>
      <c r="K194" s="5" t="s">
        <v>727</v>
      </c>
      <c r="L194" s="5" t="str">
        <f>VLOOKUP($K194,'Property names'!$A$1:$D$100,2,FALSE)</f>
        <v>Sap velocity</v>
      </c>
      <c r="M194" s="5" t="str">
        <f>VLOOKUP($K194,'Property names'!$A$1:$D$100,3,FALSE)</f>
        <v>Centimeter per Second</v>
      </c>
      <c r="N194" s="5" t="str">
        <f>VLOOKUP($K194,'Property names'!$A$1:$D$100,4,FALSE)</f>
        <v>cm/h</v>
      </c>
      <c r="O194" s="204" t="s">
        <v>752</v>
      </c>
      <c r="P194" s="204" t="s">
        <v>753</v>
      </c>
      <c r="Q194" s="5" t="s">
        <v>653</v>
      </c>
    </row>
    <row r="195" spans="1:17" ht="15">
      <c r="A195" s="204" t="s">
        <v>693</v>
      </c>
      <c r="B195" s="204" t="s">
        <v>698</v>
      </c>
      <c r="C195" s="204" t="s">
        <v>714</v>
      </c>
      <c r="D195" s="205">
        <v>3.9948329999999999</v>
      </c>
      <c r="E195" s="205">
        <v>8.7036390000000008</v>
      </c>
      <c r="F195" s="204" t="s">
        <v>172</v>
      </c>
      <c r="G195" s="204" t="s">
        <v>715</v>
      </c>
      <c r="H195" s="204" t="s">
        <v>170</v>
      </c>
      <c r="I195" s="206" t="str">
        <f t="shared" si="6"/>
        <v>EUI_EQ_I024</v>
      </c>
      <c r="J195" s="204" t="s">
        <v>730</v>
      </c>
      <c r="K195" s="5" t="s">
        <v>730</v>
      </c>
      <c r="L195" s="5" t="str">
        <f>VLOOKUP($K195,'Property names'!$A$1:$D$100,2,FALSE)</f>
        <v>Rotation over X axis</v>
      </c>
      <c r="M195" s="5" t="str">
        <f>VLOOKUP($K195,'Property names'!$A$1:$D$100,3,FALSE)</f>
        <v>Degrees</v>
      </c>
      <c r="N195" s="5" t="str">
        <f>VLOOKUP($K195,'Property names'!$A$1:$D$100,4,FALSE)</f>
        <v>°</v>
      </c>
      <c r="O195" s="204" t="s">
        <v>754</v>
      </c>
      <c r="P195" s="204" t="s">
        <v>755</v>
      </c>
      <c r="Q195" s="5" t="s">
        <v>653</v>
      </c>
    </row>
    <row r="196" spans="1:17" ht="15">
      <c r="A196" s="204" t="s">
        <v>693</v>
      </c>
      <c r="B196" s="204" t="s">
        <v>698</v>
      </c>
      <c r="C196" s="204" t="s">
        <v>714</v>
      </c>
      <c r="D196" s="205">
        <v>3.9948329999999999</v>
      </c>
      <c r="E196" s="205">
        <v>8.7036390000000008</v>
      </c>
      <c r="F196" s="204" t="s">
        <v>172</v>
      </c>
      <c r="G196" s="204" t="s">
        <v>715</v>
      </c>
      <c r="H196" s="204" t="s">
        <v>170</v>
      </c>
      <c r="I196" s="206" t="str">
        <f t="shared" si="6"/>
        <v>EUI_EQ_I024</v>
      </c>
      <c r="J196" s="204" t="s">
        <v>733</v>
      </c>
      <c r="K196" s="5" t="s">
        <v>733</v>
      </c>
      <c r="L196" s="5" t="str">
        <f>VLOOKUP($K196,'Property names'!$A$1:$D$100,2,FALSE)</f>
        <v>Rotation over Y axis</v>
      </c>
      <c r="M196" s="5" t="str">
        <f>VLOOKUP($K196,'Property names'!$A$1:$D$100,3,FALSE)</f>
        <v>Degrees</v>
      </c>
      <c r="N196" s="5" t="str">
        <f>VLOOKUP($K196,'Property names'!$A$1:$D$100,4,FALSE)</f>
        <v>°</v>
      </c>
      <c r="O196" s="204" t="s">
        <v>756</v>
      </c>
      <c r="P196" s="204" t="s">
        <v>757</v>
      </c>
      <c r="Q196" s="5" t="s">
        <v>653</v>
      </c>
    </row>
    <row r="197" spans="1:17" ht="15">
      <c r="A197" s="204" t="s">
        <v>693</v>
      </c>
      <c r="B197" s="204" t="s">
        <v>698</v>
      </c>
      <c r="C197" s="204" t="s">
        <v>714</v>
      </c>
      <c r="D197" s="205">
        <v>3.9948329999999999</v>
      </c>
      <c r="E197" s="205">
        <v>8.7036390000000008</v>
      </c>
      <c r="F197" s="204" t="s">
        <v>172</v>
      </c>
      <c r="G197" s="204" t="s">
        <v>715</v>
      </c>
      <c r="H197" s="204" t="s">
        <v>170</v>
      </c>
      <c r="I197" s="206" t="str">
        <f t="shared" si="6"/>
        <v>EUI_EQ_I024</v>
      </c>
      <c r="J197" s="204" t="s">
        <v>736</v>
      </c>
      <c r="K197" s="5" t="s">
        <v>736</v>
      </c>
      <c r="L197" s="5" t="str">
        <f>VLOOKUP($K197,'Property names'!$A$1:$D$100,2,FALSE)</f>
        <v>Rotation over Z axis</v>
      </c>
      <c r="M197" s="5" t="str">
        <f>VLOOKUP($K197,'Property names'!$A$1:$D$100,3,FALSE)</f>
        <v>Degrees</v>
      </c>
      <c r="N197" s="5" t="str">
        <f>VLOOKUP($K197,'Property names'!$A$1:$D$100,4,FALSE)</f>
        <v>°</v>
      </c>
      <c r="O197" s="204" t="s">
        <v>758</v>
      </c>
      <c r="P197" s="204" t="s">
        <v>759</v>
      </c>
      <c r="Q197" s="5" t="s">
        <v>653</v>
      </c>
    </row>
    <row r="198" spans="1:17" ht="15">
      <c r="A198" s="204" t="s">
        <v>693</v>
      </c>
      <c r="B198" s="204" t="s">
        <v>698</v>
      </c>
      <c r="C198" s="204" t="s">
        <v>714</v>
      </c>
      <c r="D198" s="205">
        <v>3.9948329999999999</v>
      </c>
      <c r="E198" s="205">
        <v>8.7036390000000008</v>
      </c>
      <c r="F198" s="204" t="s">
        <v>172</v>
      </c>
      <c r="G198" s="204" t="s">
        <v>715</v>
      </c>
      <c r="H198" s="204" t="s">
        <v>170</v>
      </c>
      <c r="I198" s="206" t="str">
        <f t="shared" si="6"/>
        <v>EUI_EQ_I024</v>
      </c>
      <c r="J198" s="204" t="s">
        <v>679</v>
      </c>
      <c r="K198" s="204" t="s">
        <v>652</v>
      </c>
      <c r="L198" s="5" t="str">
        <f>VLOOKUP($K198,'Property names'!$A$1:$D$100,2,FALSE)</f>
        <v>The measure of the hotness or coldness of the air.</v>
      </c>
      <c r="M198" s="5" t="str">
        <f>VLOOKUP($K198,'Property names'!$A$1:$D$100,3,FALSE)</f>
        <v>Degrees Celsius</v>
      </c>
      <c r="N198" s="5" t="str">
        <f>VLOOKUP($K198,'Property names'!$A$1:$D$100,4,FALSE)</f>
        <v>ºC</v>
      </c>
      <c r="O198" s="204" t="s">
        <v>760</v>
      </c>
      <c r="P198" s="204" t="s">
        <v>761</v>
      </c>
      <c r="Q198" s="5" t="s">
        <v>653</v>
      </c>
    </row>
    <row r="199" spans="1:17" ht="15">
      <c r="A199" s="204" t="s">
        <v>693</v>
      </c>
      <c r="B199" s="204" t="s">
        <v>698</v>
      </c>
      <c r="C199" s="204" t="s">
        <v>714</v>
      </c>
      <c r="D199" s="205">
        <v>3.9948329999999999</v>
      </c>
      <c r="E199" s="205">
        <v>8.7036390000000008</v>
      </c>
      <c r="F199" s="204" t="s">
        <v>172</v>
      </c>
      <c r="G199" s="204" t="s">
        <v>715</v>
      </c>
      <c r="H199" s="204" t="s">
        <v>170</v>
      </c>
      <c r="I199" s="206" t="str">
        <f t="shared" si="6"/>
        <v>EUI_EQ_I024</v>
      </c>
      <c r="J199" s="204" t="s">
        <v>654</v>
      </c>
      <c r="K199" s="204" t="s">
        <v>655</v>
      </c>
      <c r="L199" s="5" t="str">
        <f>VLOOKUP($K199,'Property names'!$A$1:$D$100,2,FALSE)</f>
        <v>The amount of moisture or water vapor present in the air, often expressed as a percentage of the maximum amount the air could hold at a given temperature.</v>
      </c>
      <c r="M199" s="5" t="str">
        <f>VLOOKUP($K199,'Property names'!$A$1:$D$100,3,FALSE)</f>
        <v>Percentage</v>
      </c>
      <c r="N199" s="5" t="str">
        <f>VLOOKUP($K199,'Property names'!$A$1:$D$100,4,FALSE)</f>
        <v>%</v>
      </c>
      <c r="O199" s="204" t="s">
        <v>762</v>
      </c>
      <c r="P199" s="204" t="s">
        <v>763</v>
      </c>
      <c r="Q199" s="5" t="s">
        <v>653</v>
      </c>
    </row>
    <row r="200" spans="1:17" ht="15">
      <c r="A200" s="207" t="s">
        <v>693</v>
      </c>
      <c r="B200" s="204" t="s">
        <v>698</v>
      </c>
      <c r="C200" s="204" t="s">
        <v>714</v>
      </c>
      <c r="D200" s="205">
        <v>3.9948329999999999</v>
      </c>
      <c r="E200" s="205">
        <v>8.7036390000000008</v>
      </c>
      <c r="F200" s="204" t="s">
        <v>172</v>
      </c>
      <c r="G200" s="204" t="s">
        <v>715</v>
      </c>
      <c r="H200" s="204" t="s">
        <v>170</v>
      </c>
      <c r="I200" s="206" t="str">
        <f t="shared" si="6"/>
        <v>EUI_EQ_I024</v>
      </c>
      <c r="J200" s="204" t="s">
        <v>743</v>
      </c>
      <c r="K200" s="204" t="s">
        <v>692</v>
      </c>
      <c r="L200" s="5" t="str">
        <f>VLOOKUP($K200,'Property names'!$A$1:$D$100,2,FALSE)</f>
        <v>The electrical potential in a battery, indicating its charge level.</v>
      </c>
      <c r="M200" s="5" t="str">
        <f>VLOOKUP($K200,'Property names'!$A$1:$D$100,3,FALSE)</f>
        <v>Millivolts</v>
      </c>
      <c r="N200" s="5" t="str">
        <f>VLOOKUP($K200,'Property names'!$A$1:$D$100,4,FALSE)</f>
        <v>mV</v>
      </c>
      <c r="O200" s="204" t="s">
        <v>764</v>
      </c>
      <c r="P200" s="204" t="s">
        <v>765</v>
      </c>
      <c r="Q200" s="5" t="s">
        <v>653</v>
      </c>
    </row>
    <row r="201" spans="1:17" ht="15">
      <c r="A201" s="204" t="s">
        <v>693</v>
      </c>
      <c r="B201" s="204" t="s">
        <v>698</v>
      </c>
      <c r="C201" s="204" t="s">
        <v>714</v>
      </c>
      <c r="D201" s="205">
        <v>3.9948329999999999</v>
      </c>
      <c r="E201" s="205">
        <v>8.7036390000000008</v>
      </c>
      <c r="F201" s="204" t="s">
        <v>174</v>
      </c>
      <c r="G201" s="204" t="s">
        <v>715</v>
      </c>
      <c r="H201" s="204" t="s">
        <v>170</v>
      </c>
      <c r="I201" s="206" t="str">
        <f t="shared" si="6"/>
        <v>EUI_EQ_I025</v>
      </c>
      <c r="J201" s="204" t="s">
        <v>716</v>
      </c>
      <c r="K201" s="5" t="s">
        <v>716</v>
      </c>
      <c r="L201" s="5" t="str">
        <f>VLOOKUP($K201,'Property names'!$A$1:$D$100,2,FALSE)</f>
        <v>UTC epoch time when the data were collected</v>
      </c>
      <c r="M201" s="5" t="str">
        <f>VLOOKUP($K201,'Property names'!$A$1:$D$100,3,FALSE)</f>
        <v>Seconds</v>
      </c>
      <c r="N201" s="5" t="str">
        <f>VLOOKUP($K201,'Property names'!$A$1:$D$100,4,FALSE)</f>
        <v>s</v>
      </c>
      <c r="O201" s="204" t="s">
        <v>766</v>
      </c>
      <c r="P201" s="204" t="s">
        <v>767</v>
      </c>
      <c r="Q201" s="5" t="s">
        <v>653</v>
      </c>
    </row>
    <row r="202" spans="1:17" ht="15">
      <c r="A202" s="204" t="s">
        <v>693</v>
      </c>
      <c r="B202" s="204" t="s">
        <v>698</v>
      </c>
      <c r="C202" s="204" t="s">
        <v>714</v>
      </c>
      <c r="D202" s="205">
        <v>3.9948329999999999</v>
      </c>
      <c r="E202" s="205">
        <v>8.7036390000000008</v>
      </c>
      <c r="F202" s="204" t="s">
        <v>174</v>
      </c>
      <c r="G202" s="204" t="s">
        <v>715</v>
      </c>
      <c r="H202" s="204" t="s">
        <v>170</v>
      </c>
      <c r="I202" s="206" t="str">
        <f t="shared" si="6"/>
        <v>EUI_EQ_I025</v>
      </c>
      <c r="J202" s="204" t="s">
        <v>719</v>
      </c>
      <c r="K202" s="5" t="s">
        <v>719</v>
      </c>
      <c r="L202" s="5" t="str">
        <f>VLOOKUP($K202,'Property names'!$A$1:$D$100,2,FALSE)</f>
        <v>Normalized Difference Vegetation Index</v>
      </c>
      <c r="M202" s="5" t="str">
        <f>VLOOKUP($K202,'Property names'!$A$1:$D$100,3,FALSE)</f>
        <v>-</v>
      </c>
      <c r="N202" s="5" t="str">
        <f>VLOOKUP($K202,'Property names'!$A$1:$D$100,4,FALSE)</f>
        <v>-</v>
      </c>
      <c r="O202" s="204" t="s">
        <v>768</v>
      </c>
      <c r="P202" s="204" t="s">
        <v>769</v>
      </c>
      <c r="Q202" s="5" t="s">
        <v>653</v>
      </c>
    </row>
    <row r="203" spans="1:17" ht="15">
      <c r="A203" s="204" t="s">
        <v>693</v>
      </c>
      <c r="B203" s="204" t="s">
        <v>698</v>
      </c>
      <c r="C203" s="204" t="s">
        <v>714</v>
      </c>
      <c r="D203" s="205">
        <v>3.9948329999999999</v>
      </c>
      <c r="E203" s="205">
        <v>8.7036390000000008</v>
      </c>
      <c r="F203" s="204" t="s">
        <v>174</v>
      </c>
      <c r="G203" s="204" t="s">
        <v>715</v>
      </c>
      <c r="H203" s="204" t="s">
        <v>170</v>
      </c>
      <c r="I203" s="206" t="str">
        <f t="shared" si="6"/>
        <v>EUI_EQ_I025</v>
      </c>
      <c r="J203" s="204" t="s">
        <v>722</v>
      </c>
      <c r="K203" s="5" t="s">
        <v>723</v>
      </c>
      <c r="L203" s="5" t="str">
        <f>VLOOKUP($K203,'Property names'!$A$1:$D$100,2,FALSE)</f>
        <v>Differential measurement of trunk radial growth</v>
      </c>
      <c r="M203" s="5" t="str">
        <f>VLOOKUP($K203,'Property names'!$A$1:$D$100,3,FALSE)</f>
        <v>Millimeters</v>
      </c>
      <c r="N203" s="5" t="str">
        <f>VLOOKUP($K203,'Property names'!$A$1:$D$100,4,FALSE)</f>
        <v>mm</v>
      </c>
      <c r="O203" s="204" t="s">
        <v>770</v>
      </c>
      <c r="P203" s="204" t="s">
        <v>771</v>
      </c>
      <c r="Q203" s="5" t="s">
        <v>653</v>
      </c>
    </row>
    <row r="204" spans="1:17" ht="15">
      <c r="A204" s="204" t="s">
        <v>693</v>
      </c>
      <c r="B204" s="204" t="s">
        <v>698</v>
      </c>
      <c r="C204" s="204" t="s">
        <v>714</v>
      </c>
      <c r="D204" s="205">
        <v>3.9948329999999999</v>
      </c>
      <c r="E204" s="205">
        <v>8.7036390000000008</v>
      </c>
      <c r="F204" s="204" t="s">
        <v>174</v>
      </c>
      <c r="G204" s="204" t="s">
        <v>715</v>
      </c>
      <c r="H204" s="204" t="s">
        <v>170</v>
      </c>
      <c r="I204" s="206" t="str">
        <f t="shared" si="6"/>
        <v>EUI_EQ_I025</v>
      </c>
      <c r="J204" s="204" t="s">
        <v>726</v>
      </c>
      <c r="K204" s="5" t="s">
        <v>727</v>
      </c>
      <c r="L204" s="5" t="str">
        <f>VLOOKUP($K204,'Property names'!$A$1:$D$100,2,FALSE)</f>
        <v>Sap velocity</v>
      </c>
      <c r="M204" s="5" t="str">
        <f>VLOOKUP($K204,'Property names'!$A$1:$D$100,3,FALSE)</f>
        <v>Centimeter per Second</v>
      </c>
      <c r="N204" s="5" t="str">
        <f>VLOOKUP($K204,'Property names'!$A$1:$D$100,4,FALSE)</f>
        <v>cm/h</v>
      </c>
      <c r="O204" s="204" t="s">
        <v>772</v>
      </c>
      <c r="P204" s="204" t="s">
        <v>773</v>
      </c>
      <c r="Q204" s="5" t="s">
        <v>653</v>
      </c>
    </row>
    <row r="205" spans="1:17" ht="15">
      <c r="A205" s="204" t="s">
        <v>693</v>
      </c>
      <c r="B205" s="204" t="s">
        <v>698</v>
      </c>
      <c r="C205" s="204" t="s">
        <v>714</v>
      </c>
      <c r="D205" s="205">
        <v>3.9948329999999999</v>
      </c>
      <c r="E205" s="205">
        <v>8.7036390000000008</v>
      </c>
      <c r="F205" s="204" t="s">
        <v>174</v>
      </c>
      <c r="G205" s="204" t="s">
        <v>715</v>
      </c>
      <c r="H205" s="204" t="s">
        <v>170</v>
      </c>
      <c r="I205" s="206" t="str">
        <f t="shared" si="6"/>
        <v>EUI_EQ_I025</v>
      </c>
      <c r="J205" s="204" t="s">
        <v>730</v>
      </c>
      <c r="K205" s="5" t="s">
        <v>730</v>
      </c>
      <c r="L205" s="5" t="str">
        <f>VLOOKUP($K205,'Property names'!$A$1:$D$100,2,FALSE)</f>
        <v>Rotation over X axis</v>
      </c>
      <c r="M205" s="5" t="str">
        <f>VLOOKUP($K205,'Property names'!$A$1:$D$100,3,FALSE)</f>
        <v>Degrees</v>
      </c>
      <c r="N205" s="5" t="str">
        <f>VLOOKUP($K205,'Property names'!$A$1:$D$100,4,FALSE)</f>
        <v>°</v>
      </c>
      <c r="O205" s="204" t="s">
        <v>774</v>
      </c>
      <c r="P205" s="204" t="s">
        <v>775</v>
      </c>
      <c r="Q205" s="5" t="s">
        <v>653</v>
      </c>
    </row>
    <row r="206" spans="1:17" ht="15">
      <c r="A206" s="204" t="s">
        <v>693</v>
      </c>
      <c r="B206" s="204" t="s">
        <v>698</v>
      </c>
      <c r="C206" s="204" t="s">
        <v>714</v>
      </c>
      <c r="D206" s="205">
        <v>3.9948329999999999</v>
      </c>
      <c r="E206" s="205">
        <v>8.7036390000000008</v>
      </c>
      <c r="F206" s="204" t="s">
        <v>174</v>
      </c>
      <c r="G206" s="204" t="s">
        <v>715</v>
      </c>
      <c r="H206" s="204" t="s">
        <v>170</v>
      </c>
      <c r="I206" s="206" t="str">
        <f t="shared" si="6"/>
        <v>EUI_EQ_I025</v>
      </c>
      <c r="J206" s="204" t="s">
        <v>733</v>
      </c>
      <c r="K206" s="5" t="s">
        <v>733</v>
      </c>
      <c r="L206" s="5" t="str">
        <f>VLOOKUP($K206,'Property names'!$A$1:$D$100,2,FALSE)</f>
        <v>Rotation over Y axis</v>
      </c>
      <c r="M206" s="5" t="str">
        <f>VLOOKUP($K206,'Property names'!$A$1:$D$100,3,FALSE)</f>
        <v>Degrees</v>
      </c>
      <c r="N206" s="5" t="str">
        <f>VLOOKUP($K206,'Property names'!$A$1:$D$100,4,FALSE)</f>
        <v>°</v>
      </c>
      <c r="O206" s="204" t="s">
        <v>776</v>
      </c>
      <c r="P206" s="204" t="s">
        <v>777</v>
      </c>
      <c r="Q206" s="5" t="s">
        <v>653</v>
      </c>
    </row>
    <row r="207" spans="1:17" ht="15">
      <c r="A207" s="204" t="s">
        <v>693</v>
      </c>
      <c r="B207" s="204" t="s">
        <v>698</v>
      </c>
      <c r="C207" s="204" t="s">
        <v>714</v>
      </c>
      <c r="D207" s="205">
        <v>3.9948329999999999</v>
      </c>
      <c r="E207" s="205">
        <v>8.7036390000000008</v>
      </c>
      <c r="F207" s="204" t="s">
        <v>174</v>
      </c>
      <c r="G207" s="204" t="s">
        <v>715</v>
      </c>
      <c r="H207" s="204" t="s">
        <v>170</v>
      </c>
      <c r="I207" s="206" t="str">
        <f t="shared" si="6"/>
        <v>EUI_EQ_I025</v>
      </c>
      <c r="J207" s="204" t="s">
        <v>736</v>
      </c>
      <c r="K207" s="5" t="s">
        <v>736</v>
      </c>
      <c r="L207" s="5" t="str">
        <f>VLOOKUP($K207,'Property names'!$A$1:$D$100,2,FALSE)</f>
        <v>Rotation over Z axis</v>
      </c>
      <c r="M207" s="5" t="str">
        <f>VLOOKUP($K207,'Property names'!$A$1:$D$100,3,FALSE)</f>
        <v>Degrees</v>
      </c>
      <c r="N207" s="5" t="str">
        <f>VLOOKUP($K207,'Property names'!$A$1:$D$100,4,FALSE)</f>
        <v>°</v>
      </c>
      <c r="O207" s="204" t="s">
        <v>778</v>
      </c>
      <c r="P207" s="204" t="s">
        <v>779</v>
      </c>
      <c r="Q207" s="5" t="s">
        <v>653</v>
      </c>
    </row>
    <row r="208" spans="1:17" ht="15">
      <c r="A208" s="204" t="s">
        <v>693</v>
      </c>
      <c r="B208" s="204" t="s">
        <v>698</v>
      </c>
      <c r="C208" s="204" t="s">
        <v>714</v>
      </c>
      <c r="D208" s="205">
        <v>3.9948329999999999</v>
      </c>
      <c r="E208" s="205">
        <v>8.7036390000000008</v>
      </c>
      <c r="F208" s="204" t="s">
        <v>174</v>
      </c>
      <c r="G208" s="204" t="s">
        <v>715</v>
      </c>
      <c r="H208" s="204" t="s">
        <v>170</v>
      </c>
      <c r="I208" s="206" t="str">
        <f t="shared" si="6"/>
        <v>EUI_EQ_I025</v>
      </c>
      <c r="J208" s="204" t="s">
        <v>679</v>
      </c>
      <c r="K208" s="204" t="s">
        <v>652</v>
      </c>
      <c r="L208" s="5" t="str">
        <f>VLOOKUP($K208,'Property names'!$A$1:$D$100,2,FALSE)</f>
        <v>The measure of the hotness or coldness of the air.</v>
      </c>
      <c r="M208" s="5" t="str">
        <f>VLOOKUP($K208,'Property names'!$A$1:$D$100,3,FALSE)</f>
        <v>Degrees Celsius</v>
      </c>
      <c r="N208" s="5" t="str">
        <f>VLOOKUP($K208,'Property names'!$A$1:$D$100,4,FALSE)</f>
        <v>ºC</v>
      </c>
      <c r="O208" s="204" t="s">
        <v>780</v>
      </c>
      <c r="P208" s="204" t="s">
        <v>781</v>
      </c>
      <c r="Q208" s="5" t="s">
        <v>653</v>
      </c>
    </row>
    <row r="209" spans="1:17" ht="15">
      <c r="A209" s="204" t="s">
        <v>693</v>
      </c>
      <c r="B209" s="204" t="s">
        <v>698</v>
      </c>
      <c r="C209" s="204" t="s">
        <v>714</v>
      </c>
      <c r="D209" s="205">
        <v>3.9948329999999999</v>
      </c>
      <c r="E209" s="205">
        <v>8.7036390000000008</v>
      </c>
      <c r="F209" s="204" t="s">
        <v>174</v>
      </c>
      <c r="G209" s="204" t="s">
        <v>715</v>
      </c>
      <c r="H209" s="204" t="s">
        <v>170</v>
      </c>
      <c r="I209" s="206" t="str">
        <f t="shared" si="6"/>
        <v>EUI_EQ_I025</v>
      </c>
      <c r="J209" s="204" t="s">
        <v>654</v>
      </c>
      <c r="K209" s="204" t="s">
        <v>655</v>
      </c>
      <c r="L209" s="5" t="str">
        <f>VLOOKUP($K209,'Property names'!$A$1:$D$100,2,FALSE)</f>
        <v>The amount of moisture or water vapor present in the air, often expressed as a percentage of the maximum amount the air could hold at a given temperature.</v>
      </c>
      <c r="M209" s="5" t="str">
        <f>VLOOKUP($K209,'Property names'!$A$1:$D$100,3,FALSE)</f>
        <v>Percentage</v>
      </c>
      <c r="N209" s="5" t="str">
        <f>VLOOKUP($K209,'Property names'!$A$1:$D$100,4,FALSE)</f>
        <v>%</v>
      </c>
      <c r="O209" s="204" t="s">
        <v>782</v>
      </c>
      <c r="P209" s="204" t="s">
        <v>783</v>
      </c>
      <c r="Q209" s="5" t="s">
        <v>653</v>
      </c>
    </row>
    <row r="210" spans="1:17" ht="15">
      <c r="A210" s="207" t="s">
        <v>693</v>
      </c>
      <c r="B210" s="204" t="s">
        <v>698</v>
      </c>
      <c r="C210" s="204" t="s">
        <v>714</v>
      </c>
      <c r="D210" s="205">
        <v>3.9948329999999999</v>
      </c>
      <c r="E210" s="205">
        <v>8.7036390000000008</v>
      </c>
      <c r="F210" s="204" t="s">
        <v>174</v>
      </c>
      <c r="G210" s="204" t="s">
        <v>715</v>
      </c>
      <c r="H210" s="204" t="s">
        <v>170</v>
      </c>
      <c r="I210" s="206" t="str">
        <f t="shared" si="6"/>
        <v>EUI_EQ_I025</v>
      </c>
      <c r="J210" s="204" t="s">
        <v>743</v>
      </c>
      <c r="K210" s="204" t="s">
        <v>692</v>
      </c>
      <c r="L210" s="5" t="str">
        <f>VLOOKUP($K210,'Property names'!$A$1:$D$100,2,FALSE)</f>
        <v>The electrical potential in a battery, indicating its charge level.</v>
      </c>
      <c r="M210" s="5" t="str">
        <f>VLOOKUP($K210,'Property names'!$A$1:$D$100,3,FALSE)</f>
        <v>Millivolts</v>
      </c>
      <c r="N210" s="5" t="str">
        <f>VLOOKUP($K210,'Property names'!$A$1:$D$100,4,FALSE)</f>
        <v>mV</v>
      </c>
      <c r="O210" s="204" t="s">
        <v>784</v>
      </c>
      <c r="P210" s="204" t="s">
        <v>785</v>
      </c>
      <c r="Q210" s="5" t="s">
        <v>653</v>
      </c>
    </row>
    <row r="211" spans="1:17" ht="15">
      <c r="A211" s="204" t="s">
        <v>693</v>
      </c>
      <c r="B211" s="204" t="s">
        <v>698</v>
      </c>
      <c r="C211" s="204" t="s">
        <v>714</v>
      </c>
      <c r="D211" s="205">
        <v>3.9948329999999999</v>
      </c>
      <c r="E211" s="205">
        <v>8.7036390000000008</v>
      </c>
      <c r="F211" s="204" t="s">
        <v>176</v>
      </c>
      <c r="G211" s="204" t="s">
        <v>715</v>
      </c>
      <c r="H211" s="204" t="s">
        <v>170</v>
      </c>
      <c r="I211" s="206" t="str">
        <f t="shared" si="6"/>
        <v>EUI_EQ_I026</v>
      </c>
      <c r="J211" s="204" t="s">
        <v>716</v>
      </c>
      <c r="K211" s="5" t="s">
        <v>716</v>
      </c>
      <c r="L211" s="5" t="str">
        <f>VLOOKUP($K211,'Property names'!$A$1:$D$100,2,FALSE)</f>
        <v>UTC epoch time when the data were collected</v>
      </c>
      <c r="M211" s="5" t="str">
        <f>VLOOKUP($K211,'Property names'!$A$1:$D$100,3,FALSE)</f>
        <v>Seconds</v>
      </c>
      <c r="N211" s="5" t="str">
        <f>VLOOKUP($K211,'Property names'!$A$1:$D$100,4,FALSE)</f>
        <v>s</v>
      </c>
      <c r="O211" s="204" t="s">
        <v>786</v>
      </c>
      <c r="P211" s="204" t="s">
        <v>787</v>
      </c>
      <c r="Q211" s="5" t="s">
        <v>653</v>
      </c>
    </row>
    <row r="212" spans="1:17" ht="15">
      <c r="A212" s="204" t="s">
        <v>693</v>
      </c>
      <c r="B212" s="204" t="s">
        <v>698</v>
      </c>
      <c r="C212" s="204" t="s">
        <v>714</v>
      </c>
      <c r="D212" s="205">
        <v>3.9948329999999999</v>
      </c>
      <c r="E212" s="205">
        <v>8.7036390000000008</v>
      </c>
      <c r="F212" s="204" t="s">
        <v>176</v>
      </c>
      <c r="G212" s="204" t="s">
        <v>715</v>
      </c>
      <c r="H212" s="204" t="s">
        <v>170</v>
      </c>
      <c r="I212" s="206" t="str">
        <f t="shared" si="6"/>
        <v>EUI_EQ_I026</v>
      </c>
      <c r="J212" s="204" t="s">
        <v>719</v>
      </c>
      <c r="K212" s="5" t="s">
        <v>719</v>
      </c>
      <c r="L212" s="5" t="str">
        <f>VLOOKUP($K212,'Property names'!$A$1:$D$100,2,FALSE)</f>
        <v>Normalized Difference Vegetation Index</v>
      </c>
      <c r="M212" s="5" t="str">
        <f>VLOOKUP($K212,'Property names'!$A$1:$D$100,3,FALSE)</f>
        <v>-</v>
      </c>
      <c r="N212" s="5" t="str">
        <f>VLOOKUP($K212,'Property names'!$A$1:$D$100,4,FALSE)</f>
        <v>-</v>
      </c>
      <c r="O212" s="204" t="s">
        <v>788</v>
      </c>
      <c r="P212" s="204" t="s">
        <v>789</v>
      </c>
      <c r="Q212" s="5" t="s">
        <v>653</v>
      </c>
    </row>
    <row r="213" spans="1:17" ht="15">
      <c r="A213" s="204" t="s">
        <v>693</v>
      </c>
      <c r="B213" s="204" t="s">
        <v>698</v>
      </c>
      <c r="C213" s="204" t="s">
        <v>714</v>
      </c>
      <c r="D213" s="205">
        <v>3.9948329999999999</v>
      </c>
      <c r="E213" s="205">
        <v>8.7036390000000008</v>
      </c>
      <c r="F213" s="204" t="s">
        <v>176</v>
      </c>
      <c r="G213" s="204" t="s">
        <v>715</v>
      </c>
      <c r="H213" s="204" t="s">
        <v>170</v>
      </c>
      <c r="I213" s="206" t="str">
        <f t="shared" si="6"/>
        <v>EUI_EQ_I026</v>
      </c>
      <c r="J213" s="204" t="s">
        <v>722</v>
      </c>
      <c r="K213" s="5" t="s">
        <v>723</v>
      </c>
      <c r="L213" s="5" t="str">
        <f>VLOOKUP($K213,'Property names'!$A$1:$D$100,2,FALSE)</f>
        <v>Differential measurement of trunk radial growth</v>
      </c>
      <c r="M213" s="5" t="str">
        <f>VLOOKUP($K213,'Property names'!$A$1:$D$100,3,FALSE)</f>
        <v>Millimeters</v>
      </c>
      <c r="N213" s="5" t="str">
        <f>VLOOKUP($K213,'Property names'!$A$1:$D$100,4,FALSE)</f>
        <v>mm</v>
      </c>
      <c r="O213" s="204" t="s">
        <v>790</v>
      </c>
      <c r="P213" s="204" t="s">
        <v>791</v>
      </c>
      <c r="Q213" s="5" t="s">
        <v>653</v>
      </c>
    </row>
    <row r="214" spans="1:17" ht="15">
      <c r="A214" s="204" t="s">
        <v>693</v>
      </c>
      <c r="B214" s="204" t="s">
        <v>698</v>
      </c>
      <c r="C214" s="204" t="s">
        <v>714</v>
      </c>
      <c r="D214" s="205">
        <v>3.9948329999999999</v>
      </c>
      <c r="E214" s="205">
        <v>8.7036390000000008</v>
      </c>
      <c r="F214" s="204" t="s">
        <v>176</v>
      </c>
      <c r="G214" s="204" t="s">
        <v>715</v>
      </c>
      <c r="H214" s="204" t="s">
        <v>170</v>
      </c>
      <c r="I214" s="206" t="str">
        <f t="shared" si="6"/>
        <v>EUI_EQ_I026</v>
      </c>
      <c r="J214" s="204" t="s">
        <v>726</v>
      </c>
      <c r="K214" s="5" t="s">
        <v>727</v>
      </c>
      <c r="L214" s="5" t="str">
        <f>VLOOKUP($K214,'Property names'!$A$1:$D$100,2,FALSE)</f>
        <v>Sap velocity</v>
      </c>
      <c r="M214" s="5" t="str">
        <f>VLOOKUP($K214,'Property names'!$A$1:$D$100,3,FALSE)</f>
        <v>Centimeter per Second</v>
      </c>
      <c r="N214" s="5" t="str">
        <f>VLOOKUP($K214,'Property names'!$A$1:$D$100,4,FALSE)</f>
        <v>cm/h</v>
      </c>
      <c r="O214" s="204" t="s">
        <v>792</v>
      </c>
      <c r="P214" s="204" t="s">
        <v>793</v>
      </c>
      <c r="Q214" s="5" t="s">
        <v>653</v>
      </c>
    </row>
    <row r="215" spans="1:17" ht="15">
      <c r="A215" s="204" t="s">
        <v>693</v>
      </c>
      <c r="B215" s="204" t="s">
        <v>698</v>
      </c>
      <c r="C215" s="204" t="s">
        <v>714</v>
      </c>
      <c r="D215" s="205">
        <v>3.9948329999999999</v>
      </c>
      <c r="E215" s="205">
        <v>8.7036390000000008</v>
      </c>
      <c r="F215" s="204" t="s">
        <v>176</v>
      </c>
      <c r="G215" s="204" t="s">
        <v>715</v>
      </c>
      <c r="H215" s="204" t="s">
        <v>170</v>
      </c>
      <c r="I215" s="206" t="str">
        <f t="shared" si="6"/>
        <v>EUI_EQ_I026</v>
      </c>
      <c r="J215" s="204" t="s">
        <v>730</v>
      </c>
      <c r="K215" s="5" t="s">
        <v>730</v>
      </c>
      <c r="L215" s="5" t="str">
        <f>VLOOKUP($K215,'Property names'!$A$1:$D$100,2,FALSE)</f>
        <v>Rotation over X axis</v>
      </c>
      <c r="M215" s="5" t="str">
        <f>VLOOKUP($K215,'Property names'!$A$1:$D$100,3,FALSE)</f>
        <v>Degrees</v>
      </c>
      <c r="N215" s="5" t="str">
        <f>VLOOKUP($K215,'Property names'!$A$1:$D$100,4,FALSE)</f>
        <v>°</v>
      </c>
      <c r="O215" s="204" t="s">
        <v>794</v>
      </c>
      <c r="P215" s="204" t="s">
        <v>795</v>
      </c>
      <c r="Q215" s="5" t="s">
        <v>653</v>
      </c>
    </row>
    <row r="216" spans="1:17" ht="15">
      <c r="A216" s="204" t="s">
        <v>693</v>
      </c>
      <c r="B216" s="204" t="s">
        <v>698</v>
      </c>
      <c r="C216" s="204" t="s">
        <v>714</v>
      </c>
      <c r="D216" s="205">
        <v>3.9948329999999999</v>
      </c>
      <c r="E216" s="205">
        <v>8.7036390000000008</v>
      </c>
      <c r="F216" s="204" t="s">
        <v>176</v>
      </c>
      <c r="G216" s="204" t="s">
        <v>715</v>
      </c>
      <c r="H216" s="204" t="s">
        <v>170</v>
      </c>
      <c r="I216" s="206" t="str">
        <f t="shared" si="6"/>
        <v>EUI_EQ_I026</v>
      </c>
      <c r="J216" s="204" t="s">
        <v>733</v>
      </c>
      <c r="K216" s="5" t="s">
        <v>733</v>
      </c>
      <c r="L216" s="5" t="str">
        <f>VLOOKUP($K216,'Property names'!$A$1:$D$100,2,FALSE)</f>
        <v>Rotation over Y axis</v>
      </c>
      <c r="M216" s="5" t="str">
        <f>VLOOKUP($K216,'Property names'!$A$1:$D$100,3,FALSE)</f>
        <v>Degrees</v>
      </c>
      <c r="N216" s="5" t="str">
        <f>VLOOKUP($K216,'Property names'!$A$1:$D$100,4,FALSE)</f>
        <v>°</v>
      </c>
      <c r="O216" s="204" t="s">
        <v>796</v>
      </c>
      <c r="P216" s="204" t="s">
        <v>797</v>
      </c>
      <c r="Q216" s="5" t="s">
        <v>653</v>
      </c>
    </row>
    <row r="217" spans="1:17" ht="15">
      <c r="A217" s="204" t="s">
        <v>693</v>
      </c>
      <c r="B217" s="204" t="s">
        <v>698</v>
      </c>
      <c r="C217" s="204" t="s">
        <v>714</v>
      </c>
      <c r="D217" s="205">
        <v>3.9948329999999999</v>
      </c>
      <c r="E217" s="205">
        <v>8.7036390000000008</v>
      </c>
      <c r="F217" s="204" t="s">
        <v>176</v>
      </c>
      <c r="G217" s="204" t="s">
        <v>715</v>
      </c>
      <c r="H217" s="204" t="s">
        <v>170</v>
      </c>
      <c r="I217" s="206" t="str">
        <f t="shared" si="6"/>
        <v>EUI_EQ_I026</v>
      </c>
      <c r="J217" s="204" t="s">
        <v>736</v>
      </c>
      <c r="K217" s="5" t="s">
        <v>736</v>
      </c>
      <c r="L217" s="5" t="str">
        <f>VLOOKUP($K217,'Property names'!$A$1:$D$100,2,FALSE)</f>
        <v>Rotation over Z axis</v>
      </c>
      <c r="M217" s="5" t="str">
        <f>VLOOKUP($K217,'Property names'!$A$1:$D$100,3,FALSE)</f>
        <v>Degrees</v>
      </c>
      <c r="N217" s="5" t="str">
        <f>VLOOKUP($K217,'Property names'!$A$1:$D$100,4,FALSE)</f>
        <v>°</v>
      </c>
      <c r="O217" s="204" t="s">
        <v>798</v>
      </c>
      <c r="P217" s="204" t="s">
        <v>799</v>
      </c>
      <c r="Q217" s="5" t="s">
        <v>653</v>
      </c>
    </row>
    <row r="218" spans="1:17" ht="15">
      <c r="A218" s="204" t="s">
        <v>693</v>
      </c>
      <c r="B218" s="204" t="s">
        <v>698</v>
      </c>
      <c r="C218" s="204" t="s">
        <v>714</v>
      </c>
      <c r="D218" s="205">
        <v>3.9948329999999999</v>
      </c>
      <c r="E218" s="205">
        <v>8.7036390000000008</v>
      </c>
      <c r="F218" s="204" t="s">
        <v>176</v>
      </c>
      <c r="G218" s="204" t="s">
        <v>715</v>
      </c>
      <c r="H218" s="204" t="s">
        <v>170</v>
      </c>
      <c r="I218" s="206" t="str">
        <f t="shared" si="6"/>
        <v>EUI_EQ_I026</v>
      </c>
      <c r="J218" s="204" t="s">
        <v>679</v>
      </c>
      <c r="K218" s="204" t="s">
        <v>652</v>
      </c>
      <c r="L218" s="5" t="str">
        <f>VLOOKUP($K218,'Property names'!$A$1:$D$100,2,FALSE)</f>
        <v>The measure of the hotness or coldness of the air.</v>
      </c>
      <c r="M218" s="5" t="str">
        <f>VLOOKUP($K218,'Property names'!$A$1:$D$100,3,FALSE)</f>
        <v>Degrees Celsius</v>
      </c>
      <c r="N218" s="5" t="str">
        <f>VLOOKUP($K218,'Property names'!$A$1:$D$100,4,FALSE)</f>
        <v>ºC</v>
      </c>
      <c r="O218" s="204" t="s">
        <v>800</v>
      </c>
      <c r="P218" s="204" t="s">
        <v>801</v>
      </c>
      <c r="Q218" s="5" t="s">
        <v>653</v>
      </c>
    </row>
    <row r="219" spans="1:17" ht="15">
      <c r="A219" s="204" t="s">
        <v>693</v>
      </c>
      <c r="B219" s="204" t="s">
        <v>698</v>
      </c>
      <c r="C219" s="204" t="s">
        <v>714</v>
      </c>
      <c r="D219" s="205">
        <v>3.9948329999999999</v>
      </c>
      <c r="E219" s="205">
        <v>8.7036390000000008</v>
      </c>
      <c r="F219" s="204" t="s">
        <v>176</v>
      </c>
      <c r="G219" s="204" t="s">
        <v>715</v>
      </c>
      <c r="H219" s="204" t="s">
        <v>170</v>
      </c>
      <c r="I219" s="206" t="str">
        <f t="shared" si="6"/>
        <v>EUI_EQ_I026</v>
      </c>
      <c r="J219" s="204" t="s">
        <v>654</v>
      </c>
      <c r="K219" s="204" t="s">
        <v>655</v>
      </c>
      <c r="L219" s="5" t="str">
        <f>VLOOKUP($K219,'Property names'!$A$1:$D$100,2,FALSE)</f>
        <v>The amount of moisture or water vapor present in the air, often expressed as a percentage of the maximum amount the air could hold at a given temperature.</v>
      </c>
      <c r="M219" s="5" t="str">
        <f>VLOOKUP($K219,'Property names'!$A$1:$D$100,3,FALSE)</f>
        <v>Percentage</v>
      </c>
      <c r="N219" s="5" t="str">
        <f>VLOOKUP($K219,'Property names'!$A$1:$D$100,4,FALSE)</f>
        <v>%</v>
      </c>
      <c r="O219" s="204" t="s">
        <v>802</v>
      </c>
      <c r="P219" s="204" t="s">
        <v>803</v>
      </c>
      <c r="Q219" s="5" t="s">
        <v>653</v>
      </c>
    </row>
    <row r="220" spans="1:17" ht="15">
      <c r="A220" s="207" t="s">
        <v>693</v>
      </c>
      <c r="B220" s="204" t="s">
        <v>698</v>
      </c>
      <c r="C220" s="204" t="s">
        <v>714</v>
      </c>
      <c r="D220" s="205">
        <v>3.9948329999999999</v>
      </c>
      <c r="E220" s="205">
        <v>8.7036390000000008</v>
      </c>
      <c r="F220" s="204" t="s">
        <v>176</v>
      </c>
      <c r="G220" s="204" t="s">
        <v>715</v>
      </c>
      <c r="H220" s="204" t="s">
        <v>170</v>
      </c>
      <c r="I220" s="206" t="str">
        <f t="shared" si="6"/>
        <v>EUI_EQ_I026</v>
      </c>
      <c r="J220" s="204" t="s">
        <v>743</v>
      </c>
      <c r="K220" s="204" t="s">
        <v>692</v>
      </c>
      <c r="L220" s="5" t="str">
        <f>VLOOKUP($K220,'Property names'!$A$1:$D$100,2,FALSE)</f>
        <v>The electrical potential in a battery, indicating its charge level.</v>
      </c>
      <c r="M220" s="5" t="str">
        <f>VLOOKUP($K220,'Property names'!$A$1:$D$100,3,FALSE)</f>
        <v>Millivolts</v>
      </c>
      <c r="N220" s="5" t="str">
        <f>VLOOKUP($K220,'Property names'!$A$1:$D$100,4,FALSE)</f>
        <v>mV</v>
      </c>
      <c r="O220" s="204" t="s">
        <v>804</v>
      </c>
      <c r="P220" s="204" t="s">
        <v>805</v>
      </c>
      <c r="Q220" s="5" t="s">
        <v>653</v>
      </c>
    </row>
    <row r="221" spans="1:17" ht="15">
      <c r="A221" s="204" t="s">
        <v>693</v>
      </c>
      <c r="B221" s="204" t="s">
        <v>698</v>
      </c>
      <c r="C221" s="204" t="s">
        <v>714</v>
      </c>
      <c r="D221" s="205">
        <v>3.9948329999999999</v>
      </c>
      <c r="E221" s="205">
        <v>8.7036390000000008</v>
      </c>
      <c r="F221" s="204" t="s">
        <v>178</v>
      </c>
      <c r="G221" s="204" t="s">
        <v>715</v>
      </c>
      <c r="H221" s="204" t="s">
        <v>170</v>
      </c>
      <c r="I221" s="206" t="str">
        <f t="shared" si="6"/>
        <v>EUI_EQ_I027</v>
      </c>
      <c r="J221" s="204" t="s">
        <v>716</v>
      </c>
      <c r="K221" s="5" t="s">
        <v>716</v>
      </c>
      <c r="L221" s="5" t="str">
        <f>VLOOKUP($K221,'Property names'!$A$1:$D$100,2,FALSE)</f>
        <v>UTC epoch time when the data were collected</v>
      </c>
      <c r="M221" s="5" t="str">
        <f>VLOOKUP($K221,'Property names'!$A$1:$D$100,3,FALSE)</f>
        <v>Seconds</v>
      </c>
      <c r="N221" s="5" t="str">
        <f>VLOOKUP($K221,'Property names'!$A$1:$D$100,4,FALSE)</f>
        <v>s</v>
      </c>
      <c r="O221" s="204" t="s">
        <v>806</v>
      </c>
      <c r="P221" s="204" t="s">
        <v>807</v>
      </c>
      <c r="Q221" s="5" t="s">
        <v>653</v>
      </c>
    </row>
    <row r="222" spans="1:17" ht="15">
      <c r="A222" s="204" t="s">
        <v>693</v>
      </c>
      <c r="B222" s="204" t="s">
        <v>698</v>
      </c>
      <c r="C222" s="204" t="s">
        <v>714</v>
      </c>
      <c r="D222" s="205">
        <v>3.9948329999999999</v>
      </c>
      <c r="E222" s="205">
        <v>8.7036390000000008</v>
      </c>
      <c r="F222" s="204" t="s">
        <v>178</v>
      </c>
      <c r="G222" s="204" t="s">
        <v>715</v>
      </c>
      <c r="H222" s="204" t="s">
        <v>170</v>
      </c>
      <c r="I222" s="206" t="str">
        <f t="shared" si="6"/>
        <v>EUI_EQ_I027</v>
      </c>
      <c r="J222" s="204" t="s">
        <v>719</v>
      </c>
      <c r="K222" s="5" t="s">
        <v>719</v>
      </c>
      <c r="L222" s="5" t="str">
        <f>VLOOKUP($K222,'Property names'!$A$1:$D$100,2,FALSE)</f>
        <v>Normalized Difference Vegetation Index</v>
      </c>
      <c r="M222" s="5" t="str">
        <f>VLOOKUP($K222,'Property names'!$A$1:$D$100,3,FALSE)</f>
        <v>-</v>
      </c>
      <c r="N222" s="5" t="str">
        <f>VLOOKUP($K222,'Property names'!$A$1:$D$100,4,FALSE)</f>
        <v>-</v>
      </c>
      <c r="O222" s="204" t="s">
        <v>808</v>
      </c>
      <c r="P222" s="204" t="s">
        <v>809</v>
      </c>
      <c r="Q222" s="5" t="s">
        <v>653</v>
      </c>
    </row>
    <row r="223" spans="1:17" ht="15">
      <c r="A223" s="204" t="s">
        <v>693</v>
      </c>
      <c r="B223" s="204" t="s">
        <v>698</v>
      </c>
      <c r="C223" s="204" t="s">
        <v>714</v>
      </c>
      <c r="D223" s="205">
        <v>3.9948329999999999</v>
      </c>
      <c r="E223" s="205">
        <v>8.7036390000000008</v>
      </c>
      <c r="F223" s="204" t="s">
        <v>178</v>
      </c>
      <c r="G223" s="204" t="s">
        <v>715</v>
      </c>
      <c r="H223" s="204" t="s">
        <v>170</v>
      </c>
      <c r="I223" s="206" t="str">
        <f t="shared" si="6"/>
        <v>EUI_EQ_I027</v>
      </c>
      <c r="J223" s="204" t="s">
        <v>722</v>
      </c>
      <c r="K223" s="5" t="s">
        <v>723</v>
      </c>
      <c r="L223" s="5" t="str">
        <f>VLOOKUP($K223,'Property names'!$A$1:$D$100,2,FALSE)</f>
        <v>Differential measurement of trunk radial growth</v>
      </c>
      <c r="M223" s="5" t="str">
        <f>VLOOKUP($K223,'Property names'!$A$1:$D$100,3,FALSE)</f>
        <v>Millimeters</v>
      </c>
      <c r="N223" s="5" t="str">
        <f>VLOOKUP($K223,'Property names'!$A$1:$D$100,4,FALSE)</f>
        <v>mm</v>
      </c>
      <c r="O223" s="204" t="s">
        <v>810</v>
      </c>
      <c r="P223" s="204" t="s">
        <v>811</v>
      </c>
      <c r="Q223" s="5" t="s">
        <v>653</v>
      </c>
    </row>
    <row r="224" spans="1:17" ht="15">
      <c r="A224" s="204" t="s">
        <v>693</v>
      </c>
      <c r="B224" s="204" t="s">
        <v>698</v>
      </c>
      <c r="C224" s="204" t="s">
        <v>714</v>
      </c>
      <c r="D224" s="205">
        <v>3.9948329999999999</v>
      </c>
      <c r="E224" s="205">
        <v>8.7036390000000008</v>
      </c>
      <c r="F224" s="204" t="s">
        <v>178</v>
      </c>
      <c r="G224" s="204" t="s">
        <v>715</v>
      </c>
      <c r="H224" s="204" t="s">
        <v>170</v>
      </c>
      <c r="I224" s="206" t="str">
        <f t="shared" si="6"/>
        <v>EUI_EQ_I027</v>
      </c>
      <c r="J224" s="204" t="s">
        <v>726</v>
      </c>
      <c r="K224" s="5" t="s">
        <v>727</v>
      </c>
      <c r="L224" s="5" t="str">
        <f>VLOOKUP($K224,'Property names'!$A$1:$D$100,2,FALSE)</f>
        <v>Sap velocity</v>
      </c>
      <c r="M224" s="5" t="str">
        <f>VLOOKUP($K224,'Property names'!$A$1:$D$100,3,FALSE)</f>
        <v>Centimeter per Second</v>
      </c>
      <c r="N224" s="5" t="str">
        <f>VLOOKUP($K224,'Property names'!$A$1:$D$100,4,FALSE)</f>
        <v>cm/h</v>
      </c>
      <c r="O224" s="204" t="s">
        <v>812</v>
      </c>
      <c r="P224" s="204" t="s">
        <v>813</v>
      </c>
      <c r="Q224" s="5" t="s">
        <v>653</v>
      </c>
    </row>
    <row r="225" spans="1:17" ht="15">
      <c r="A225" s="204" t="s">
        <v>693</v>
      </c>
      <c r="B225" s="204" t="s">
        <v>698</v>
      </c>
      <c r="C225" s="204" t="s">
        <v>714</v>
      </c>
      <c r="D225" s="205">
        <v>3.9948329999999999</v>
      </c>
      <c r="E225" s="205">
        <v>8.7036390000000008</v>
      </c>
      <c r="F225" s="204" t="s">
        <v>178</v>
      </c>
      <c r="G225" s="204" t="s">
        <v>715</v>
      </c>
      <c r="H225" s="204" t="s">
        <v>170</v>
      </c>
      <c r="I225" s="206" t="str">
        <f t="shared" si="6"/>
        <v>EUI_EQ_I027</v>
      </c>
      <c r="J225" s="204" t="s">
        <v>730</v>
      </c>
      <c r="K225" s="5" t="s">
        <v>730</v>
      </c>
      <c r="L225" s="5" t="str">
        <f>VLOOKUP($K225,'Property names'!$A$1:$D$100,2,FALSE)</f>
        <v>Rotation over X axis</v>
      </c>
      <c r="M225" s="5" t="str">
        <f>VLOOKUP($K225,'Property names'!$A$1:$D$100,3,FALSE)</f>
        <v>Degrees</v>
      </c>
      <c r="N225" s="5" t="str">
        <f>VLOOKUP($K225,'Property names'!$A$1:$D$100,4,FALSE)</f>
        <v>°</v>
      </c>
      <c r="O225" s="204" t="s">
        <v>814</v>
      </c>
      <c r="P225" s="204" t="s">
        <v>815</v>
      </c>
      <c r="Q225" s="5" t="s">
        <v>653</v>
      </c>
    </row>
    <row r="226" spans="1:17" ht="15">
      <c r="A226" s="204" t="s">
        <v>693</v>
      </c>
      <c r="B226" s="204" t="s">
        <v>698</v>
      </c>
      <c r="C226" s="204" t="s">
        <v>714</v>
      </c>
      <c r="D226" s="205">
        <v>3.9948329999999999</v>
      </c>
      <c r="E226" s="205">
        <v>8.7036390000000008</v>
      </c>
      <c r="F226" s="204" t="s">
        <v>178</v>
      </c>
      <c r="G226" s="204" t="s">
        <v>715</v>
      </c>
      <c r="H226" s="204" t="s">
        <v>170</v>
      </c>
      <c r="I226" s="206" t="str">
        <f t="shared" si="6"/>
        <v>EUI_EQ_I027</v>
      </c>
      <c r="J226" s="204" t="s">
        <v>733</v>
      </c>
      <c r="K226" s="5" t="s">
        <v>733</v>
      </c>
      <c r="L226" s="5" t="str">
        <f>VLOOKUP($K226,'Property names'!$A$1:$D$100,2,FALSE)</f>
        <v>Rotation over Y axis</v>
      </c>
      <c r="M226" s="5" t="str">
        <f>VLOOKUP($K226,'Property names'!$A$1:$D$100,3,FALSE)</f>
        <v>Degrees</v>
      </c>
      <c r="N226" s="5" t="str">
        <f>VLOOKUP($K226,'Property names'!$A$1:$D$100,4,FALSE)</f>
        <v>°</v>
      </c>
      <c r="O226" s="204" t="s">
        <v>816</v>
      </c>
      <c r="P226" s="204" t="s">
        <v>817</v>
      </c>
      <c r="Q226" s="5" t="s">
        <v>653</v>
      </c>
    </row>
    <row r="227" spans="1:17" ht="15">
      <c r="A227" s="204" t="s">
        <v>693</v>
      </c>
      <c r="B227" s="204" t="s">
        <v>698</v>
      </c>
      <c r="C227" s="204" t="s">
        <v>714</v>
      </c>
      <c r="D227" s="205">
        <v>3.9948329999999999</v>
      </c>
      <c r="E227" s="205">
        <v>8.7036390000000008</v>
      </c>
      <c r="F227" s="204" t="s">
        <v>178</v>
      </c>
      <c r="G227" s="204" t="s">
        <v>715</v>
      </c>
      <c r="H227" s="204" t="s">
        <v>170</v>
      </c>
      <c r="I227" s="206" t="str">
        <f t="shared" si="6"/>
        <v>EUI_EQ_I027</v>
      </c>
      <c r="J227" s="204" t="s">
        <v>736</v>
      </c>
      <c r="K227" s="5" t="s">
        <v>736</v>
      </c>
      <c r="L227" s="5" t="str">
        <f>VLOOKUP($K227,'Property names'!$A$1:$D$100,2,FALSE)</f>
        <v>Rotation over Z axis</v>
      </c>
      <c r="M227" s="5" t="str">
        <f>VLOOKUP($K227,'Property names'!$A$1:$D$100,3,FALSE)</f>
        <v>Degrees</v>
      </c>
      <c r="N227" s="5" t="str">
        <f>VLOOKUP($K227,'Property names'!$A$1:$D$100,4,FALSE)</f>
        <v>°</v>
      </c>
      <c r="O227" s="204" t="s">
        <v>818</v>
      </c>
      <c r="P227" s="204" t="s">
        <v>819</v>
      </c>
      <c r="Q227" s="5" t="s">
        <v>653</v>
      </c>
    </row>
    <row r="228" spans="1:17" ht="15">
      <c r="A228" s="204" t="s">
        <v>693</v>
      </c>
      <c r="B228" s="204" t="s">
        <v>698</v>
      </c>
      <c r="C228" s="204" t="s">
        <v>714</v>
      </c>
      <c r="D228" s="205">
        <v>3.9948329999999999</v>
      </c>
      <c r="E228" s="205">
        <v>8.7036390000000008</v>
      </c>
      <c r="F228" s="204" t="s">
        <v>178</v>
      </c>
      <c r="G228" s="204" t="s">
        <v>715</v>
      </c>
      <c r="H228" s="204" t="s">
        <v>170</v>
      </c>
      <c r="I228" s="206" t="str">
        <f t="shared" si="6"/>
        <v>EUI_EQ_I027</v>
      </c>
      <c r="J228" s="204" t="s">
        <v>679</v>
      </c>
      <c r="K228" s="204" t="s">
        <v>652</v>
      </c>
      <c r="L228" s="5" t="str">
        <f>VLOOKUP($K228,'Property names'!$A$1:$D$100,2,FALSE)</f>
        <v>The measure of the hotness or coldness of the air.</v>
      </c>
      <c r="M228" s="5" t="str">
        <f>VLOOKUP($K228,'Property names'!$A$1:$D$100,3,FALSE)</f>
        <v>Degrees Celsius</v>
      </c>
      <c r="N228" s="5" t="str">
        <f>VLOOKUP($K228,'Property names'!$A$1:$D$100,4,FALSE)</f>
        <v>ºC</v>
      </c>
      <c r="O228" s="204" t="s">
        <v>820</v>
      </c>
      <c r="P228" s="204" t="s">
        <v>821</v>
      </c>
      <c r="Q228" s="5" t="s">
        <v>653</v>
      </c>
    </row>
    <row r="229" spans="1:17" ht="15">
      <c r="A229" s="204" t="s">
        <v>693</v>
      </c>
      <c r="B229" s="204" t="s">
        <v>698</v>
      </c>
      <c r="C229" s="204" t="s">
        <v>714</v>
      </c>
      <c r="D229" s="205">
        <v>3.9948329999999999</v>
      </c>
      <c r="E229" s="205">
        <v>8.7036390000000008</v>
      </c>
      <c r="F229" s="204" t="s">
        <v>178</v>
      </c>
      <c r="G229" s="204" t="s">
        <v>715</v>
      </c>
      <c r="H229" s="204" t="s">
        <v>170</v>
      </c>
      <c r="I229" s="206" t="str">
        <f t="shared" si="6"/>
        <v>EUI_EQ_I027</v>
      </c>
      <c r="J229" s="204" t="s">
        <v>654</v>
      </c>
      <c r="K229" s="204" t="s">
        <v>655</v>
      </c>
      <c r="L229" s="5" t="str">
        <f>VLOOKUP($K229,'Property names'!$A$1:$D$100,2,FALSE)</f>
        <v>The amount of moisture or water vapor present in the air, often expressed as a percentage of the maximum amount the air could hold at a given temperature.</v>
      </c>
      <c r="M229" s="5" t="str">
        <f>VLOOKUP($K229,'Property names'!$A$1:$D$100,3,FALSE)</f>
        <v>Percentage</v>
      </c>
      <c r="N229" s="5" t="str">
        <f>VLOOKUP($K229,'Property names'!$A$1:$D$100,4,FALSE)</f>
        <v>%</v>
      </c>
      <c r="O229" s="204" t="s">
        <v>822</v>
      </c>
      <c r="P229" s="204" t="s">
        <v>823</v>
      </c>
      <c r="Q229" s="5" t="s">
        <v>653</v>
      </c>
    </row>
    <row r="230" spans="1:17" ht="15">
      <c r="A230" s="207" t="s">
        <v>693</v>
      </c>
      <c r="B230" s="204" t="s">
        <v>698</v>
      </c>
      <c r="C230" s="204" t="s">
        <v>714</v>
      </c>
      <c r="D230" s="205">
        <v>3.9948329999999999</v>
      </c>
      <c r="E230" s="205">
        <v>8.7036390000000008</v>
      </c>
      <c r="F230" s="204" t="s">
        <v>178</v>
      </c>
      <c r="G230" s="204" t="s">
        <v>715</v>
      </c>
      <c r="H230" s="204" t="s">
        <v>170</v>
      </c>
      <c r="I230" s="206" t="str">
        <f t="shared" si="6"/>
        <v>EUI_EQ_I027</v>
      </c>
      <c r="J230" s="204" t="s">
        <v>743</v>
      </c>
      <c r="K230" s="204" t="s">
        <v>692</v>
      </c>
      <c r="L230" s="5" t="str">
        <f>VLOOKUP($K230,'Property names'!$A$1:$D$100,2,FALSE)</f>
        <v>The electrical potential in a battery, indicating its charge level.</v>
      </c>
      <c r="M230" s="5" t="str">
        <f>VLOOKUP($K230,'Property names'!$A$1:$D$100,3,FALSE)</f>
        <v>Millivolts</v>
      </c>
      <c r="N230" s="5" t="str">
        <f>VLOOKUP($K230,'Property names'!$A$1:$D$100,4,FALSE)</f>
        <v>mV</v>
      </c>
      <c r="O230" s="204" t="s">
        <v>824</v>
      </c>
      <c r="P230" s="204" t="s">
        <v>825</v>
      </c>
      <c r="Q230" s="5" t="s">
        <v>653</v>
      </c>
    </row>
    <row r="231" spans="1:17" ht="15">
      <c r="A231" s="204" t="s">
        <v>693</v>
      </c>
      <c r="B231" s="204" t="s">
        <v>698</v>
      </c>
      <c r="C231" s="204" t="s">
        <v>714</v>
      </c>
      <c r="D231" s="205">
        <v>3.9948329999999999</v>
      </c>
      <c r="E231" s="205">
        <v>8.7036390000000008</v>
      </c>
      <c r="F231" s="204" t="s">
        <v>180</v>
      </c>
      <c r="G231" s="204" t="s">
        <v>715</v>
      </c>
      <c r="H231" s="204" t="s">
        <v>170</v>
      </c>
      <c r="I231" s="206" t="str">
        <f t="shared" si="6"/>
        <v>EUI_EQ_I028</v>
      </c>
      <c r="J231" s="204" t="s">
        <v>716</v>
      </c>
      <c r="K231" s="5" t="s">
        <v>716</v>
      </c>
      <c r="L231" s="5" t="str">
        <f>VLOOKUP($K231,'Property names'!$A$1:$D$100,2,FALSE)</f>
        <v>UTC epoch time when the data were collected</v>
      </c>
      <c r="M231" s="5" t="str">
        <f>VLOOKUP($K231,'Property names'!$A$1:$D$100,3,FALSE)</f>
        <v>Seconds</v>
      </c>
      <c r="N231" s="5" t="str">
        <f>VLOOKUP($K231,'Property names'!$A$1:$D$100,4,FALSE)</f>
        <v>s</v>
      </c>
      <c r="O231" s="204" t="s">
        <v>826</v>
      </c>
      <c r="P231" s="204" t="s">
        <v>827</v>
      </c>
      <c r="Q231" s="5" t="s">
        <v>653</v>
      </c>
    </row>
    <row r="232" spans="1:17" ht="15">
      <c r="A232" s="204" t="s">
        <v>693</v>
      </c>
      <c r="B232" s="204" t="s">
        <v>698</v>
      </c>
      <c r="C232" s="204" t="s">
        <v>714</v>
      </c>
      <c r="D232" s="205">
        <v>3.9948329999999999</v>
      </c>
      <c r="E232" s="205">
        <v>8.7036390000000008</v>
      </c>
      <c r="F232" s="204" t="s">
        <v>180</v>
      </c>
      <c r="G232" s="204" t="s">
        <v>715</v>
      </c>
      <c r="H232" s="204" t="s">
        <v>170</v>
      </c>
      <c r="I232" s="206" t="str">
        <f t="shared" si="6"/>
        <v>EUI_EQ_I028</v>
      </c>
      <c r="J232" s="204" t="s">
        <v>719</v>
      </c>
      <c r="K232" s="5" t="s">
        <v>719</v>
      </c>
      <c r="L232" s="5" t="str">
        <f>VLOOKUP($K232,'Property names'!$A$1:$D$100,2,FALSE)</f>
        <v>Normalized Difference Vegetation Index</v>
      </c>
      <c r="M232" s="5" t="str">
        <f>VLOOKUP($K232,'Property names'!$A$1:$D$100,3,FALSE)</f>
        <v>-</v>
      </c>
      <c r="N232" s="5" t="str">
        <f>VLOOKUP($K232,'Property names'!$A$1:$D$100,4,FALSE)</f>
        <v>-</v>
      </c>
      <c r="O232" s="204" t="s">
        <v>828</v>
      </c>
      <c r="P232" s="204" t="s">
        <v>829</v>
      </c>
      <c r="Q232" s="5" t="s">
        <v>653</v>
      </c>
    </row>
    <row r="233" spans="1:17" ht="15">
      <c r="A233" s="204" t="s">
        <v>693</v>
      </c>
      <c r="B233" s="204" t="s">
        <v>698</v>
      </c>
      <c r="C233" s="204" t="s">
        <v>714</v>
      </c>
      <c r="D233" s="205">
        <v>3.9948329999999999</v>
      </c>
      <c r="E233" s="205">
        <v>8.7036390000000008</v>
      </c>
      <c r="F233" s="204" t="s">
        <v>180</v>
      </c>
      <c r="G233" s="204" t="s">
        <v>715</v>
      </c>
      <c r="H233" s="204" t="s">
        <v>170</v>
      </c>
      <c r="I233" s="206" t="str">
        <f t="shared" si="6"/>
        <v>EUI_EQ_I028</v>
      </c>
      <c r="J233" s="204" t="s">
        <v>722</v>
      </c>
      <c r="K233" s="5" t="s">
        <v>723</v>
      </c>
      <c r="L233" s="5" t="str">
        <f>VLOOKUP($K233,'Property names'!$A$1:$D$100,2,FALSE)</f>
        <v>Differential measurement of trunk radial growth</v>
      </c>
      <c r="M233" s="5" t="str">
        <f>VLOOKUP($K233,'Property names'!$A$1:$D$100,3,FALSE)</f>
        <v>Millimeters</v>
      </c>
      <c r="N233" s="5" t="str">
        <f>VLOOKUP($K233,'Property names'!$A$1:$D$100,4,FALSE)</f>
        <v>mm</v>
      </c>
      <c r="O233" s="204" t="s">
        <v>830</v>
      </c>
      <c r="P233" s="204" t="s">
        <v>831</v>
      </c>
      <c r="Q233" s="5" t="s">
        <v>653</v>
      </c>
    </row>
    <row r="234" spans="1:17" ht="15">
      <c r="A234" s="204" t="s">
        <v>693</v>
      </c>
      <c r="B234" s="204" t="s">
        <v>698</v>
      </c>
      <c r="C234" s="204" t="s">
        <v>714</v>
      </c>
      <c r="D234" s="205">
        <v>3.9948329999999999</v>
      </c>
      <c r="E234" s="205">
        <v>8.7036390000000008</v>
      </c>
      <c r="F234" s="204" t="s">
        <v>180</v>
      </c>
      <c r="G234" s="204" t="s">
        <v>715</v>
      </c>
      <c r="H234" s="204" t="s">
        <v>170</v>
      </c>
      <c r="I234" s="206" t="str">
        <f t="shared" si="6"/>
        <v>EUI_EQ_I028</v>
      </c>
      <c r="J234" s="204" t="s">
        <v>726</v>
      </c>
      <c r="K234" s="5" t="s">
        <v>727</v>
      </c>
      <c r="L234" s="5" t="str">
        <f>VLOOKUP($K234,'Property names'!$A$1:$D$100,2,FALSE)</f>
        <v>Sap velocity</v>
      </c>
      <c r="M234" s="5" t="str">
        <f>VLOOKUP($K234,'Property names'!$A$1:$D$100,3,FALSE)</f>
        <v>Centimeter per Second</v>
      </c>
      <c r="N234" s="5" t="str">
        <f>VLOOKUP($K234,'Property names'!$A$1:$D$100,4,FALSE)</f>
        <v>cm/h</v>
      </c>
      <c r="O234" s="204" t="s">
        <v>832</v>
      </c>
      <c r="P234" s="204" t="s">
        <v>833</v>
      </c>
      <c r="Q234" s="5" t="s">
        <v>653</v>
      </c>
    </row>
    <row r="235" spans="1:17" ht="15">
      <c r="A235" s="204" t="s">
        <v>693</v>
      </c>
      <c r="B235" s="204" t="s">
        <v>698</v>
      </c>
      <c r="C235" s="204" t="s">
        <v>714</v>
      </c>
      <c r="D235" s="205">
        <v>3.9948329999999999</v>
      </c>
      <c r="E235" s="205">
        <v>8.7036390000000008</v>
      </c>
      <c r="F235" s="204" t="s">
        <v>180</v>
      </c>
      <c r="G235" s="204" t="s">
        <v>715</v>
      </c>
      <c r="H235" s="204" t="s">
        <v>170</v>
      </c>
      <c r="I235" s="206" t="str">
        <f t="shared" si="6"/>
        <v>EUI_EQ_I028</v>
      </c>
      <c r="J235" s="204" t="s">
        <v>730</v>
      </c>
      <c r="K235" s="5" t="s">
        <v>730</v>
      </c>
      <c r="L235" s="5" t="str">
        <f>VLOOKUP($K235,'Property names'!$A$1:$D$100,2,FALSE)</f>
        <v>Rotation over X axis</v>
      </c>
      <c r="M235" s="5" t="str">
        <f>VLOOKUP($K235,'Property names'!$A$1:$D$100,3,FALSE)</f>
        <v>Degrees</v>
      </c>
      <c r="N235" s="5" t="str">
        <f>VLOOKUP($K235,'Property names'!$A$1:$D$100,4,FALSE)</f>
        <v>°</v>
      </c>
      <c r="O235" s="204" t="s">
        <v>834</v>
      </c>
      <c r="P235" s="204" t="s">
        <v>835</v>
      </c>
      <c r="Q235" s="5" t="s">
        <v>653</v>
      </c>
    </row>
    <row r="236" spans="1:17" ht="15">
      <c r="A236" s="204" t="s">
        <v>693</v>
      </c>
      <c r="B236" s="204" t="s">
        <v>698</v>
      </c>
      <c r="C236" s="204" t="s">
        <v>714</v>
      </c>
      <c r="D236" s="205">
        <v>3.9948329999999999</v>
      </c>
      <c r="E236" s="205">
        <v>8.7036390000000008</v>
      </c>
      <c r="F236" s="204" t="s">
        <v>180</v>
      </c>
      <c r="G236" s="204" t="s">
        <v>715</v>
      </c>
      <c r="H236" s="204" t="s">
        <v>170</v>
      </c>
      <c r="I236" s="206" t="str">
        <f t="shared" si="6"/>
        <v>EUI_EQ_I028</v>
      </c>
      <c r="J236" s="204" t="s">
        <v>733</v>
      </c>
      <c r="K236" s="5" t="s">
        <v>733</v>
      </c>
      <c r="L236" s="5" t="str">
        <f>VLOOKUP($K236,'Property names'!$A$1:$D$100,2,FALSE)</f>
        <v>Rotation over Y axis</v>
      </c>
      <c r="M236" s="5" t="str">
        <f>VLOOKUP($K236,'Property names'!$A$1:$D$100,3,FALSE)</f>
        <v>Degrees</v>
      </c>
      <c r="N236" s="5" t="str">
        <f>VLOOKUP($K236,'Property names'!$A$1:$D$100,4,FALSE)</f>
        <v>°</v>
      </c>
      <c r="O236" s="204" t="s">
        <v>836</v>
      </c>
      <c r="P236" s="204" t="s">
        <v>837</v>
      </c>
      <c r="Q236" s="5" t="s">
        <v>653</v>
      </c>
    </row>
    <row r="237" spans="1:17" ht="15">
      <c r="A237" s="204" t="s">
        <v>693</v>
      </c>
      <c r="B237" s="204" t="s">
        <v>698</v>
      </c>
      <c r="C237" s="204" t="s">
        <v>714</v>
      </c>
      <c r="D237" s="205">
        <v>3.9948329999999999</v>
      </c>
      <c r="E237" s="205">
        <v>8.7036390000000008</v>
      </c>
      <c r="F237" s="204" t="s">
        <v>180</v>
      </c>
      <c r="G237" s="204" t="s">
        <v>715</v>
      </c>
      <c r="H237" s="204" t="s">
        <v>170</v>
      </c>
      <c r="I237" s="206" t="str">
        <f t="shared" si="6"/>
        <v>EUI_EQ_I028</v>
      </c>
      <c r="J237" s="204" t="s">
        <v>736</v>
      </c>
      <c r="K237" s="5" t="s">
        <v>736</v>
      </c>
      <c r="L237" s="5" t="str">
        <f>VLOOKUP($K237,'Property names'!$A$1:$D$100,2,FALSE)</f>
        <v>Rotation over Z axis</v>
      </c>
      <c r="M237" s="5" t="str">
        <f>VLOOKUP($K237,'Property names'!$A$1:$D$100,3,FALSE)</f>
        <v>Degrees</v>
      </c>
      <c r="N237" s="5" t="str">
        <f>VLOOKUP($K237,'Property names'!$A$1:$D$100,4,FALSE)</f>
        <v>°</v>
      </c>
      <c r="O237" s="204" t="s">
        <v>838</v>
      </c>
      <c r="P237" s="204" t="s">
        <v>839</v>
      </c>
      <c r="Q237" s="5" t="s">
        <v>653</v>
      </c>
    </row>
    <row r="238" spans="1:17" ht="15">
      <c r="A238" s="204" t="s">
        <v>693</v>
      </c>
      <c r="B238" s="204" t="s">
        <v>698</v>
      </c>
      <c r="C238" s="204" t="s">
        <v>714</v>
      </c>
      <c r="D238" s="205">
        <v>3.9948329999999999</v>
      </c>
      <c r="E238" s="205">
        <v>8.7036390000000008</v>
      </c>
      <c r="F238" s="204" t="s">
        <v>180</v>
      </c>
      <c r="G238" s="204" t="s">
        <v>715</v>
      </c>
      <c r="H238" s="204" t="s">
        <v>170</v>
      </c>
      <c r="I238" s="206" t="str">
        <f t="shared" si="6"/>
        <v>EUI_EQ_I028</v>
      </c>
      <c r="J238" s="204" t="s">
        <v>679</v>
      </c>
      <c r="K238" s="204" t="s">
        <v>652</v>
      </c>
      <c r="L238" s="5" t="str">
        <f>VLOOKUP($K238,'Property names'!$A$1:$D$100,2,FALSE)</f>
        <v>The measure of the hotness or coldness of the air.</v>
      </c>
      <c r="M238" s="5" t="str">
        <f>VLOOKUP($K238,'Property names'!$A$1:$D$100,3,FALSE)</f>
        <v>Degrees Celsius</v>
      </c>
      <c r="N238" s="5" t="str">
        <f>VLOOKUP($K238,'Property names'!$A$1:$D$100,4,FALSE)</f>
        <v>ºC</v>
      </c>
      <c r="O238" s="204" t="s">
        <v>840</v>
      </c>
      <c r="P238" s="204" t="s">
        <v>841</v>
      </c>
      <c r="Q238" s="5" t="s">
        <v>653</v>
      </c>
    </row>
    <row r="239" spans="1:17" ht="15">
      <c r="A239" s="204" t="s">
        <v>693</v>
      </c>
      <c r="B239" s="204" t="s">
        <v>698</v>
      </c>
      <c r="C239" s="204" t="s">
        <v>714</v>
      </c>
      <c r="D239" s="205">
        <v>3.9948329999999999</v>
      </c>
      <c r="E239" s="205">
        <v>8.7036390000000008</v>
      </c>
      <c r="F239" s="204" t="s">
        <v>180</v>
      </c>
      <c r="G239" s="204" t="s">
        <v>715</v>
      </c>
      <c r="H239" s="204" t="s">
        <v>170</v>
      </c>
      <c r="I239" s="206" t="str">
        <f t="shared" si="6"/>
        <v>EUI_EQ_I028</v>
      </c>
      <c r="J239" s="204" t="s">
        <v>654</v>
      </c>
      <c r="K239" s="204" t="s">
        <v>655</v>
      </c>
      <c r="L239" s="5" t="str">
        <f>VLOOKUP($K239,'Property names'!$A$1:$D$100,2,FALSE)</f>
        <v>The amount of moisture or water vapor present in the air, often expressed as a percentage of the maximum amount the air could hold at a given temperature.</v>
      </c>
      <c r="M239" s="5" t="str">
        <f>VLOOKUP($K239,'Property names'!$A$1:$D$100,3,FALSE)</f>
        <v>Percentage</v>
      </c>
      <c r="N239" s="5" t="str">
        <f>VLOOKUP($K239,'Property names'!$A$1:$D$100,4,FALSE)</f>
        <v>%</v>
      </c>
      <c r="O239" s="204" t="s">
        <v>842</v>
      </c>
      <c r="P239" s="204" t="s">
        <v>843</v>
      </c>
      <c r="Q239" s="5" t="s">
        <v>653</v>
      </c>
    </row>
    <row r="240" spans="1:17" ht="15">
      <c r="A240" s="207" t="s">
        <v>693</v>
      </c>
      <c r="B240" s="204" t="s">
        <v>698</v>
      </c>
      <c r="C240" s="204" t="s">
        <v>714</v>
      </c>
      <c r="D240" s="205">
        <v>3.9948329999999999</v>
      </c>
      <c r="E240" s="205">
        <v>8.7036390000000008</v>
      </c>
      <c r="F240" s="204" t="s">
        <v>180</v>
      </c>
      <c r="G240" s="204" t="s">
        <v>715</v>
      </c>
      <c r="H240" s="204" t="s">
        <v>170</v>
      </c>
      <c r="I240" s="206" t="str">
        <f t="shared" si="6"/>
        <v>EUI_EQ_I028</v>
      </c>
      <c r="J240" s="204" t="s">
        <v>743</v>
      </c>
      <c r="K240" s="204" t="s">
        <v>692</v>
      </c>
      <c r="L240" s="5" t="str">
        <f>VLOOKUP($K240,'Property names'!$A$1:$D$100,2,FALSE)</f>
        <v>The electrical potential in a battery, indicating its charge level.</v>
      </c>
      <c r="M240" s="5" t="str">
        <f>VLOOKUP($K240,'Property names'!$A$1:$D$100,3,FALSE)</f>
        <v>Millivolts</v>
      </c>
      <c r="N240" s="5" t="str">
        <f>VLOOKUP($K240,'Property names'!$A$1:$D$100,4,FALSE)</f>
        <v>mV</v>
      </c>
      <c r="O240" s="204" t="s">
        <v>844</v>
      </c>
      <c r="P240" s="204" t="s">
        <v>845</v>
      </c>
      <c r="Q240" s="5" t="s">
        <v>653</v>
      </c>
    </row>
    <row r="241" spans="1:17" ht="15">
      <c r="A241" s="204" t="s">
        <v>693</v>
      </c>
      <c r="B241" s="204" t="s">
        <v>698</v>
      </c>
      <c r="C241" s="204" t="s">
        <v>714</v>
      </c>
      <c r="D241" s="205">
        <v>3.9948329999999999</v>
      </c>
      <c r="E241" s="205">
        <v>8.7036390000000008</v>
      </c>
      <c r="F241" s="204" t="s">
        <v>182</v>
      </c>
      <c r="G241" s="204" t="s">
        <v>715</v>
      </c>
      <c r="H241" s="204" t="s">
        <v>170</v>
      </c>
      <c r="I241" s="206" t="str">
        <f t="shared" si="6"/>
        <v>EUI_EQ_I029</v>
      </c>
      <c r="J241" s="204" t="s">
        <v>716</v>
      </c>
      <c r="K241" s="5" t="s">
        <v>716</v>
      </c>
      <c r="L241" s="5" t="str">
        <f>VLOOKUP($K241,'Property names'!$A$1:$D$100,2,FALSE)</f>
        <v>UTC epoch time when the data were collected</v>
      </c>
      <c r="M241" s="5" t="str">
        <f>VLOOKUP($K241,'Property names'!$A$1:$D$100,3,FALSE)</f>
        <v>Seconds</v>
      </c>
      <c r="N241" s="5" t="str">
        <f>VLOOKUP($K241,'Property names'!$A$1:$D$100,4,FALSE)</f>
        <v>s</v>
      </c>
      <c r="O241" s="204" t="s">
        <v>846</v>
      </c>
      <c r="P241" s="204" t="s">
        <v>847</v>
      </c>
      <c r="Q241" s="5" t="s">
        <v>653</v>
      </c>
    </row>
    <row r="242" spans="1:17" ht="15">
      <c r="A242" s="204" t="s">
        <v>693</v>
      </c>
      <c r="B242" s="204" t="s">
        <v>698</v>
      </c>
      <c r="C242" s="204" t="s">
        <v>714</v>
      </c>
      <c r="D242" s="205">
        <v>3.9948329999999999</v>
      </c>
      <c r="E242" s="205">
        <v>8.7036390000000008</v>
      </c>
      <c r="F242" s="204" t="s">
        <v>182</v>
      </c>
      <c r="G242" s="204" t="s">
        <v>715</v>
      </c>
      <c r="H242" s="204" t="s">
        <v>170</v>
      </c>
      <c r="I242" s="206" t="str">
        <f t="shared" si="6"/>
        <v>EUI_EQ_I029</v>
      </c>
      <c r="J242" s="204" t="s">
        <v>719</v>
      </c>
      <c r="K242" s="5" t="s">
        <v>719</v>
      </c>
      <c r="L242" s="5" t="str">
        <f>VLOOKUP($K242,'Property names'!$A$1:$D$100,2,FALSE)</f>
        <v>Normalized Difference Vegetation Index</v>
      </c>
      <c r="M242" s="5" t="str">
        <f>VLOOKUP($K242,'Property names'!$A$1:$D$100,3,FALSE)</f>
        <v>-</v>
      </c>
      <c r="N242" s="5" t="str">
        <f>VLOOKUP($K242,'Property names'!$A$1:$D$100,4,FALSE)</f>
        <v>-</v>
      </c>
      <c r="O242" s="204" t="s">
        <v>848</v>
      </c>
      <c r="P242" s="204" t="s">
        <v>849</v>
      </c>
      <c r="Q242" s="5" t="s">
        <v>653</v>
      </c>
    </row>
    <row r="243" spans="1:17" ht="15">
      <c r="A243" s="204" t="s">
        <v>693</v>
      </c>
      <c r="B243" s="204" t="s">
        <v>698</v>
      </c>
      <c r="C243" s="204" t="s">
        <v>714</v>
      </c>
      <c r="D243" s="205">
        <v>3.9948329999999999</v>
      </c>
      <c r="E243" s="205">
        <v>8.7036390000000008</v>
      </c>
      <c r="F243" s="204" t="s">
        <v>182</v>
      </c>
      <c r="G243" s="204" t="s">
        <v>715</v>
      </c>
      <c r="H243" s="204" t="s">
        <v>170</v>
      </c>
      <c r="I243" s="206" t="str">
        <f t="shared" si="6"/>
        <v>EUI_EQ_I029</v>
      </c>
      <c r="J243" s="204" t="s">
        <v>722</v>
      </c>
      <c r="K243" s="5" t="s">
        <v>723</v>
      </c>
      <c r="L243" s="5" t="str">
        <f>VLOOKUP($K243,'Property names'!$A$1:$D$100,2,FALSE)</f>
        <v>Differential measurement of trunk radial growth</v>
      </c>
      <c r="M243" s="5" t="str">
        <f>VLOOKUP($K243,'Property names'!$A$1:$D$100,3,FALSE)</f>
        <v>Millimeters</v>
      </c>
      <c r="N243" s="5" t="str">
        <f>VLOOKUP($K243,'Property names'!$A$1:$D$100,4,FALSE)</f>
        <v>mm</v>
      </c>
      <c r="O243" s="204" t="s">
        <v>850</v>
      </c>
      <c r="P243" s="204" t="s">
        <v>851</v>
      </c>
      <c r="Q243" s="5" t="s">
        <v>653</v>
      </c>
    </row>
    <row r="244" spans="1:17" ht="15">
      <c r="A244" s="204" t="s">
        <v>693</v>
      </c>
      <c r="B244" s="208" t="s">
        <v>698</v>
      </c>
      <c r="C244" s="204" t="s">
        <v>714</v>
      </c>
      <c r="D244" s="205">
        <v>3.9948329999999999</v>
      </c>
      <c r="E244" s="205">
        <v>8.7036390000000008</v>
      </c>
      <c r="F244" s="208" t="s">
        <v>182</v>
      </c>
      <c r="G244" s="204" t="s">
        <v>715</v>
      </c>
      <c r="H244" s="204" t="s">
        <v>170</v>
      </c>
      <c r="I244" s="206" t="str">
        <f t="shared" si="6"/>
        <v>EUI_EQ_I029</v>
      </c>
      <c r="J244" s="204" t="s">
        <v>726</v>
      </c>
      <c r="K244" s="5" t="s">
        <v>727</v>
      </c>
      <c r="L244" s="5" t="str">
        <f>VLOOKUP($K244,'Property names'!$A$1:$D$100,2,FALSE)</f>
        <v>Sap velocity</v>
      </c>
      <c r="M244" s="5" t="str">
        <f>VLOOKUP($K244,'Property names'!$A$1:$D$100,3,FALSE)</f>
        <v>Centimeter per Second</v>
      </c>
      <c r="N244" s="5" t="str">
        <f>VLOOKUP($K244,'Property names'!$A$1:$D$100,4,FALSE)</f>
        <v>cm/h</v>
      </c>
      <c r="O244" s="204" t="s">
        <v>852</v>
      </c>
      <c r="P244" s="204" t="s">
        <v>853</v>
      </c>
      <c r="Q244" s="5" t="s">
        <v>653</v>
      </c>
    </row>
    <row r="245" spans="1:17" ht="15">
      <c r="A245" s="204" t="s">
        <v>693</v>
      </c>
      <c r="B245" s="208" t="s">
        <v>698</v>
      </c>
      <c r="C245" s="204" t="s">
        <v>714</v>
      </c>
      <c r="D245" s="205">
        <v>3.9948329999999999</v>
      </c>
      <c r="E245" s="205">
        <v>8.7036390000000008</v>
      </c>
      <c r="F245" s="208" t="s">
        <v>182</v>
      </c>
      <c r="G245" s="204" t="s">
        <v>715</v>
      </c>
      <c r="H245" s="204" t="s">
        <v>170</v>
      </c>
      <c r="I245" s="206" t="str">
        <f t="shared" si="6"/>
        <v>EUI_EQ_I029</v>
      </c>
      <c r="J245" s="204" t="s">
        <v>730</v>
      </c>
      <c r="K245" s="5" t="s">
        <v>730</v>
      </c>
      <c r="L245" s="5" t="str">
        <f>VLOOKUP($K245,'Property names'!$A$1:$D$100,2,FALSE)</f>
        <v>Rotation over X axis</v>
      </c>
      <c r="M245" s="5" t="str">
        <f>VLOOKUP($K245,'Property names'!$A$1:$D$100,3,FALSE)</f>
        <v>Degrees</v>
      </c>
      <c r="N245" s="5" t="str">
        <f>VLOOKUP($K245,'Property names'!$A$1:$D$100,4,FALSE)</f>
        <v>°</v>
      </c>
      <c r="O245" s="204" t="s">
        <v>854</v>
      </c>
      <c r="P245" s="204" t="s">
        <v>855</v>
      </c>
      <c r="Q245" s="5" t="s">
        <v>653</v>
      </c>
    </row>
    <row r="246" spans="1:17" ht="15">
      <c r="A246" s="204" t="s">
        <v>693</v>
      </c>
      <c r="B246" s="208" t="s">
        <v>698</v>
      </c>
      <c r="C246" s="204" t="s">
        <v>714</v>
      </c>
      <c r="D246" s="205">
        <v>3.9948329999999999</v>
      </c>
      <c r="E246" s="205">
        <v>8.7036390000000008</v>
      </c>
      <c r="F246" s="208" t="s">
        <v>182</v>
      </c>
      <c r="G246" s="204" t="s">
        <v>715</v>
      </c>
      <c r="H246" s="204" t="s">
        <v>170</v>
      </c>
      <c r="I246" s="206" t="str">
        <f t="shared" si="6"/>
        <v>EUI_EQ_I029</v>
      </c>
      <c r="J246" s="204" t="s">
        <v>733</v>
      </c>
      <c r="K246" s="5" t="s">
        <v>733</v>
      </c>
      <c r="L246" s="5" t="str">
        <f>VLOOKUP($K246,'Property names'!$A$1:$D$100,2,FALSE)</f>
        <v>Rotation over Y axis</v>
      </c>
      <c r="M246" s="5" t="str">
        <f>VLOOKUP($K246,'Property names'!$A$1:$D$100,3,FALSE)</f>
        <v>Degrees</v>
      </c>
      <c r="N246" s="5" t="str">
        <f>VLOOKUP($K246,'Property names'!$A$1:$D$100,4,FALSE)</f>
        <v>°</v>
      </c>
      <c r="O246" s="204" t="s">
        <v>856</v>
      </c>
      <c r="P246" s="204" t="s">
        <v>857</v>
      </c>
      <c r="Q246" s="5" t="s">
        <v>653</v>
      </c>
    </row>
    <row r="247" spans="1:17" ht="15">
      <c r="A247" s="204" t="s">
        <v>693</v>
      </c>
      <c r="B247" s="208" t="s">
        <v>698</v>
      </c>
      <c r="C247" s="204" t="s">
        <v>714</v>
      </c>
      <c r="D247" s="205">
        <v>3.9948329999999999</v>
      </c>
      <c r="E247" s="205">
        <v>8.7036390000000008</v>
      </c>
      <c r="F247" s="208" t="s">
        <v>182</v>
      </c>
      <c r="G247" s="204" t="s">
        <v>715</v>
      </c>
      <c r="H247" s="204" t="s">
        <v>170</v>
      </c>
      <c r="I247" s="206" t="str">
        <f t="shared" si="6"/>
        <v>EUI_EQ_I029</v>
      </c>
      <c r="J247" s="204" t="s">
        <v>736</v>
      </c>
      <c r="K247" s="5" t="s">
        <v>736</v>
      </c>
      <c r="L247" s="5" t="str">
        <f>VLOOKUP($K247,'Property names'!$A$1:$D$100,2,FALSE)</f>
        <v>Rotation over Z axis</v>
      </c>
      <c r="M247" s="5" t="str">
        <f>VLOOKUP($K247,'Property names'!$A$1:$D$100,3,FALSE)</f>
        <v>Degrees</v>
      </c>
      <c r="N247" s="5" t="str">
        <f>VLOOKUP($K247,'Property names'!$A$1:$D$100,4,FALSE)</f>
        <v>°</v>
      </c>
      <c r="O247" s="204" t="s">
        <v>858</v>
      </c>
      <c r="P247" s="204" t="s">
        <v>859</v>
      </c>
      <c r="Q247" s="5" t="s">
        <v>653</v>
      </c>
    </row>
    <row r="248" spans="1:17" ht="15">
      <c r="A248" s="204" t="s">
        <v>693</v>
      </c>
      <c r="B248" s="208" t="s">
        <v>698</v>
      </c>
      <c r="C248" s="204" t="s">
        <v>714</v>
      </c>
      <c r="D248" s="205">
        <v>3.9948329999999999</v>
      </c>
      <c r="E248" s="205">
        <v>8.7036390000000008</v>
      </c>
      <c r="F248" s="208" t="s">
        <v>182</v>
      </c>
      <c r="G248" s="204" t="s">
        <v>715</v>
      </c>
      <c r="H248" s="204" t="s">
        <v>170</v>
      </c>
      <c r="I248" s="206" t="str">
        <f t="shared" si="6"/>
        <v>EUI_EQ_I029</v>
      </c>
      <c r="J248" s="204" t="s">
        <v>679</v>
      </c>
      <c r="K248" s="204" t="s">
        <v>652</v>
      </c>
      <c r="L248" s="5" t="str">
        <f>VLOOKUP($K248,'Property names'!$A$1:$D$100,2,FALSE)</f>
        <v>The measure of the hotness or coldness of the air.</v>
      </c>
      <c r="M248" s="5" t="str">
        <f>VLOOKUP($K248,'Property names'!$A$1:$D$100,3,FALSE)</f>
        <v>Degrees Celsius</v>
      </c>
      <c r="N248" s="5" t="str">
        <f>VLOOKUP($K248,'Property names'!$A$1:$D$100,4,FALSE)</f>
        <v>ºC</v>
      </c>
      <c r="O248" s="204" t="s">
        <v>860</v>
      </c>
      <c r="P248" s="204" t="s">
        <v>861</v>
      </c>
      <c r="Q248" s="5" t="s">
        <v>653</v>
      </c>
    </row>
    <row r="249" spans="1:17" ht="15">
      <c r="A249" s="204" t="s">
        <v>693</v>
      </c>
      <c r="B249" s="208" t="s">
        <v>698</v>
      </c>
      <c r="C249" s="204" t="s">
        <v>714</v>
      </c>
      <c r="D249" s="205">
        <v>3.9948329999999999</v>
      </c>
      <c r="E249" s="205">
        <v>8.7036390000000008</v>
      </c>
      <c r="F249" s="208" t="s">
        <v>182</v>
      </c>
      <c r="G249" s="204" t="s">
        <v>715</v>
      </c>
      <c r="H249" s="204" t="s">
        <v>170</v>
      </c>
      <c r="I249" s="206" t="str">
        <f t="shared" si="6"/>
        <v>EUI_EQ_I029</v>
      </c>
      <c r="J249" s="204" t="s">
        <v>654</v>
      </c>
      <c r="K249" s="204" t="s">
        <v>655</v>
      </c>
      <c r="L249" s="5" t="str">
        <f>VLOOKUP($K249,'Property names'!$A$1:$D$100,2,FALSE)</f>
        <v>The amount of moisture or water vapor present in the air, often expressed as a percentage of the maximum amount the air could hold at a given temperature.</v>
      </c>
      <c r="M249" s="5" t="str">
        <f>VLOOKUP($K249,'Property names'!$A$1:$D$100,3,FALSE)</f>
        <v>Percentage</v>
      </c>
      <c r="N249" s="5" t="str">
        <f>VLOOKUP($K249,'Property names'!$A$1:$D$100,4,FALSE)</f>
        <v>%</v>
      </c>
      <c r="O249" s="204" t="s">
        <v>862</v>
      </c>
      <c r="P249" s="204" t="s">
        <v>863</v>
      </c>
      <c r="Q249" s="5" t="s">
        <v>653</v>
      </c>
    </row>
    <row r="250" spans="1:17" ht="15">
      <c r="A250" s="207" t="s">
        <v>693</v>
      </c>
      <c r="B250" s="208" t="s">
        <v>698</v>
      </c>
      <c r="C250" s="204" t="s">
        <v>714</v>
      </c>
      <c r="D250" s="205">
        <v>3.9948329999999999</v>
      </c>
      <c r="E250" s="205">
        <v>8.7036390000000008</v>
      </c>
      <c r="F250" s="208" t="s">
        <v>182</v>
      </c>
      <c r="G250" s="204" t="s">
        <v>715</v>
      </c>
      <c r="H250" s="204" t="s">
        <v>170</v>
      </c>
      <c r="I250" s="206" t="str">
        <f t="shared" si="6"/>
        <v>EUI_EQ_I029</v>
      </c>
      <c r="J250" s="204" t="s">
        <v>743</v>
      </c>
      <c r="K250" s="204" t="s">
        <v>692</v>
      </c>
      <c r="L250" s="5" t="str">
        <f>VLOOKUP($K250,'Property names'!$A$1:$D$100,2,FALSE)</f>
        <v>The electrical potential in a battery, indicating its charge level.</v>
      </c>
      <c r="M250" s="5" t="str">
        <f>VLOOKUP($K250,'Property names'!$A$1:$D$100,3,FALSE)</f>
        <v>Millivolts</v>
      </c>
      <c r="N250" s="5" t="str">
        <f>VLOOKUP($K250,'Property names'!$A$1:$D$100,4,FALSE)</f>
        <v>mV</v>
      </c>
      <c r="O250" s="204" t="s">
        <v>864</v>
      </c>
      <c r="P250" s="204" t="s">
        <v>865</v>
      </c>
      <c r="Q250" s="5" t="s">
        <v>653</v>
      </c>
    </row>
    <row r="251" spans="1:17" ht="15">
      <c r="A251" s="204" t="s">
        <v>693</v>
      </c>
      <c r="B251" s="208" t="s">
        <v>698</v>
      </c>
      <c r="C251" s="204" t="s">
        <v>714</v>
      </c>
      <c r="D251" s="205">
        <v>3.9948329999999999</v>
      </c>
      <c r="E251" s="205">
        <v>8.7036390000000008</v>
      </c>
      <c r="F251" s="208" t="s">
        <v>184</v>
      </c>
      <c r="G251" s="204" t="s">
        <v>715</v>
      </c>
      <c r="H251" s="204" t="s">
        <v>170</v>
      </c>
      <c r="I251" s="206" t="str">
        <f t="shared" si="6"/>
        <v>EUI_EQ_I030</v>
      </c>
      <c r="J251" s="204" t="s">
        <v>716</v>
      </c>
      <c r="K251" s="5" t="s">
        <v>716</v>
      </c>
      <c r="L251" s="5" t="str">
        <f>VLOOKUP($K251,'Property names'!$A$1:$D$100,2,FALSE)</f>
        <v>UTC epoch time when the data were collected</v>
      </c>
      <c r="M251" s="5" t="str">
        <f>VLOOKUP($K251,'Property names'!$A$1:$D$100,3,FALSE)</f>
        <v>Seconds</v>
      </c>
      <c r="N251" s="5" t="str">
        <f>VLOOKUP($K251,'Property names'!$A$1:$D$100,4,FALSE)</f>
        <v>s</v>
      </c>
      <c r="O251" s="204" t="s">
        <v>866</v>
      </c>
      <c r="P251" s="204" t="s">
        <v>867</v>
      </c>
      <c r="Q251" s="5" t="s">
        <v>653</v>
      </c>
    </row>
    <row r="252" spans="1:17" ht="15">
      <c r="A252" s="204" t="s">
        <v>693</v>
      </c>
      <c r="B252" s="208" t="s">
        <v>698</v>
      </c>
      <c r="C252" s="204" t="s">
        <v>714</v>
      </c>
      <c r="D252" s="205">
        <v>3.9948329999999999</v>
      </c>
      <c r="E252" s="205">
        <v>8.7036390000000008</v>
      </c>
      <c r="F252" s="208" t="s">
        <v>184</v>
      </c>
      <c r="G252" s="204" t="s">
        <v>715</v>
      </c>
      <c r="H252" s="204" t="s">
        <v>170</v>
      </c>
      <c r="I252" s="206" t="str">
        <f t="shared" si="6"/>
        <v>EUI_EQ_I030</v>
      </c>
      <c r="J252" s="204" t="s">
        <v>719</v>
      </c>
      <c r="K252" s="5" t="s">
        <v>719</v>
      </c>
      <c r="L252" s="5" t="str">
        <f>VLOOKUP($K252,'Property names'!$A$1:$D$100,2,FALSE)</f>
        <v>Normalized Difference Vegetation Index</v>
      </c>
      <c r="M252" s="5" t="str">
        <f>VLOOKUP($K252,'Property names'!$A$1:$D$100,3,FALSE)</f>
        <v>-</v>
      </c>
      <c r="N252" s="5" t="str">
        <f>VLOOKUP($K252,'Property names'!$A$1:$D$100,4,FALSE)</f>
        <v>-</v>
      </c>
      <c r="O252" s="204" t="s">
        <v>868</v>
      </c>
      <c r="P252" s="204" t="s">
        <v>869</v>
      </c>
      <c r="Q252" s="5" t="s">
        <v>653</v>
      </c>
    </row>
    <row r="253" spans="1:17" ht="15">
      <c r="A253" s="204" t="s">
        <v>693</v>
      </c>
      <c r="B253" s="208" t="s">
        <v>698</v>
      </c>
      <c r="C253" s="204" t="s">
        <v>714</v>
      </c>
      <c r="D253" s="205">
        <v>3.9948329999999999</v>
      </c>
      <c r="E253" s="205">
        <v>8.7036390000000008</v>
      </c>
      <c r="F253" s="208" t="s">
        <v>184</v>
      </c>
      <c r="G253" s="204" t="s">
        <v>715</v>
      </c>
      <c r="H253" s="204" t="s">
        <v>170</v>
      </c>
      <c r="I253" s="206" t="str">
        <f t="shared" si="6"/>
        <v>EUI_EQ_I030</v>
      </c>
      <c r="J253" s="204" t="s">
        <v>722</v>
      </c>
      <c r="K253" s="5" t="s">
        <v>723</v>
      </c>
      <c r="L253" s="5" t="str">
        <f>VLOOKUP($K253,'Property names'!$A$1:$D$100,2,FALSE)</f>
        <v>Differential measurement of trunk radial growth</v>
      </c>
      <c r="M253" s="5" t="str">
        <f>VLOOKUP($K253,'Property names'!$A$1:$D$100,3,FALSE)</f>
        <v>Millimeters</v>
      </c>
      <c r="N253" s="5" t="str">
        <f>VLOOKUP($K253,'Property names'!$A$1:$D$100,4,FALSE)</f>
        <v>mm</v>
      </c>
      <c r="O253" s="204" t="s">
        <v>870</v>
      </c>
      <c r="P253" s="204" t="s">
        <v>871</v>
      </c>
      <c r="Q253" s="5" t="s">
        <v>653</v>
      </c>
    </row>
    <row r="254" spans="1:17" ht="15">
      <c r="A254" s="204" t="s">
        <v>693</v>
      </c>
      <c r="B254" s="208" t="s">
        <v>698</v>
      </c>
      <c r="C254" s="204" t="s">
        <v>714</v>
      </c>
      <c r="D254" s="205">
        <v>3.9948329999999999</v>
      </c>
      <c r="E254" s="205">
        <v>8.7036390000000008</v>
      </c>
      <c r="F254" s="208" t="s">
        <v>184</v>
      </c>
      <c r="G254" s="204" t="s">
        <v>715</v>
      </c>
      <c r="H254" s="204" t="s">
        <v>170</v>
      </c>
      <c r="I254" s="206" t="str">
        <f t="shared" si="6"/>
        <v>EUI_EQ_I030</v>
      </c>
      <c r="J254" s="204" t="s">
        <v>726</v>
      </c>
      <c r="K254" s="5" t="s">
        <v>727</v>
      </c>
      <c r="L254" s="5" t="str">
        <f>VLOOKUP($K254,'Property names'!$A$1:$D$100,2,FALSE)</f>
        <v>Sap velocity</v>
      </c>
      <c r="M254" s="5" t="str">
        <f>VLOOKUP($K254,'Property names'!$A$1:$D$100,3,FALSE)</f>
        <v>Centimeter per Second</v>
      </c>
      <c r="N254" s="5" t="str">
        <f>VLOOKUP($K254,'Property names'!$A$1:$D$100,4,FALSE)</f>
        <v>cm/h</v>
      </c>
      <c r="O254" s="204" t="s">
        <v>872</v>
      </c>
      <c r="P254" s="204" t="s">
        <v>873</v>
      </c>
      <c r="Q254" s="5" t="s">
        <v>653</v>
      </c>
    </row>
    <row r="255" spans="1:17" ht="15">
      <c r="A255" s="204" t="s">
        <v>693</v>
      </c>
      <c r="B255" s="208" t="s">
        <v>698</v>
      </c>
      <c r="C255" s="204" t="s">
        <v>714</v>
      </c>
      <c r="D255" s="205">
        <v>3.9948329999999999</v>
      </c>
      <c r="E255" s="205">
        <v>8.7036390000000008</v>
      </c>
      <c r="F255" s="208" t="s">
        <v>184</v>
      </c>
      <c r="G255" s="204" t="s">
        <v>715</v>
      </c>
      <c r="H255" s="204" t="s">
        <v>170</v>
      </c>
      <c r="I255" s="206" t="str">
        <f t="shared" si="6"/>
        <v>EUI_EQ_I030</v>
      </c>
      <c r="J255" s="204" t="s">
        <v>730</v>
      </c>
      <c r="K255" s="5" t="s">
        <v>730</v>
      </c>
      <c r="L255" s="5" t="str">
        <f>VLOOKUP($K255,'Property names'!$A$1:$D$100,2,FALSE)</f>
        <v>Rotation over X axis</v>
      </c>
      <c r="M255" s="5" t="str">
        <f>VLOOKUP($K255,'Property names'!$A$1:$D$100,3,FALSE)</f>
        <v>Degrees</v>
      </c>
      <c r="N255" s="5" t="str">
        <f>VLOOKUP($K255,'Property names'!$A$1:$D$100,4,FALSE)</f>
        <v>°</v>
      </c>
      <c r="O255" s="204" t="s">
        <v>874</v>
      </c>
      <c r="P255" s="204" t="s">
        <v>875</v>
      </c>
      <c r="Q255" s="5" t="s">
        <v>653</v>
      </c>
    </row>
    <row r="256" spans="1:17" ht="15">
      <c r="A256" s="204" t="s">
        <v>693</v>
      </c>
      <c r="B256" s="208" t="s">
        <v>698</v>
      </c>
      <c r="C256" s="204" t="s">
        <v>714</v>
      </c>
      <c r="D256" s="205">
        <v>3.9948329999999999</v>
      </c>
      <c r="E256" s="205">
        <v>8.7036390000000008</v>
      </c>
      <c r="F256" s="208" t="s">
        <v>184</v>
      </c>
      <c r="G256" s="204" t="s">
        <v>715</v>
      </c>
      <c r="H256" s="204" t="s">
        <v>170</v>
      </c>
      <c r="I256" s="206" t="str">
        <f t="shared" si="6"/>
        <v>EUI_EQ_I030</v>
      </c>
      <c r="J256" s="204" t="s">
        <v>733</v>
      </c>
      <c r="K256" s="5" t="s">
        <v>733</v>
      </c>
      <c r="L256" s="5" t="str">
        <f>VLOOKUP($K256,'Property names'!$A$1:$D$100,2,FALSE)</f>
        <v>Rotation over Y axis</v>
      </c>
      <c r="M256" s="5" t="str">
        <f>VLOOKUP($K256,'Property names'!$A$1:$D$100,3,FALSE)</f>
        <v>Degrees</v>
      </c>
      <c r="N256" s="5" t="str">
        <f>VLOOKUP($K256,'Property names'!$A$1:$D$100,4,FALSE)</f>
        <v>°</v>
      </c>
      <c r="O256" s="204" t="s">
        <v>876</v>
      </c>
      <c r="P256" s="204" t="s">
        <v>877</v>
      </c>
      <c r="Q256" s="5" t="s">
        <v>653</v>
      </c>
    </row>
    <row r="257" spans="1:17" ht="15">
      <c r="A257" s="204" t="s">
        <v>693</v>
      </c>
      <c r="B257" s="208" t="s">
        <v>698</v>
      </c>
      <c r="C257" s="204" t="s">
        <v>714</v>
      </c>
      <c r="D257" s="205">
        <v>3.9948329999999999</v>
      </c>
      <c r="E257" s="205">
        <v>8.7036390000000008</v>
      </c>
      <c r="F257" s="208" t="s">
        <v>184</v>
      </c>
      <c r="G257" s="204" t="s">
        <v>715</v>
      </c>
      <c r="H257" s="204" t="s">
        <v>170</v>
      </c>
      <c r="I257" s="206" t="str">
        <f t="shared" si="6"/>
        <v>EUI_EQ_I030</v>
      </c>
      <c r="J257" s="204" t="s">
        <v>736</v>
      </c>
      <c r="K257" s="5" t="s">
        <v>736</v>
      </c>
      <c r="L257" s="5" t="str">
        <f>VLOOKUP($K257,'Property names'!$A$1:$D$100,2,FALSE)</f>
        <v>Rotation over Z axis</v>
      </c>
      <c r="M257" s="5" t="str">
        <f>VLOOKUP($K257,'Property names'!$A$1:$D$100,3,FALSE)</f>
        <v>Degrees</v>
      </c>
      <c r="N257" s="5" t="str">
        <f>VLOOKUP($K257,'Property names'!$A$1:$D$100,4,FALSE)</f>
        <v>°</v>
      </c>
      <c r="O257" s="204" t="s">
        <v>878</v>
      </c>
      <c r="P257" s="204" t="s">
        <v>879</v>
      </c>
      <c r="Q257" s="5" t="s">
        <v>653</v>
      </c>
    </row>
    <row r="258" spans="1:17" ht="15">
      <c r="A258" s="204" t="s">
        <v>693</v>
      </c>
      <c r="B258" s="208" t="s">
        <v>698</v>
      </c>
      <c r="C258" s="204" t="s">
        <v>714</v>
      </c>
      <c r="D258" s="205">
        <v>3.9948329999999999</v>
      </c>
      <c r="E258" s="205">
        <v>8.7036390000000008</v>
      </c>
      <c r="F258" s="208" t="s">
        <v>184</v>
      </c>
      <c r="G258" s="204" t="s">
        <v>715</v>
      </c>
      <c r="H258" s="204" t="s">
        <v>170</v>
      </c>
      <c r="I258" s="206" t="str">
        <f t="shared" si="6"/>
        <v>EUI_EQ_I030</v>
      </c>
      <c r="J258" s="204" t="s">
        <v>679</v>
      </c>
      <c r="K258" s="204" t="s">
        <v>652</v>
      </c>
      <c r="L258" s="5" t="str">
        <f>VLOOKUP($K258,'Property names'!$A$1:$D$100,2,FALSE)</f>
        <v>The measure of the hotness or coldness of the air.</v>
      </c>
      <c r="M258" s="5" t="str">
        <f>VLOOKUP($K258,'Property names'!$A$1:$D$100,3,FALSE)</f>
        <v>Degrees Celsius</v>
      </c>
      <c r="N258" s="5" t="str">
        <f>VLOOKUP($K258,'Property names'!$A$1:$D$100,4,FALSE)</f>
        <v>ºC</v>
      </c>
      <c r="O258" s="204" t="s">
        <v>880</v>
      </c>
      <c r="P258" s="204" t="s">
        <v>881</v>
      </c>
      <c r="Q258" s="5" t="s">
        <v>653</v>
      </c>
    </row>
    <row r="259" spans="1:17" ht="15">
      <c r="A259" s="204" t="s">
        <v>693</v>
      </c>
      <c r="B259" s="208" t="s">
        <v>698</v>
      </c>
      <c r="C259" s="204" t="s">
        <v>714</v>
      </c>
      <c r="D259" s="205">
        <v>3.9948329999999999</v>
      </c>
      <c r="E259" s="205">
        <v>8.7036390000000008</v>
      </c>
      <c r="F259" s="208" t="s">
        <v>184</v>
      </c>
      <c r="G259" s="204" t="s">
        <v>715</v>
      </c>
      <c r="H259" s="204" t="s">
        <v>170</v>
      </c>
      <c r="I259" s="206" t="str">
        <f t="shared" si="6"/>
        <v>EUI_EQ_I030</v>
      </c>
      <c r="J259" s="204" t="s">
        <v>654</v>
      </c>
      <c r="K259" s="204" t="s">
        <v>655</v>
      </c>
      <c r="L259" s="5" t="str">
        <f>VLOOKUP($K259,'Property names'!$A$1:$D$100,2,FALSE)</f>
        <v>The amount of moisture or water vapor present in the air, often expressed as a percentage of the maximum amount the air could hold at a given temperature.</v>
      </c>
      <c r="M259" s="5" t="str">
        <f>VLOOKUP($K259,'Property names'!$A$1:$D$100,3,FALSE)</f>
        <v>Percentage</v>
      </c>
      <c r="N259" s="5" t="str">
        <f>VLOOKUP($K259,'Property names'!$A$1:$D$100,4,FALSE)</f>
        <v>%</v>
      </c>
      <c r="O259" s="204" t="s">
        <v>882</v>
      </c>
      <c r="P259" s="204" t="s">
        <v>883</v>
      </c>
      <c r="Q259" s="5" t="s">
        <v>653</v>
      </c>
    </row>
    <row r="260" spans="1:17" ht="15">
      <c r="A260" s="207" t="s">
        <v>693</v>
      </c>
      <c r="B260" s="208" t="s">
        <v>698</v>
      </c>
      <c r="C260" s="204" t="s">
        <v>714</v>
      </c>
      <c r="D260" s="205">
        <v>3.9948329999999999</v>
      </c>
      <c r="E260" s="205">
        <v>8.7036390000000008</v>
      </c>
      <c r="F260" s="208" t="s">
        <v>184</v>
      </c>
      <c r="G260" s="204" t="s">
        <v>715</v>
      </c>
      <c r="H260" s="204" t="s">
        <v>170</v>
      </c>
      <c r="I260" s="206" t="str">
        <f t="shared" si="6"/>
        <v>EUI_EQ_I030</v>
      </c>
      <c r="J260" s="204" t="s">
        <v>743</v>
      </c>
      <c r="K260" s="204" t="s">
        <v>692</v>
      </c>
      <c r="L260" s="5" t="str">
        <f>VLOOKUP($K260,'Property names'!$A$1:$D$100,2,FALSE)</f>
        <v>The electrical potential in a battery, indicating its charge level.</v>
      </c>
      <c r="M260" s="5" t="str">
        <f>VLOOKUP($K260,'Property names'!$A$1:$D$100,3,FALSE)</f>
        <v>Millivolts</v>
      </c>
      <c r="N260" s="5" t="str">
        <f>VLOOKUP($K260,'Property names'!$A$1:$D$100,4,FALSE)</f>
        <v>mV</v>
      </c>
      <c r="O260" s="204" t="s">
        <v>884</v>
      </c>
      <c r="P260" s="204" t="s">
        <v>885</v>
      </c>
      <c r="Q260" s="5" t="s">
        <v>653</v>
      </c>
    </row>
    <row r="261" spans="1:17" ht="15">
      <c r="A261" s="204" t="s">
        <v>693</v>
      </c>
      <c r="B261" s="208" t="s">
        <v>698</v>
      </c>
      <c r="C261" s="204" t="s">
        <v>714</v>
      </c>
      <c r="D261" s="205">
        <v>3.9948329999999999</v>
      </c>
      <c r="E261" s="205">
        <v>8.7036390000000008</v>
      </c>
      <c r="F261" s="208" t="s">
        <v>186</v>
      </c>
      <c r="G261" s="204" t="s">
        <v>715</v>
      </c>
      <c r="H261" s="204" t="s">
        <v>170</v>
      </c>
      <c r="I261" s="206" t="str">
        <f t="shared" si="6"/>
        <v>EUI_EQ_I031</v>
      </c>
      <c r="J261" s="204" t="s">
        <v>716</v>
      </c>
      <c r="K261" s="5" t="s">
        <v>716</v>
      </c>
      <c r="L261" s="5" t="str">
        <f>VLOOKUP($K261,'Property names'!$A$1:$D$100,2,FALSE)</f>
        <v>UTC epoch time when the data were collected</v>
      </c>
      <c r="M261" s="5" t="str">
        <f>VLOOKUP($K261,'Property names'!$A$1:$D$100,3,FALSE)</f>
        <v>Seconds</v>
      </c>
      <c r="N261" s="5" t="str">
        <f>VLOOKUP($K261,'Property names'!$A$1:$D$100,4,FALSE)</f>
        <v>s</v>
      </c>
      <c r="O261" s="204" t="s">
        <v>886</v>
      </c>
      <c r="P261" s="204" t="s">
        <v>887</v>
      </c>
      <c r="Q261" s="5" t="s">
        <v>653</v>
      </c>
    </row>
    <row r="262" spans="1:17" ht="15">
      <c r="A262" s="204" t="s">
        <v>693</v>
      </c>
      <c r="B262" s="208" t="s">
        <v>698</v>
      </c>
      <c r="C262" s="204" t="s">
        <v>714</v>
      </c>
      <c r="D262" s="205">
        <v>3.9948329999999999</v>
      </c>
      <c r="E262" s="205">
        <v>8.7036390000000008</v>
      </c>
      <c r="F262" s="208" t="s">
        <v>186</v>
      </c>
      <c r="G262" s="204" t="s">
        <v>715</v>
      </c>
      <c r="H262" s="204" t="s">
        <v>170</v>
      </c>
      <c r="I262" s="206" t="str">
        <f t="shared" si="6"/>
        <v>EUI_EQ_I031</v>
      </c>
      <c r="J262" s="204" t="s">
        <v>719</v>
      </c>
      <c r="K262" s="5" t="s">
        <v>719</v>
      </c>
      <c r="L262" s="5" t="str">
        <f>VLOOKUP($K262,'Property names'!$A$1:$D$100,2,FALSE)</f>
        <v>Normalized Difference Vegetation Index</v>
      </c>
      <c r="M262" s="5" t="str">
        <f>VLOOKUP($K262,'Property names'!$A$1:$D$100,3,FALSE)</f>
        <v>-</v>
      </c>
      <c r="N262" s="5" t="str">
        <f>VLOOKUP($K262,'Property names'!$A$1:$D$100,4,FALSE)</f>
        <v>-</v>
      </c>
      <c r="O262" s="204" t="s">
        <v>888</v>
      </c>
      <c r="P262" s="204" t="s">
        <v>889</v>
      </c>
      <c r="Q262" s="5" t="s">
        <v>653</v>
      </c>
    </row>
    <row r="263" spans="1:17" ht="15">
      <c r="A263" s="204" t="s">
        <v>693</v>
      </c>
      <c r="B263" s="208" t="s">
        <v>698</v>
      </c>
      <c r="C263" s="204" t="s">
        <v>714</v>
      </c>
      <c r="D263" s="205">
        <v>3.9948329999999999</v>
      </c>
      <c r="E263" s="205">
        <v>8.7036390000000008</v>
      </c>
      <c r="F263" s="208" t="s">
        <v>186</v>
      </c>
      <c r="G263" s="204" t="s">
        <v>715</v>
      </c>
      <c r="H263" s="204" t="s">
        <v>170</v>
      </c>
      <c r="I263" s="206" t="str">
        <f t="shared" si="6"/>
        <v>EUI_EQ_I031</v>
      </c>
      <c r="J263" s="204" t="s">
        <v>722</v>
      </c>
      <c r="K263" s="5" t="s">
        <v>723</v>
      </c>
      <c r="L263" s="5" t="str">
        <f>VLOOKUP($K263,'Property names'!$A$1:$D$100,2,FALSE)</f>
        <v>Differential measurement of trunk radial growth</v>
      </c>
      <c r="M263" s="5" t="str">
        <f>VLOOKUP($K263,'Property names'!$A$1:$D$100,3,FALSE)</f>
        <v>Millimeters</v>
      </c>
      <c r="N263" s="5" t="str">
        <f>VLOOKUP($K263,'Property names'!$A$1:$D$100,4,FALSE)</f>
        <v>mm</v>
      </c>
      <c r="O263" s="204" t="s">
        <v>890</v>
      </c>
      <c r="P263" s="204" t="s">
        <v>891</v>
      </c>
      <c r="Q263" s="5" t="s">
        <v>653</v>
      </c>
    </row>
    <row r="264" spans="1:17" ht="15">
      <c r="A264" s="204" t="s">
        <v>693</v>
      </c>
      <c r="B264" s="208" t="s">
        <v>698</v>
      </c>
      <c r="C264" s="204" t="s">
        <v>714</v>
      </c>
      <c r="D264" s="205">
        <v>3.9948329999999999</v>
      </c>
      <c r="E264" s="205">
        <v>8.7036390000000008</v>
      </c>
      <c r="F264" s="208" t="s">
        <v>186</v>
      </c>
      <c r="G264" s="204" t="s">
        <v>715</v>
      </c>
      <c r="H264" s="204" t="s">
        <v>170</v>
      </c>
      <c r="I264" s="206" t="str">
        <f t="shared" si="6"/>
        <v>EUI_EQ_I031</v>
      </c>
      <c r="J264" s="204" t="s">
        <v>726</v>
      </c>
      <c r="K264" s="5" t="s">
        <v>727</v>
      </c>
      <c r="L264" s="5" t="str">
        <f>VLOOKUP($K264,'Property names'!$A$1:$D$100,2,FALSE)</f>
        <v>Sap velocity</v>
      </c>
      <c r="M264" s="5" t="str">
        <f>VLOOKUP($K264,'Property names'!$A$1:$D$100,3,FALSE)</f>
        <v>Centimeter per Second</v>
      </c>
      <c r="N264" s="5" t="str">
        <f>VLOOKUP($K264,'Property names'!$A$1:$D$100,4,FALSE)</f>
        <v>cm/h</v>
      </c>
      <c r="O264" s="204" t="s">
        <v>892</v>
      </c>
      <c r="P264" s="204" t="s">
        <v>893</v>
      </c>
      <c r="Q264" s="5" t="s">
        <v>653</v>
      </c>
    </row>
    <row r="265" spans="1:17" ht="15">
      <c r="A265" s="204" t="s">
        <v>693</v>
      </c>
      <c r="B265" s="208" t="s">
        <v>698</v>
      </c>
      <c r="C265" s="204" t="s">
        <v>714</v>
      </c>
      <c r="D265" s="205">
        <v>3.9948329999999999</v>
      </c>
      <c r="E265" s="205">
        <v>8.7036390000000008</v>
      </c>
      <c r="F265" s="208" t="s">
        <v>186</v>
      </c>
      <c r="G265" s="204" t="s">
        <v>715</v>
      </c>
      <c r="H265" s="204" t="s">
        <v>170</v>
      </c>
      <c r="I265" s="206" t="str">
        <f t="shared" si="6"/>
        <v>EUI_EQ_I031</v>
      </c>
      <c r="J265" s="204" t="s">
        <v>730</v>
      </c>
      <c r="K265" s="5" t="s">
        <v>730</v>
      </c>
      <c r="L265" s="5" t="str">
        <f>VLOOKUP($K265,'Property names'!$A$1:$D$100,2,FALSE)</f>
        <v>Rotation over X axis</v>
      </c>
      <c r="M265" s="5" t="str">
        <f>VLOOKUP($K265,'Property names'!$A$1:$D$100,3,FALSE)</f>
        <v>Degrees</v>
      </c>
      <c r="N265" s="5" t="str">
        <f>VLOOKUP($K265,'Property names'!$A$1:$D$100,4,FALSE)</f>
        <v>°</v>
      </c>
      <c r="O265" s="204" t="s">
        <v>894</v>
      </c>
      <c r="P265" s="204" t="s">
        <v>895</v>
      </c>
      <c r="Q265" s="5" t="s">
        <v>653</v>
      </c>
    </row>
    <row r="266" spans="1:17" ht="15">
      <c r="A266" s="204" t="s">
        <v>693</v>
      </c>
      <c r="B266" s="208" t="s">
        <v>698</v>
      </c>
      <c r="C266" s="204" t="s">
        <v>714</v>
      </c>
      <c r="D266" s="205">
        <v>3.9948329999999999</v>
      </c>
      <c r="E266" s="205">
        <v>8.7036390000000008</v>
      </c>
      <c r="F266" s="208" t="s">
        <v>186</v>
      </c>
      <c r="G266" s="204" t="s">
        <v>715</v>
      </c>
      <c r="H266" s="204" t="s">
        <v>170</v>
      </c>
      <c r="I266" s="206" t="str">
        <f t="shared" si="6"/>
        <v>EUI_EQ_I031</v>
      </c>
      <c r="J266" s="204" t="s">
        <v>733</v>
      </c>
      <c r="K266" s="5" t="s">
        <v>733</v>
      </c>
      <c r="L266" s="5" t="str">
        <f>VLOOKUP($K266,'Property names'!$A$1:$D$100,2,FALSE)</f>
        <v>Rotation over Y axis</v>
      </c>
      <c r="M266" s="5" t="str">
        <f>VLOOKUP($K266,'Property names'!$A$1:$D$100,3,FALSE)</f>
        <v>Degrees</v>
      </c>
      <c r="N266" s="5" t="str">
        <f>VLOOKUP($K266,'Property names'!$A$1:$D$100,4,FALSE)</f>
        <v>°</v>
      </c>
      <c r="O266" s="204" t="s">
        <v>896</v>
      </c>
      <c r="P266" s="204" t="s">
        <v>897</v>
      </c>
      <c r="Q266" s="5" t="s">
        <v>653</v>
      </c>
    </row>
    <row r="267" spans="1:17" ht="15">
      <c r="A267" s="204" t="s">
        <v>693</v>
      </c>
      <c r="B267" s="208" t="s">
        <v>698</v>
      </c>
      <c r="C267" s="204" t="s">
        <v>714</v>
      </c>
      <c r="D267" s="205">
        <v>3.9948329999999999</v>
      </c>
      <c r="E267" s="205">
        <v>8.7036390000000008</v>
      </c>
      <c r="F267" s="208" t="s">
        <v>186</v>
      </c>
      <c r="G267" s="204" t="s">
        <v>715</v>
      </c>
      <c r="H267" s="204" t="s">
        <v>170</v>
      </c>
      <c r="I267" s="206" t="str">
        <f t="shared" si="6"/>
        <v>EUI_EQ_I031</v>
      </c>
      <c r="J267" s="204" t="s">
        <v>736</v>
      </c>
      <c r="K267" s="5" t="s">
        <v>736</v>
      </c>
      <c r="L267" s="5" t="str">
        <f>VLOOKUP($K267,'Property names'!$A$1:$D$100,2,FALSE)</f>
        <v>Rotation over Z axis</v>
      </c>
      <c r="M267" s="5" t="str">
        <f>VLOOKUP($K267,'Property names'!$A$1:$D$100,3,FALSE)</f>
        <v>Degrees</v>
      </c>
      <c r="N267" s="5" t="str">
        <f>VLOOKUP($K267,'Property names'!$A$1:$D$100,4,FALSE)</f>
        <v>°</v>
      </c>
      <c r="O267" s="204" t="s">
        <v>898</v>
      </c>
      <c r="P267" s="204" t="s">
        <v>899</v>
      </c>
      <c r="Q267" s="5" t="s">
        <v>653</v>
      </c>
    </row>
    <row r="268" spans="1:17" ht="15">
      <c r="A268" s="204" t="s">
        <v>693</v>
      </c>
      <c r="B268" s="208" t="s">
        <v>698</v>
      </c>
      <c r="C268" s="204" t="s">
        <v>714</v>
      </c>
      <c r="D268" s="205">
        <v>3.9948329999999999</v>
      </c>
      <c r="E268" s="205">
        <v>8.7036390000000008</v>
      </c>
      <c r="F268" s="208" t="s">
        <v>186</v>
      </c>
      <c r="G268" s="204" t="s">
        <v>715</v>
      </c>
      <c r="H268" s="204" t="s">
        <v>170</v>
      </c>
      <c r="I268" s="206" t="str">
        <f t="shared" si="6"/>
        <v>EUI_EQ_I031</v>
      </c>
      <c r="J268" s="204" t="s">
        <v>679</v>
      </c>
      <c r="K268" s="204" t="s">
        <v>652</v>
      </c>
      <c r="L268" s="5" t="str">
        <f>VLOOKUP($K268,'Property names'!$A$1:$D$100,2,FALSE)</f>
        <v>The measure of the hotness or coldness of the air.</v>
      </c>
      <c r="M268" s="5" t="str">
        <f>VLOOKUP($K268,'Property names'!$A$1:$D$100,3,FALSE)</f>
        <v>Degrees Celsius</v>
      </c>
      <c r="N268" s="5" t="str">
        <f>VLOOKUP($K268,'Property names'!$A$1:$D$100,4,FALSE)</f>
        <v>ºC</v>
      </c>
      <c r="O268" s="204" t="s">
        <v>900</v>
      </c>
      <c r="P268" s="204" t="s">
        <v>901</v>
      </c>
      <c r="Q268" s="5" t="s">
        <v>653</v>
      </c>
    </row>
    <row r="269" spans="1:17" ht="15">
      <c r="A269" s="204" t="s">
        <v>693</v>
      </c>
      <c r="B269" s="208" t="s">
        <v>698</v>
      </c>
      <c r="C269" s="204" t="s">
        <v>714</v>
      </c>
      <c r="D269" s="205">
        <v>3.9948329999999999</v>
      </c>
      <c r="E269" s="205">
        <v>8.7036390000000008</v>
      </c>
      <c r="F269" s="208" t="s">
        <v>186</v>
      </c>
      <c r="G269" s="204" t="s">
        <v>715</v>
      </c>
      <c r="H269" s="204" t="s">
        <v>170</v>
      </c>
      <c r="I269" s="206" t="str">
        <f t="shared" si="6"/>
        <v>EUI_EQ_I031</v>
      </c>
      <c r="J269" s="204" t="s">
        <v>654</v>
      </c>
      <c r="K269" s="204" t="s">
        <v>655</v>
      </c>
      <c r="L269" s="5" t="str">
        <f>VLOOKUP($K269,'Property names'!$A$1:$D$100,2,FALSE)</f>
        <v>The amount of moisture or water vapor present in the air, often expressed as a percentage of the maximum amount the air could hold at a given temperature.</v>
      </c>
      <c r="M269" s="5" t="str">
        <f>VLOOKUP($K269,'Property names'!$A$1:$D$100,3,FALSE)</f>
        <v>Percentage</v>
      </c>
      <c r="N269" s="5" t="str">
        <f>VLOOKUP($K269,'Property names'!$A$1:$D$100,4,FALSE)</f>
        <v>%</v>
      </c>
      <c r="O269" s="204" t="s">
        <v>902</v>
      </c>
      <c r="P269" s="204" t="s">
        <v>903</v>
      </c>
      <c r="Q269" s="5" t="s">
        <v>653</v>
      </c>
    </row>
    <row r="270" spans="1:17" ht="15">
      <c r="A270" s="207" t="s">
        <v>693</v>
      </c>
      <c r="B270" s="208" t="s">
        <v>698</v>
      </c>
      <c r="C270" s="204" t="s">
        <v>714</v>
      </c>
      <c r="D270" s="205">
        <v>3.9948329999999999</v>
      </c>
      <c r="E270" s="205">
        <v>8.7036390000000008</v>
      </c>
      <c r="F270" s="208" t="s">
        <v>186</v>
      </c>
      <c r="G270" s="204" t="s">
        <v>715</v>
      </c>
      <c r="H270" s="204" t="s">
        <v>170</v>
      </c>
      <c r="I270" s="206" t="str">
        <f t="shared" si="6"/>
        <v>EUI_EQ_I031</v>
      </c>
      <c r="J270" s="204" t="s">
        <v>743</v>
      </c>
      <c r="K270" s="204" t="s">
        <v>692</v>
      </c>
      <c r="L270" s="5" t="str">
        <f>VLOOKUP($K270,'Property names'!$A$1:$D$100,2,FALSE)</f>
        <v>The electrical potential in a battery, indicating its charge level.</v>
      </c>
      <c r="M270" s="5" t="str">
        <f>VLOOKUP($K270,'Property names'!$A$1:$D$100,3,FALSE)</f>
        <v>Millivolts</v>
      </c>
      <c r="N270" s="5" t="str">
        <f>VLOOKUP($K270,'Property names'!$A$1:$D$100,4,FALSE)</f>
        <v>mV</v>
      </c>
      <c r="O270" s="204" t="s">
        <v>904</v>
      </c>
      <c r="P270" s="204" t="s">
        <v>905</v>
      </c>
      <c r="Q270" s="5" t="s">
        <v>653</v>
      </c>
    </row>
    <row r="271" spans="1:17" ht="15">
      <c r="A271" s="204" t="s">
        <v>693</v>
      </c>
      <c r="B271" s="208" t="s">
        <v>698</v>
      </c>
      <c r="C271" s="204" t="s">
        <v>714</v>
      </c>
      <c r="D271" s="205">
        <v>3.9948329999999999</v>
      </c>
      <c r="E271" s="205">
        <v>8.7036390000000008</v>
      </c>
      <c r="F271" s="208" t="s">
        <v>188</v>
      </c>
      <c r="G271" s="204" t="s">
        <v>715</v>
      </c>
      <c r="H271" s="204" t="s">
        <v>170</v>
      </c>
      <c r="I271" s="206" t="str">
        <f t="shared" si="6"/>
        <v>EUI_EQ_I032</v>
      </c>
      <c r="J271" s="204" t="s">
        <v>716</v>
      </c>
      <c r="K271" s="5" t="s">
        <v>716</v>
      </c>
      <c r="L271" s="5" t="str">
        <f>VLOOKUP($K271,'Property names'!$A$1:$D$100,2,FALSE)</f>
        <v>UTC epoch time when the data were collected</v>
      </c>
      <c r="M271" s="5" t="str">
        <f>VLOOKUP($K271,'Property names'!$A$1:$D$100,3,FALSE)</f>
        <v>Seconds</v>
      </c>
      <c r="N271" s="5" t="str">
        <f>VLOOKUP($K271,'Property names'!$A$1:$D$100,4,FALSE)</f>
        <v>s</v>
      </c>
      <c r="O271" s="204" t="s">
        <v>906</v>
      </c>
      <c r="P271" s="204" t="s">
        <v>907</v>
      </c>
      <c r="Q271" s="5" t="s">
        <v>653</v>
      </c>
    </row>
    <row r="272" spans="1:17" ht="15">
      <c r="A272" s="204" t="s">
        <v>693</v>
      </c>
      <c r="B272" s="208" t="s">
        <v>698</v>
      </c>
      <c r="C272" s="204" t="s">
        <v>714</v>
      </c>
      <c r="D272" s="205">
        <v>3.9948329999999999</v>
      </c>
      <c r="E272" s="205">
        <v>8.7036390000000008</v>
      </c>
      <c r="F272" s="208" t="s">
        <v>188</v>
      </c>
      <c r="G272" s="204" t="s">
        <v>715</v>
      </c>
      <c r="H272" s="204" t="s">
        <v>170</v>
      </c>
      <c r="I272" s="206" t="str">
        <f t="shared" si="6"/>
        <v>EUI_EQ_I032</v>
      </c>
      <c r="J272" s="204" t="s">
        <v>719</v>
      </c>
      <c r="K272" s="5" t="s">
        <v>719</v>
      </c>
      <c r="L272" s="5" t="str">
        <f>VLOOKUP($K272,'Property names'!$A$1:$D$100,2,FALSE)</f>
        <v>Normalized Difference Vegetation Index</v>
      </c>
      <c r="M272" s="5" t="str">
        <f>VLOOKUP($K272,'Property names'!$A$1:$D$100,3,FALSE)</f>
        <v>-</v>
      </c>
      <c r="N272" s="5" t="str">
        <f>VLOOKUP($K272,'Property names'!$A$1:$D$100,4,FALSE)</f>
        <v>-</v>
      </c>
      <c r="O272" s="204" t="s">
        <v>908</v>
      </c>
      <c r="P272" s="204" t="s">
        <v>909</v>
      </c>
      <c r="Q272" s="5" t="s">
        <v>653</v>
      </c>
    </row>
    <row r="273" spans="1:17" ht="15">
      <c r="A273" s="204" t="s">
        <v>693</v>
      </c>
      <c r="B273" s="208" t="s">
        <v>698</v>
      </c>
      <c r="C273" s="204" t="s">
        <v>714</v>
      </c>
      <c r="D273" s="205">
        <v>3.9948329999999999</v>
      </c>
      <c r="E273" s="205">
        <v>8.7036390000000008</v>
      </c>
      <c r="F273" s="208" t="s">
        <v>188</v>
      </c>
      <c r="G273" s="204" t="s">
        <v>715</v>
      </c>
      <c r="H273" s="204" t="s">
        <v>170</v>
      </c>
      <c r="I273" s="206" t="str">
        <f t="shared" si="6"/>
        <v>EUI_EQ_I032</v>
      </c>
      <c r="J273" s="204" t="s">
        <v>722</v>
      </c>
      <c r="K273" s="5" t="s">
        <v>723</v>
      </c>
      <c r="L273" s="5" t="str">
        <f>VLOOKUP($K273,'Property names'!$A$1:$D$100,2,FALSE)</f>
        <v>Differential measurement of trunk radial growth</v>
      </c>
      <c r="M273" s="5" t="str">
        <f>VLOOKUP($K273,'Property names'!$A$1:$D$100,3,FALSE)</f>
        <v>Millimeters</v>
      </c>
      <c r="N273" s="5" t="str">
        <f>VLOOKUP($K273,'Property names'!$A$1:$D$100,4,FALSE)</f>
        <v>mm</v>
      </c>
      <c r="O273" s="204" t="s">
        <v>910</v>
      </c>
      <c r="P273" s="204" t="s">
        <v>911</v>
      </c>
      <c r="Q273" s="5" t="s">
        <v>653</v>
      </c>
    </row>
    <row r="274" spans="1:17" ht="15">
      <c r="A274" s="204" t="s">
        <v>693</v>
      </c>
      <c r="B274" s="208" t="s">
        <v>698</v>
      </c>
      <c r="C274" s="204" t="s">
        <v>714</v>
      </c>
      <c r="D274" s="205">
        <v>3.9948329999999999</v>
      </c>
      <c r="E274" s="205">
        <v>8.7036390000000008</v>
      </c>
      <c r="F274" s="208" t="s">
        <v>188</v>
      </c>
      <c r="G274" s="204" t="s">
        <v>715</v>
      </c>
      <c r="H274" s="204" t="s">
        <v>170</v>
      </c>
      <c r="I274" s="206" t="str">
        <f t="shared" si="6"/>
        <v>EUI_EQ_I032</v>
      </c>
      <c r="J274" s="204" t="s">
        <v>726</v>
      </c>
      <c r="K274" s="5" t="s">
        <v>727</v>
      </c>
      <c r="L274" s="5" t="str">
        <f>VLOOKUP($K274,'Property names'!$A$1:$D$100,2,FALSE)</f>
        <v>Sap velocity</v>
      </c>
      <c r="M274" s="5" t="str">
        <f>VLOOKUP($K274,'Property names'!$A$1:$D$100,3,FALSE)</f>
        <v>Centimeter per Second</v>
      </c>
      <c r="N274" s="5" t="str">
        <f>VLOOKUP($K274,'Property names'!$A$1:$D$100,4,FALSE)</f>
        <v>cm/h</v>
      </c>
      <c r="O274" s="204" t="s">
        <v>912</v>
      </c>
      <c r="P274" s="204" t="s">
        <v>913</v>
      </c>
      <c r="Q274" s="5" t="s">
        <v>653</v>
      </c>
    </row>
    <row r="275" spans="1:17" ht="15">
      <c r="A275" s="204" t="s">
        <v>693</v>
      </c>
      <c r="B275" s="208" t="s">
        <v>698</v>
      </c>
      <c r="C275" s="204" t="s">
        <v>714</v>
      </c>
      <c r="D275" s="205">
        <v>3.9948329999999999</v>
      </c>
      <c r="E275" s="205">
        <v>8.7036390000000008</v>
      </c>
      <c r="F275" s="208" t="s">
        <v>188</v>
      </c>
      <c r="G275" s="204" t="s">
        <v>715</v>
      </c>
      <c r="H275" s="204" t="s">
        <v>170</v>
      </c>
      <c r="I275" s="206" t="str">
        <f t="shared" si="6"/>
        <v>EUI_EQ_I032</v>
      </c>
      <c r="J275" s="204" t="s">
        <v>730</v>
      </c>
      <c r="K275" s="5" t="s">
        <v>730</v>
      </c>
      <c r="L275" s="5" t="str">
        <f>VLOOKUP($K275,'Property names'!$A$1:$D$100,2,FALSE)</f>
        <v>Rotation over X axis</v>
      </c>
      <c r="M275" s="5" t="str">
        <f>VLOOKUP($K275,'Property names'!$A$1:$D$100,3,FALSE)</f>
        <v>Degrees</v>
      </c>
      <c r="N275" s="5" t="str">
        <f>VLOOKUP($K275,'Property names'!$A$1:$D$100,4,FALSE)</f>
        <v>°</v>
      </c>
      <c r="O275" s="204" t="s">
        <v>914</v>
      </c>
      <c r="P275" s="204" t="s">
        <v>915</v>
      </c>
      <c r="Q275" s="5" t="s">
        <v>653</v>
      </c>
    </row>
    <row r="276" spans="1:17" ht="15">
      <c r="A276" s="204" t="s">
        <v>693</v>
      </c>
      <c r="B276" s="204" t="s">
        <v>698</v>
      </c>
      <c r="C276" s="204" t="s">
        <v>714</v>
      </c>
      <c r="D276" s="205">
        <v>3.9948329999999999</v>
      </c>
      <c r="E276" s="205">
        <v>8.7036390000000008</v>
      </c>
      <c r="F276" s="204" t="s">
        <v>188</v>
      </c>
      <c r="G276" s="204" t="s">
        <v>715</v>
      </c>
      <c r="H276" s="204" t="s">
        <v>170</v>
      </c>
      <c r="I276" s="206" t="str">
        <f t="shared" si="6"/>
        <v>EUI_EQ_I032</v>
      </c>
      <c r="J276" s="204" t="s">
        <v>733</v>
      </c>
      <c r="K276" s="5" t="s">
        <v>733</v>
      </c>
      <c r="L276" s="5" t="str">
        <f>VLOOKUP($K276,'Property names'!$A$1:$D$100,2,FALSE)</f>
        <v>Rotation over Y axis</v>
      </c>
      <c r="M276" s="5" t="str">
        <f>VLOOKUP($K276,'Property names'!$A$1:$D$100,3,FALSE)</f>
        <v>Degrees</v>
      </c>
      <c r="N276" s="5" t="str">
        <f>VLOOKUP($K276,'Property names'!$A$1:$D$100,4,FALSE)</f>
        <v>°</v>
      </c>
      <c r="O276" s="204" t="s">
        <v>916</v>
      </c>
      <c r="P276" s="204" t="s">
        <v>917</v>
      </c>
      <c r="Q276" s="5" t="s">
        <v>653</v>
      </c>
    </row>
    <row r="277" spans="1:17" ht="15">
      <c r="A277" s="204" t="s">
        <v>693</v>
      </c>
      <c r="B277" s="204" t="s">
        <v>698</v>
      </c>
      <c r="C277" s="204" t="s">
        <v>714</v>
      </c>
      <c r="D277" s="205">
        <v>3.9948329999999999</v>
      </c>
      <c r="E277" s="205">
        <v>8.7036390000000008</v>
      </c>
      <c r="F277" s="204" t="s">
        <v>188</v>
      </c>
      <c r="G277" s="204" t="s">
        <v>715</v>
      </c>
      <c r="H277" s="204" t="s">
        <v>170</v>
      </c>
      <c r="I277" s="206" t="str">
        <f t="shared" si="6"/>
        <v>EUI_EQ_I032</v>
      </c>
      <c r="J277" s="204" t="s">
        <v>736</v>
      </c>
      <c r="K277" s="5" t="s">
        <v>736</v>
      </c>
      <c r="L277" s="5" t="str">
        <f>VLOOKUP($K277,'Property names'!$A$1:$D$100,2,FALSE)</f>
        <v>Rotation over Z axis</v>
      </c>
      <c r="M277" s="5" t="str">
        <f>VLOOKUP($K277,'Property names'!$A$1:$D$100,3,FALSE)</f>
        <v>Degrees</v>
      </c>
      <c r="N277" s="5" t="str">
        <f>VLOOKUP($K277,'Property names'!$A$1:$D$100,4,FALSE)</f>
        <v>°</v>
      </c>
      <c r="O277" s="204" t="s">
        <v>918</v>
      </c>
      <c r="P277" s="204" t="s">
        <v>919</v>
      </c>
      <c r="Q277" s="5" t="s">
        <v>653</v>
      </c>
    </row>
    <row r="278" spans="1:17" ht="15">
      <c r="A278" s="204" t="s">
        <v>693</v>
      </c>
      <c r="B278" s="204" t="s">
        <v>698</v>
      </c>
      <c r="C278" s="204" t="s">
        <v>714</v>
      </c>
      <c r="D278" s="205">
        <v>3.9948329999999999</v>
      </c>
      <c r="E278" s="205">
        <v>8.7036390000000008</v>
      </c>
      <c r="F278" s="204" t="s">
        <v>188</v>
      </c>
      <c r="G278" s="204" t="s">
        <v>715</v>
      </c>
      <c r="H278" s="204" t="s">
        <v>170</v>
      </c>
      <c r="I278" s="206" t="str">
        <f t="shared" si="6"/>
        <v>EUI_EQ_I032</v>
      </c>
      <c r="J278" s="204" t="s">
        <v>679</v>
      </c>
      <c r="K278" s="204" t="s">
        <v>652</v>
      </c>
      <c r="L278" s="5" t="str">
        <f>VLOOKUP($K278,'Property names'!$A$1:$D$100,2,FALSE)</f>
        <v>The measure of the hotness or coldness of the air.</v>
      </c>
      <c r="M278" s="5" t="str">
        <f>VLOOKUP($K278,'Property names'!$A$1:$D$100,3,FALSE)</f>
        <v>Degrees Celsius</v>
      </c>
      <c r="N278" s="5" t="str">
        <f>VLOOKUP($K278,'Property names'!$A$1:$D$100,4,FALSE)</f>
        <v>ºC</v>
      </c>
      <c r="O278" s="204" t="s">
        <v>920</v>
      </c>
      <c r="P278" s="204" t="s">
        <v>921</v>
      </c>
      <c r="Q278" s="5" t="s">
        <v>653</v>
      </c>
    </row>
    <row r="279" spans="1:17" ht="15">
      <c r="A279" s="204" t="s">
        <v>693</v>
      </c>
      <c r="B279" s="204" t="s">
        <v>698</v>
      </c>
      <c r="C279" s="204" t="s">
        <v>714</v>
      </c>
      <c r="D279" s="205">
        <v>3.9948329999999999</v>
      </c>
      <c r="E279" s="205">
        <v>8.7036390000000008</v>
      </c>
      <c r="F279" s="204" t="s">
        <v>188</v>
      </c>
      <c r="G279" s="204" t="s">
        <v>715</v>
      </c>
      <c r="H279" s="204" t="s">
        <v>170</v>
      </c>
      <c r="I279" s="206" t="str">
        <f t="shared" si="6"/>
        <v>EUI_EQ_I032</v>
      </c>
      <c r="J279" s="204" t="s">
        <v>654</v>
      </c>
      <c r="K279" s="204" t="s">
        <v>655</v>
      </c>
      <c r="L279" s="5" t="str">
        <f>VLOOKUP($K279,'Property names'!$A$1:$D$100,2,FALSE)</f>
        <v>The amount of moisture or water vapor present in the air, often expressed as a percentage of the maximum amount the air could hold at a given temperature.</v>
      </c>
      <c r="M279" s="5" t="str">
        <f>VLOOKUP($K279,'Property names'!$A$1:$D$100,3,FALSE)</f>
        <v>Percentage</v>
      </c>
      <c r="N279" s="5" t="str">
        <f>VLOOKUP($K279,'Property names'!$A$1:$D$100,4,FALSE)</f>
        <v>%</v>
      </c>
      <c r="O279" s="204" t="s">
        <v>922</v>
      </c>
      <c r="P279" s="204" t="s">
        <v>923</v>
      </c>
      <c r="Q279" s="5" t="s">
        <v>653</v>
      </c>
    </row>
    <row r="280" spans="1:17" ht="15">
      <c r="A280" s="207" t="s">
        <v>693</v>
      </c>
      <c r="B280" s="204" t="s">
        <v>698</v>
      </c>
      <c r="C280" s="204" t="s">
        <v>714</v>
      </c>
      <c r="D280" s="205">
        <v>3.9948329999999999</v>
      </c>
      <c r="E280" s="205">
        <v>8.7036390000000008</v>
      </c>
      <c r="F280" s="204" t="s">
        <v>188</v>
      </c>
      <c r="G280" s="204" t="s">
        <v>715</v>
      </c>
      <c r="H280" s="204" t="s">
        <v>170</v>
      </c>
      <c r="I280" s="206" t="str">
        <f t="shared" si="6"/>
        <v>EUI_EQ_I032</v>
      </c>
      <c r="J280" s="204" t="s">
        <v>743</v>
      </c>
      <c r="K280" s="204" t="s">
        <v>692</v>
      </c>
      <c r="L280" s="5" t="str">
        <f>VLOOKUP($K280,'Property names'!$A$1:$D$100,2,FALSE)</f>
        <v>The electrical potential in a battery, indicating its charge level.</v>
      </c>
      <c r="M280" s="5" t="str">
        <f>VLOOKUP($K280,'Property names'!$A$1:$D$100,3,FALSE)</f>
        <v>Millivolts</v>
      </c>
      <c r="N280" s="5" t="str">
        <f>VLOOKUP($K280,'Property names'!$A$1:$D$100,4,FALSE)</f>
        <v>mV</v>
      </c>
      <c r="O280" s="204" t="s">
        <v>924</v>
      </c>
      <c r="P280" s="204" t="s">
        <v>925</v>
      </c>
      <c r="Q280" s="5" t="s">
        <v>653</v>
      </c>
    </row>
    <row r="281" spans="1:17" ht="15">
      <c r="A281" s="204" t="s">
        <v>693</v>
      </c>
      <c r="B281" s="209" t="s">
        <v>697</v>
      </c>
      <c r="C281" s="204" t="s">
        <v>714</v>
      </c>
      <c r="D281" s="205">
        <v>3.9944890000000002</v>
      </c>
      <c r="E281" s="205">
        <v>8.6972500000000004</v>
      </c>
      <c r="F281" s="204" t="s">
        <v>190</v>
      </c>
      <c r="G281" s="204" t="s">
        <v>715</v>
      </c>
      <c r="H281" s="204" t="s">
        <v>170</v>
      </c>
      <c r="I281" s="206" t="str">
        <f t="shared" si="6"/>
        <v>EUI_EQ_I033</v>
      </c>
      <c r="J281" s="204" t="s">
        <v>716</v>
      </c>
      <c r="K281" s="5" t="s">
        <v>716</v>
      </c>
      <c r="L281" s="5" t="str">
        <f>VLOOKUP($K281,'Property names'!$A$1:$D$100,2,FALSE)</f>
        <v>UTC epoch time when the data were collected</v>
      </c>
      <c r="M281" s="5" t="str">
        <f>VLOOKUP($K281,'Property names'!$A$1:$D$100,3,FALSE)</f>
        <v>Seconds</v>
      </c>
      <c r="N281" s="5" t="str">
        <f>VLOOKUP($K281,'Property names'!$A$1:$D$100,4,FALSE)</f>
        <v>s</v>
      </c>
      <c r="O281" s="204" t="s">
        <v>926</v>
      </c>
      <c r="P281" s="204" t="s">
        <v>927</v>
      </c>
      <c r="Q281" s="5" t="s">
        <v>653</v>
      </c>
    </row>
    <row r="282" spans="1:17" ht="15">
      <c r="A282" s="204" t="s">
        <v>693</v>
      </c>
      <c r="B282" s="209" t="s">
        <v>697</v>
      </c>
      <c r="C282" s="204" t="s">
        <v>714</v>
      </c>
      <c r="D282" s="205">
        <v>3.9944890000000002</v>
      </c>
      <c r="E282" s="205">
        <v>8.6972500000000004</v>
      </c>
      <c r="F282" s="204" t="s">
        <v>190</v>
      </c>
      <c r="G282" s="204" t="s">
        <v>715</v>
      </c>
      <c r="H282" s="204" t="s">
        <v>170</v>
      </c>
      <c r="I282" s="206" t="str">
        <f t="shared" si="6"/>
        <v>EUI_EQ_I033</v>
      </c>
      <c r="J282" s="204" t="s">
        <v>719</v>
      </c>
      <c r="K282" s="5" t="s">
        <v>719</v>
      </c>
      <c r="L282" s="5" t="str">
        <f>VLOOKUP($K282,'Property names'!$A$1:$D$100,2,FALSE)</f>
        <v>Normalized Difference Vegetation Index</v>
      </c>
      <c r="M282" s="5" t="str">
        <f>VLOOKUP($K282,'Property names'!$A$1:$D$100,3,FALSE)</f>
        <v>-</v>
      </c>
      <c r="N282" s="5" t="str">
        <f>VLOOKUP($K282,'Property names'!$A$1:$D$100,4,FALSE)</f>
        <v>-</v>
      </c>
      <c r="O282" s="204" t="s">
        <v>928</v>
      </c>
      <c r="P282" s="204" t="s">
        <v>929</v>
      </c>
      <c r="Q282" s="5" t="s">
        <v>653</v>
      </c>
    </row>
    <row r="283" spans="1:17" ht="15">
      <c r="A283" s="204" t="s">
        <v>693</v>
      </c>
      <c r="B283" s="209" t="s">
        <v>697</v>
      </c>
      <c r="C283" s="204" t="s">
        <v>714</v>
      </c>
      <c r="D283" s="205">
        <v>3.9944890000000002</v>
      </c>
      <c r="E283" s="205">
        <v>8.6972500000000004</v>
      </c>
      <c r="F283" s="204" t="s">
        <v>190</v>
      </c>
      <c r="G283" s="204" t="s">
        <v>715</v>
      </c>
      <c r="H283" s="204" t="s">
        <v>170</v>
      </c>
      <c r="I283" s="206" t="str">
        <f t="shared" si="6"/>
        <v>EUI_EQ_I033</v>
      </c>
      <c r="J283" s="204" t="s">
        <v>722</v>
      </c>
      <c r="K283" s="5" t="s">
        <v>723</v>
      </c>
      <c r="L283" s="5" t="str">
        <f>VLOOKUP($K283,'Property names'!$A$1:$D$100,2,FALSE)</f>
        <v>Differential measurement of trunk radial growth</v>
      </c>
      <c r="M283" s="5" t="str">
        <f>VLOOKUP($K283,'Property names'!$A$1:$D$100,3,FALSE)</f>
        <v>Millimeters</v>
      </c>
      <c r="N283" s="5" t="str">
        <f>VLOOKUP($K283,'Property names'!$A$1:$D$100,4,FALSE)</f>
        <v>mm</v>
      </c>
      <c r="O283" s="204" t="s">
        <v>930</v>
      </c>
      <c r="P283" s="204" t="s">
        <v>931</v>
      </c>
      <c r="Q283" s="5" t="s">
        <v>653</v>
      </c>
    </row>
    <row r="284" spans="1:17" ht="15">
      <c r="A284" s="204" t="s">
        <v>693</v>
      </c>
      <c r="B284" s="209" t="s">
        <v>697</v>
      </c>
      <c r="C284" s="204" t="s">
        <v>714</v>
      </c>
      <c r="D284" s="205">
        <v>3.9944890000000002</v>
      </c>
      <c r="E284" s="205">
        <v>8.6972500000000004</v>
      </c>
      <c r="F284" s="204" t="s">
        <v>190</v>
      </c>
      <c r="G284" s="204" t="s">
        <v>715</v>
      </c>
      <c r="H284" s="204" t="s">
        <v>170</v>
      </c>
      <c r="I284" s="206" t="str">
        <f t="shared" si="6"/>
        <v>EUI_EQ_I033</v>
      </c>
      <c r="J284" s="204" t="s">
        <v>726</v>
      </c>
      <c r="K284" s="5" t="s">
        <v>727</v>
      </c>
      <c r="L284" s="5" t="str">
        <f>VLOOKUP($K284,'Property names'!$A$1:$D$100,2,FALSE)</f>
        <v>Sap velocity</v>
      </c>
      <c r="M284" s="5" t="str">
        <f>VLOOKUP($K284,'Property names'!$A$1:$D$100,3,FALSE)</f>
        <v>Centimeter per Second</v>
      </c>
      <c r="N284" s="5" t="str">
        <f>VLOOKUP($K284,'Property names'!$A$1:$D$100,4,FALSE)</f>
        <v>cm/h</v>
      </c>
      <c r="O284" s="204" t="s">
        <v>932</v>
      </c>
      <c r="P284" s="204" t="s">
        <v>933</v>
      </c>
      <c r="Q284" s="5" t="s">
        <v>653</v>
      </c>
    </row>
    <row r="285" spans="1:17" ht="15">
      <c r="A285" s="204" t="s">
        <v>693</v>
      </c>
      <c r="B285" s="209" t="s">
        <v>697</v>
      </c>
      <c r="C285" s="204" t="s">
        <v>714</v>
      </c>
      <c r="D285" s="205">
        <v>3.9944890000000002</v>
      </c>
      <c r="E285" s="205">
        <v>8.6972500000000004</v>
      </c>
      <c r="F285" s="204" t="s">
        <v>190</v>
      </c>
      <c r="G285" s="204" t="s">
        <v>715</v>
      </c>
      <c r="H285" s="204" t="s">
        <v>170</v>
      </c>
      <c r="I285" s="206" t="str">
        <f t="shared" si="6"/>
        <v>EUI_EQ_I033</v>
      </c>
      <c r="J285" s="204" t="s">
        <v>730</v>
      </c>
      <c r="K285" s="5" t="s">
        <v>730</v>
      </c>
      <c r="L285" s="5" t="str">
        <f>VLOOKUP($K285,'Property names'!$A$1:$D$100,2,FALSE)</f>
        <v>Rotation over X axis</v>
      </c>
      <c r="M285" s="5" t="str">
        <f>VLOOKUP($K285,'Property names'!$A$1:$D$100,3,FALSE)</f>
        <v>Degrees</v>
      </c>
      <c r="N285" s="5" t="str">
        <f>VLOOKUP($K285,'Property names'!$A$1:$D$100,4,FALSE)</f>
        <v>°</v>
      </c>
      <c r="O285" s="204" t="s">
        <v>934</v>
      </c>
      <c r="P285" s="204" t="s">
        <v>935</v>
      </c>
      <c r="Q285" s="5" t="s">
        <v>653</v>
      </c>
    </row>
    <row r="286" spans="1:17" ht="15">
      <c r="A286" s="204" t="s">
        <v>693</v>
      </c>
      <c r="B286" s="209" t="s">
        <v>697</v>
      </c>
      <c r="C286" s="204" t="s">
        <v>714</v>
      </c>
      <c r="D286" s="205">
        <v>3.9944890000000002</v>
      </c>
      <c r="E286" s="205">
        <v>8.6972500000000004</v>
      </c>
      <c r="F286" s="204" t="s">
        <v>190</v>
      </c>
      <c r="G286" s="204" t="s">
        <v>715</v>
      </c>
      <c r="H286" s="204" t="s">
        <v>170</v>
      </c>
      <c r="I286" s="206" t="str">
        <f t="shared" si="6"/>
        <v>EUI_EQ_I033</v>
      </c>
      <c r="J286" s="204" t="s">
        <v>733</v>
      </c>
      <c r="K286" s="5" t="s">
        <v>733</v>
      </c>
      <c r="L286" s="5" t="str">
        <f>VLOOKUP($K286,'Property names'!$A$1:$D$100,2,FALSE)</f>
        <v>Rotation over Y axis</v>
      </c>
      <c r="M286" s="5" t="str">
        <f>VLOOKUP($K286,'Property names'!$A$1:$D$100,3,FALSE)</f>
        <v>Degrees</v>
      </c>
      <c r="N286" s="5" t="str">
        <f>VLOOKUP($K286,'Property names'!$A$1:$D$100,4,FALSE)</f>
        <v>°</v>
      </c>
      <c r="O286" s="204" t="s">
        <v>936</v>
      </c>
      <c r="P286" s="204" t="s">
        <v>937</v>
      </c>
      <c r="Q286" s="5" t="s">
        <v>653</v>
      </c>
    </row>
    <row r="287" spans="1:17" ht="15">
      <c r="A287" s="204" t="s">
        <v>693</v>
      </c>
      <c r="B287" s="209" t="s">
        <v>697</v>
      </c>
      <c r="C287" s="204" t="s">
        <v>714</v>
      </c>
      <c r="D287" s="205">
        <v>3.9944890000000002</v>
      </c>
      <c r="E287" s="205">
        <v>8.6972500000000004</v>
      </c>
      <c r="F287" s="204" t="s">
        <v>190</v>
      </c>
      <c r="G287" s="204" t="s">
        <v>715</v>
      </c>
      <c r="H287" s="204" t="s">
        <v>170</v>
      </c>
      <c r="I287" s="206" t="str">
        <f t="shared" si="6"/>
        <v>EUI_EQ_I033</v>
      </c>
      <c r="J287" s="204" t="s">
        <v>736</v>
      </c>
      <c r="K287" s="5" t="s">
        <v>736</v>
      </c>
      <c r="L287" s="5" t="str">
        <f>VLOOKUP($K287,'Property names'!$A$1:$D$100,2,FALSE)</f>
        <v>Rotation over Z axis</v>
      </c>
      <c r="M287" s="5" t="str">
        <f>VLOOKUP($K287,'Property names'!$A$1:$D$100,3,FALSE)</f>
        <v>Degrees</v>
      </c>
      <c r="N287" s="5" t="str">
        <f>VLOOKUP($K287,'Property names'!$A$1:$D$100,4,FALSE)</f>
        <v>°</v>
      </c>
      <c r="O287" s="204" t="s">
        <v>938</v>
      </c>
      <c r="P287" s="204" t="s">
        <v>939</v>
      </c>
      <c r="Q287" s="5" t="s">
        <v>653</v>
      </c>
    </row>
    <row r="288" spans="1:17" ht="15">
      <c r="A288" s="204" t="s">
        <v>693</v>
      </c>
      <c r="B288" s="209" t="s">
        <v>697</v>
      </c>
      <c r="C288" s="204" t="s">
        <v>714</v>
      </c>
      <c r="D288" s="205">
        <v>3.9944890000000002</v>
      </c>
      <c r="E288" s="205">
        <v>8.6972500000000004</v>
      </c>
      <c r="F288" s="204" t="s">
        <v>190</v>
      </c>
      <c r="G288" s="204" t="s">
        <v>715</v>
      </c>
      <c r="H288" s="204" t="s">
        <v>170</v>
      </c>
      <c r="I288" s="206" t="str">
        <f t="shared" si="6"/>
        <v>EUI_EQ_I033</v>
      </c>
      <c r="J288" s="204" t="s">
        <v>679</v>
      </c>
      <c r="K288" s="204" t="s">
        <v>652</v>
      </c>
      <c r="L288" s="5" t="str">
        <f>VLOOKUP($K288,'Property names'!$A$1:$D$100,2,FALSE)</f>
        <v>The measure of the hotness or coldness of the air.</v>
      </c>
      <c r="M288" s="5" t="str">
        <f>VLOOKUP($K288,'Property names'!$A$1:$D$100,3,FALSE)</f>
        <v>Degrees Celsius</v>
      </c>
      <c r="N288" s="5" t="str">
        <f>VLOOKUP($K288,'Property names'!$A$1:$D$100,4,FALSE)</f>
        <v>ºC</v>
      </c>
      <c r="O288" s="204" t="s">
        <v>940</v>
      </c>
      <c r="P288" s="204" t="s">
        <v>941</v>
      </c>
      <c r="Q288" s="5" t="s">
        <v>653</v>
      </c>
    </row>
    <row r="289" spans="1:17" ht="15">
      <c r="A289" s="204" t="s">
        <v>693</v>
      </c>
      <c r="B289" s="209" t="s">
        <v>697</v>
      </c>
      <c r="C289" s="204" t="s">
        <v>714</v>
      </c>
      <c r="D289" s="205">
        <v>3.9944890000000002</v>
      </c>
      <c r="E289" s="205">
        <v>8.6972500000000004</v>
      </c>
      <c r="F289" s="204" t="s">
        <v>190</v>
      </c>
      <c r="G289" s="204" t="s">
        <v>715</v>
      </c>
      <c r="H289" s="204" t="s">
        <v>170</v>
      </c>
      <c r="I289" s="206" t="str">
        <f t="shared" si="6"/>
        <v>EUI_EQ_I033</v>
      </c>
      <c r="J289" s="204" t="s">
        <v>654</v>
      </c>
      <c r="K289" s="204" t="s">
        <v>655</v>
      </c>
      <c r="L289" s="5" t="str">
        <f>VLOOKUP($K289,'Property names'!$A$1:$D$100,2,FALSE)</f>
        <v>The amount of moisture or water vapor present in the air, often expressed as a percentage of the maximum amount the air could hold at a given temperature.</v>
      </c>
      <c r="M289" s="5" t="str">
        <f>VLOOKUP($K289,'Property names'!$A$1:$D$100,3,FALSE)</f>
        <v>Percentage</v>
      </c>
      <c r="N289" s="5" t="str">
        <f>VLOOKUP($K289,'Property names'!$A$1:$D$100,4,FALSE)</f>
        <v>%</v>
      </c>
      <c r="O289" s="204" t="s">
        <v>942</v>
      </c>
      <c r="P289" s="204" t="s">
        <v>943</v>
      </c>
      <c r="Q289" s="5" t="s">
        <v>653</v>
      </c>
    </row>
    <row r="290" spans="1:17" ht="15">
      <c r="A290" s="207" t="s">
        <v>693</v>
      </c>
      <c r="B290" s="209" t="s">
        <v>697</v>
      </c>
      <c r="C290" s="204" t="s">
        <v>714</v>
      </c>
      <c r="D290" s="205">
        <v>3.9944890000000002</v>
      </c>
      <c r="E290" s="205">
        <v>8.6972500000000004</v>
      </c>
      <c r="F290" s="204" t="s">
        <v>190</v>
      </c>
      <c r="G290" s="204" t="s">
        <v>715</v>
      </c>
      <c r="H290" s="204" t="s">
        <v>170</v>
      </c>
      <c r="I290" s="206" t="str">
        <f t="shared" si="6"/>
        <v>EUI_EQ_I033</v>
      </c>
      <c r="J290" s="204" t="s">
        <v>743</v>
      </c>
      <c r="K290" s="204" t="s">
        <v>692</v>
      </c>
      <c r="L290" s="5" t="str">
        <f>VLOOKUP($K290,'Property names'!$A$1:$D$100,2,FALSE)</f>
        <v>The electrical potential in a battery, indicating its charge level.</v>
      </c>
      <c r="M290" s="5" t="str">
        <f>VLOOKUP($K290,'Property names'!$A$1:$D$100,3,FALSE)</f>
        <v>Millivolts</v>
      </c>
      <c r="N290" s="5" t="str">
        <f>VLOOKUP($K290,'Property names'!$A$1:$D$100,4,FALSE)</f>
        <v>mV</v>
      </c>
      <c r="O290" s="204" t="s">
        <v>944</v>
      </c>
      <c r="P290" s="204" t="s">
        <v>945</v>
      </c>
      <c r="Q290" s="5" t="s">
        <v>653</v>
      </c>
    </row>
    <row r="291" spans="1:17" ht="15">
      <c r="A291" s="204" t="s">
        <v>693</v>
      </c>
      <c r="B291" s="209" t="s">
        <v>697</v>
      </c>
      <c r="C291" s="204" t="s">
        <v>714</v>
      </c>
      <c r="D291" s="205">
        <v>3.9944890000000002</v>
      </c>
      <c r="E291" s="205">
        <v>8.6972500000000004</v>
      </c>
      <c r="F291" s="204" t="s">
        <v>192</v>
      </c>
      <c r="G291" s="204" t="s">
        <v>715</v>
      </c>
      <c r="H291" s="204" t="s">
        <v>170</v>
      </c>
      <c r="I291" s="206" t="str">
        <f t="shared" si="6"/>
        <v>EUI_EQ_I034</v>
      </c>
      <c r="J291" s="204" t="s">
        <v>716</v>
      </c>
      <c r="K291" s="5" t="s">
        <v>716</v>
      </c>
      <c r="L291" s="5" t="str">
        <f>VLOOKUP($K291,'Property names'!$A$1:$D$100,2,FALSE)</f>
        <v>UTC epoch time when the data were collected</v>
      </c>
      <c r="M291" s="5" t="str">
        <f>VLOOKUP($K291,'Property names'!$A$1:$D$100,3,FALSE)</f>
        <v>Seconds</v>
      </c>
      <c r="N291" s="5" t="str">
        <f>VLOOKUP($K291,'Property names'!$A$1:$D$100,4,FALSE)</f>
        <v>s</v>
      </c>
      <c r="O291" s="204" t="s">
        <v>946</v>
      </c>
      <c r="P291" s="204" t="s">
        <v>947</v>
      </c>
      <c r="Q291" s="5" t="s">
        <v>653</v>
      </c>
    </row>
    <row r="292" spans="1:17" ht="15">
      <c r="A292" s="204" t="s">
        <v>693</v>
      </c>
      <c r="B292" s="209" t="s">
        <v>697</v>
      </c>
      <c r="C292" s="204" t="s">
        <v>714</v>
      </c>
      <c r="D292" s="205">
        <v>3.9944890000000002</v>
      </c>
      <c r="E292" s="205">
        <v>8.6972500000000004</v>
      </c>
      <c r="F292" s="204" t="s">
        <v>192</v>
      </c>
      <c r="G292" s="204" t="s">
        <v>715</v>
      </c>
      <c r="H292" s="204" t="s">
        <v>170</v>
      </c>
      <c r="I292" s="206" t="str">
        <f t="shared" si="6"/>
        <v>EUI_EQ_I034</v>
      </c>
      <c r="J292" s="204" t="s">
        <v>719</v>
      </c>
      <c r="K292" s="5" t="s">
        <v>719</v>
      </c>
      <c r="L292" s="5" t="str">
        <f>VLOOKUP($K292,'Property names'!$A$1:$D$100,2,FALSE)</f>
        <v>Normalized Difference Vegetation Index</v>
      </c>
      <c r="M292" s="5" t="str">
        <f>VLOOKUP($K292,'Property names'!$A$1:$D$100,3,FALSE)</f>
        <v>-</v>
      </c>
      <c r="N292" s="5" t="str">
        <f>VLOOKUP($K292,'Property names'!$A$1:$D$100,4,FALSE)</f>
        <v>-</v>
      </c>
      <c r="O292" s="204" t="s">
        <v>948</v>
      </c>
      <c r="P292" s="204" t="s">
        <v>949</v>
      </c>
      <c r="Q292" s="5" t="s">
        <v>653</v>
      </c>
    </row>
    <row r="293" spans="1:17" ht="15">
      <c r="A293" s="204" t="s">
        <v>693</v>
      </c>
      <c r="B293" s="209" t="s">
        <v>697</v>
      </c>
      <c r="C293" s="204" t="s">
        <v>714</v>
      </c>
      <c r="D293" s="205">
        <v>3.9944890000000002</v>
      </c>
      <c r="E293" s="205">
        <v>8.6972500000000004</v>
      </c>
      <c r="F293" s="204" t="s">
        <v>192</v>
      </c>
      <c r="G293" s="204" t="s">
        <v>715</v>
      </c>
      <c r="H293" s="204" t="s">
        <v>170</v>
      </c>
      <c r="I293" s="206" t="str">
        <f t="shared" si="6"/>
        <v>EUI_EQ_I034</v>
      </c>
      <c r="J293" s="204" t="s">
        <v>722</v>
      </c>
      <c r="K293" s="5" t="s">
        <v>723</v>
      </c>
      <c r="L293" s="5" t="str">
        <f>VLOOKUP($K293,'Property names'!$A$1:$D$100,2,FALSE)</f>
        <v>Differential measurement of trunk radial growth</v>
      </c>
      <c r="M293" s="5" t="str">
        <f>VLOOKUP($K293,'Property names'!$A$1:$D$100,3,FALSE)</f>
        <v>Millimeters</v>
      </c>
      <c r="N293" s="5" t="str">
        <f>VLOOKUP($K293,'Property names'!$A$1:$D$100,4,FALSE)</f>
        <v>mm</v>
      </c>
      <c r="O293" s="204" t="s">
        <v>950</v>
      </c>
      <c r="P293" s="204" t="s">
        <v>951</v>
      </c>
      <c r="Q293" s="5" t="s">
        <v>653</v>
      </c>
    </row>
    <row r="294" spans="1:17" ht="15">
      <c r="A294" s="204" t="s">
        <v>693</v>
      </c>
      <c r="B294" s="209" t="s">
        <v>697</v>
      </c>
      <c r="C294" s="204" t="s">
        <v>714</v>
      </c>
      <c r="D294" s="205">
        <v>3.9944890000000002</v>
      </c>
      <c r="E294" s="205">
        <v>8.6972500000000004</v>
      </c>
      <c r="F294" s="204" t="s">
        <v>192</v>
      </c>
      <c r="G294" s="204" t="s">
        <v>715</v>
      </c>
      <c r="H294" s="204" t="s">
        <v>170</v>
      </c>
      <c r="I294" s="206" t="str">
        <f t="shared" si="6"/>
        <v>EUI_EQ_I034</v>
      </c>
      <c r="J294" s="204" t="s">
        <v>726</v>
      </c>
      <c r="K294" s="5" t="s">
        <v>727</v>
      </c>
      <c r="L294" s="5" t="str">
        <f>VLOOKUP($K294,'Property names'!$A$1:$D$100,2,FALSE)</f>
        <v>Sap velocity</v>
      </c>
      <c r="M294" s="5" t="str">
        <f>VLOOKUP($K294,'Property names'!$A$1:$D$100,3,FALSE)</f>
        <v>Centimeter per Second</v>
      </c>
      <c r="N294" s="5" t="str">
        <f>VLOOKUP($K294,'Property names'!$A$1:$D$100,4,FALSE)</f>
        <v>cm/h</v>
      </c>
      <c r="O294" s="204" t="s">
        <v>952</v>
      </c>
      <c r="P294" s="204" t="s">
        <v>953</v>
      </c>
      <c r="Q294" s="5" t="s">
        <v>653</v>
      </c>
    </row>
    <row r="295" spans="1:17" ht="15">
      <c r="A295" s="204" t="s">
        <v>693</v>
      </c>
      <c r="B295" s="209" t="s">
        <v>697</v>
      </c>
      <c r="C295" s="204" t="s">
        <v>714</v>
      </c>
      <c r="D295" s="205">
        <v>3.9944890000000002</v>
      </c>
      <c r="E295" s="205">
        <v>8.6972500000000004</v>
      </c>
      <c r="F295" s="204" t="s">
        <v>192</v>
      </c>
      <c r="G295" s="204" t="s">
        <v>715</v>
      </c>
      <c r="H295" s="204" t="s">
        <v>170</v>
      </c>
      <c r="I295" s="206" t="str">
        <f t="shared" si="6"/>
        <v>EUI_EQ_I034</v>
      </c>
      <c r="J295" s="204" t="s">
        <v>730</v>
      </c>
      <c r="K295" s="5" t="s">
        <v>730</v>
      </c>
      <c r="L295" s="5" t="str">
        <f>VLOOKUP($K295,'Property names'!$A$1:$D$100,2,FALSE)</f>
        <v>Rotation over X axis</v>
      </c>
      <c r="M295" s="5" t="str">
        <f>VLOOKUP($K295,'Property names'!$A$1:$D$100,3,FALSE)</f>
        <v>Degrees</v>
      </c>
      <c r="N295" s="5" t="str">
        <f>VLOOKUP($K295,'Property names'!$A$1:$D$100,4,FALSE)</f>
        <v>°</v>
      </c>
      <c r="O295" s="204" t="s">
        <v>954</v>
      </c>
      <c r="P295" s="204" t="s">
        <v>955</v>
      </c>
      <c r="Q295" s="5" t="s">
        <v>653</v>
      </c>
    </row>
    <row r="296" spans="1:17" ht="15">
      <c r="A296" s="204" t="s">
        <v>693</v>
      </c>
      <c r="B296" s="209" t="s">
        <v>697</v>
      </c>
      <c r="C296" s="204" t="s">
        <v>714</v>
      </c>
      <c r="D296" s="205">
        <v>3.9944890000000002</v>
      </c>
      <c r="E296" s="205">
        <v>8.6972500000000004</v>
      </c>
      <c r="F296" s="204" t="s">
        <v>192</v>
      </c>
      <c r="G296" s="204" t="s">
        <v>715</v>
      </c>
      <c r="H296" s="204" t="s">
        <v>170</v>
      </c>
      <c r="I296" s="206" t="str">
        <f t="shared" si="6"/>
        <v>EUI_EQ_I034</v>
      </c>
      <c r="J296" s="204" t="s">
        <v>733</v>
      </c>
      <c r="K296" s="5" t="s">
        <v>733</v>
      </c>
      <c r="L296" s="5" t="str">
        <f>VLOOKUP($K296,'Property names'!$A$1:$D$100,2,FALSE)</f>
        <v>Rotation over Y axis</v>
      </c>
      <c r="M296" s="5" t="str">
        <f>VLOOKUP($K296,'Property names'!$A$1:$D$100,3,FALSE)</f>
        <v>Degrees</v>
      </c>
      <c r="N296" s="5" t="str">
        <f>VLOOKUP($K296,'Property names'!$A$1:$D$100,4,FALSE)</f>
        <v>°</v>
      </c>
      <c r="O296" s="204" t="s">
        <v>956</v>
      </c>
      <c r="P296" s="204" t="s">
        <v>957</v>
      </c>
      <c r="Q296" s="5" t="s">
        <v>653</v>
      </c>
    </row>
    <row r="297" spans="1:17" ht="15">
      <c r="A297" s="204" t="s">
        <v>693</v>
      </c>
      <c r="B297" s="209" t="s">
        <v>697</v>
      </c>
      <c r="C297" s="204" t="s">
        <v>714</v>
      </c>
      <c r="D297" s="205">
        <v>3.9944890000000002</v>
      </c>
      <c r="E297" s="205">
        <v>8.6972500000000004</v>
      </c>
      <c r="F297" s="204" t="s">
        <v>192</v>
      </c>
      <c r="G297" s="204" t="s">
        <v>715</v>
      </c>
      <c r="H297" s="204" t="s">
        <v>170</v>
      </c>
      <c r="I297" s="206" t="str">
        <f t="shared" si="6"/>
        <v>EUI_EQ_I034</v>
      </c>
      <c r="J297" s="204" t="s">
        <v>736</v>
      </c>
      <c r="K297" s="5" t="s">
        <v>736</v>
      </c>
      <c r="L297" s="5" t="str">
        <f>VLOOKUP($K297,'Property names'!$A$1:$D$100,2,FALSE)</f>
        <v>Rotation over Z axis</v>
      </c>
      <c r="M297" s="5" t="str">
        <f>VLOOKUP($K297,'Property names'!$A$1:$D$100,3,FALSE)</f>
        <v>Degrees</v>
      </c>
      <c r="N297" s="5" t="str">
        <f>VLOOKUP($K297,'Property names'!$A$1:$D$100,4,FALSE)</f>
        <v>°</v>
      </c>
      <c r="O297" s="204" t="s">
        <v>958</v>
      </c>
      <c r="P297" s="204" t="s">
        <v>959</v>
      </c>
      <c r="Q297" s="5" t="s">
        <v>653</v>
      </c>
    </row>
    <row r="298" spans="1:17" ht="15">
      <c r="A298" s="204" t="s">
        <v>693</v>
      </c>
      <c r="B298" s="209" t="s">
        <v>697</v>
      </c>
      <c r="C298" s="204" t="s">
        <v>714</v>
      </c>
      <c r="D298" s="205">
        <v>3.9944890000000002</v>
      </c>
      <c r="E298" s="205">
        <v>8.6972500000000004</v>
      </c>
      <c r="F298" s="204" t="s">
        <v>192</v>
      </c>
      <c r="G298" s="204" t="s">
        <v>715</v>
      </c>
      <c r="H298" s="204" t="s">
        <v>170</v>
      </c>
      <c r="I298" s="206" t="str">
        <f t="shared" si="6"/>
        <v>EUI_EQ_I034</v>
      </c>
      <c r="J298" s="204" t="s">
        <v>679</v>
      </c>
      <c r="K298" s="204" t="s">
        <v>652</v>
      </c>
      <c r="L298" s="5" t="str">
        <f>VLOOKUP($K298,'Property names'!$A$1:$D$100,2,FALSE)</f>
        <v>The measure of the hotness or coldness of the air.</v>
      </c>
      <c r="M298" s="5" t="str">
        <f>VLOOKUP($K298,'Property names'!$A$1:$D$100,3,FALSE)</f>
        <v>Degrees Celsius</v>
      </c>
      <c r="N298" s="5" t="str">
        <f>VLOOKUP($K298,'Property names'!$A$1:$D$100,4,FALSE)</f>
        <v>ºC</v>
      </c>
      <c r="O298" s="204" t="s">
        <v>960</v>
      </c>
      <c r="P298" s="204" t="s">
        <v>961</v>
      </c>
      <c r="Q298" s="5" t="s">
        <v>653</v>
      </c>
    </row>
    <row r="299" spans="1:17" ht="15">
      <c r="A299" s="204" t="s">
        <v>693</v>
      </c>
      <c r="B299" s="209" t="s">
        <v>697</v>
      </c>
      <c r="C299" s="204" t="s">
        <v>714</v>
      </c>
      <c r="D299" s="205">
        <v>3.9944890000000002</v>
      </c>
      <c r="E299" s="205">
        <v>8.6972500000000004</v>
      </c>
      <c r="F299" s="204" t="s">
        <v>192</v>
      </c>
      <c r="G299" s="204" t="s">
        <v>715</v>
      </c>
      <c r="H299" s="204" t="s">
        <v>170</v>
      </c>
      <c r="I299" s="206" t="str">
        <f t="shared" si="6"/>
        <v>EUI_EQ_I034</v>
      </c>
      <c r="J299" s="204" t="s">
        <v>654</v>
      </c>
      <c r="K299" s="204" t="s">
        <v>655</v>
      </c>
      <c r="L299" s="5" t="str">
        <f>VLOOKUP($K299,'Property names'!$A$1:$D$100,2,FALSE)</f>
        <v>The amount of moisture or water vapor present in the air, often expressed as a percentage of the maximum amount the air could hold at a given temperature.</v>
      </c>
      <c r="M299" s="5" t="str">
        <f>VLOOKUP($K299,'Property names'!$A$1:$D$100,3,FALSE)</f>
        <v>Percentage</v>
      </c>
      <c r="N299" s="5" t="str">
        <f>VLOOKUP($K299,'Property names'!$A$1:$D$100,4,FALSE)</f>
        <v>%</v>
      </c>
      <c r="O299" s="204" t="s">
        <v>962</v>
      </c>
      <c r="P299" s="204" t="s">
        <v>963</v>
      </c>
      <c r="Q299" s="5" t="s">
        <v>653</v>
      </c>
    </row>
    <row r="300" spans="1:17" ht="15">
      <c r="A300" s="207" t="s">
        <v>693</v>
      </c>
      <c r="B300" s="209" t="s">
        <v>697</v>
      </c>
      <c r="C300" s="204" t="s">
        <v>714</v>
      </c>
      <c r="D300" s="205">
        <v>3.9944890000000002</v>
      </c>
      <c r="E300" s="205">
        <v>8.6972500000000004</v>
      </c>
      <c r="F300" s="204" t="s">
        <v>192</v>
      </c>
      <c r="G300" s="204" t="s">
        <v>715</v>
      </c>
      <c r="H300" s="204" t="s">
        <v>170</v>
      </c>
      <c r="I300" s="206" t="str">
        <f t="shared" si="6"/>
        <v>EUI_EQ_I034</v>
      </c>
      <c r="J300" s="204" t="s">
        <v>743</v>
      </c>
      <c r="K300" s="204" t="s">
        <v>692</v>
      </c>
      <c r="L300" s="5" t="str">
        <f>VLOOKUP($K300,'Property names'!$A$1:$D$100,2,FALSE)</f>
        <v>The electrical potential in a battery, indicating its charge level.</v>
      </c>
      <c r="M300" s="5" t="str">
        <f>VLOOKUP($K300,'Property names'!$A$1:$D$100,3,FALSE)</f>
        <v>Millivolts</v>
      </c>
      <c r="N300" s="5" t="str">
        <f>VLOOKUP($K300,'Property names'!$A$1:$D$100,4,FALSE)</f>
        <v>mV</v>
      </c>
      <c r="O300" s="204" t="s">
        <v>964</v>
      </c>
      <c r="P300" s="204" t="s">
        <v>965</v>
      </c>
      <c r="Q300" s="5" t="s">
        <v>653</v>
      </c>
    </row>
    <row r="301" spans="1:17" ht="15">
      <c r="A301" s="204" t="s">
        <v>693</v>
      </c>
      <c r="B301" s="209" t="s">
        <v>697</v>
      </c>
      <c r="C301" s="204" t="s">
        <v>714</v>
      </c>
      <c r="D301" s="205">
        <v>3.9944890000000002</v>
      </c>
      <c r="E301" s="205">
        <v>8.6972500000000004</v>
      </c>
      <c r="F301" s="204" t="s">
        <v>194</v>
      </c>
      <c r="G301" s="204" t="s">
        <v>715</v>
      </c>
      <c r="H301" s="204" t="s">
        <v>170</v>
      </c>
      <c r="I301" s="206" t="str">
        <f t="shared" si="6"/>
        <v>EUI_EQ_I035</v>
      </c>
      <c r="J301" s="204" t="s">
        <v>716</v>
      </c>
      <c r="K301" s="5" t="s">
        <v>716</v>
      </c>
      <c r="L301" s="5" t="str">
        <f>VLOOKUP($K301,'Property names'!$A$1:$D$100,2,FALSE)</f>
        <v>UTC epoch time when the data were collected</v>
      </c>
      <c r="M301" s="5" t="str">
        <f>VLOOKUP($K301,'Property names'!$A$1:$D$100,3,FALSE)</f>
        <v>Seconds</v>
      </c>
      <c r="N301" s="5" t="str">
        <f>VLOOKUP($K301,'Property names'!$A$1:$D$100,4,FALSE)</f>
        <v>s</v>
      </c>
      <c r="O301" s="204" t="s">
        <v>966</v>
      </c>
      <c r="P301" s="204" t="s">
        <v>967</v>
      </c>
      <c r="Q301" s="5" t="s">
        <v>653</v>
      </c>
    </row>
    <row r="302" spans="1:17" ht="15">
      <c r="A302" s="204" t="s">
        <v>693</v>
      </c>
      <c r="B302" s="209" t="s">
        <v>697</v>
      </c>
      <c r="C302" s="204" t="s">
        <v>714</v>
      </c>
      <c r="D302" s="205">
        <v>3.9944890000000002</v>
      </c>
      <c r="E302" s="205">
        <v>8.6972500000000004</v>
      </c>
      <c r="F302" s="204" t="s">
        <v>194</v>
      </c>
      <c r="G302" s="204" t="s">
        <v>715</v>
      </c>
      <c r="H302" s="204" t="s">
        <v>170</v>
      </c>
      <c r="I302" s="206" t="str">
        <f t="shared" si="6"/>
        <v>EUI_EQ_I035</v>
      </c>
      <c r="J302" s="204" t="s">
        <v>719</v>
      </c>
      <c r="K302" s="5" t="s">
        <v>719</v>
      </c>
      <c r="L302" s="5" t="str">
        <f>VLOOKUP($K302,'Property names'!$A$1:$D$100,2,FALSE)</f>
        <v>Normalized Difference Vegetation Index</v>
      </c>
      <c r="M302" s="5" t="str">
        <f>VLOOKUP($K302,'Property names'!$A$1:$D$100,3,FALSE)</f>
        <v>-</v>
      </c>
      <c r="N302" s="5" t="str">
        <f>VLOOKUP($K302,'Property names'!$A$1:$D$100,4,FALSE)</f>
        <v>-</v>
      </c>
      <c r="O302" s="204" t="s">
        <v>968</v>
      </c>
      <c r="P302" s="204" t="s">
        <v>969</v>
      </c>
      <c r="Q302" s="5" t="s">
        <v>653</v>
      </c>
    </row>
    <row r="303" spans="1:17" ht="15">
      <c r="A303" s="204" t="s">
        <v>693</v>
      </c>
      <c r="B303" s="209" t="s">
        <v>697</v>
      </c>
      <c r="C303" s="204" t="s">
        <v>714</v>
      </c>
      <c r="D303" s="205">
        <v>3.9944890000000002</v>
      </c>
      <c r="E303" s="205">
        <v>8.6972500000000004</v>
      </c>
      <c r="F303" s="204" t="s">
        <v>194</v>
      </c>
      <c r="G303" s="204" t="s">
        <v>715</v>
      </c>
      <c r="H303" s="204" t="s">
        <v>170</v>
      </c>
      <c r="I303" s="206" t="str">
        <f t="shared" si="6"/>
        <v>EUI_EQ_I035</v>
      </c>
      <c r="J303" s="204" t="s">
        <v>722</v>
      </c>
      <c r="K303" s="5" t="s">
        <v>723</v>
      </c>
      <c r="L303" s="5" t="str">
        <f>VLOOKUP($K303,'Property names'!$A$1:$D$100,2,FALSE)</f>
        <v>Differential measurement of trunk radial growth</v>
      </c>
      <c r="M303" s="5" t="str">
        <f>VLOOKUP($K303,'Property names'!$A$1:$D$100,3,FALSE)</f>
        <v>Millimeters</v>
      </c>
      <c r="N303" s="5" t="str">
        <f>VLOOKUP($K303,'Property names'!$A$1:$D$100,4,FALSE)</f>
        <v>mm</v>
      </c>
      <c r="O303" s="204" t="s">
        <v>970</v>
      </c>
      <c r="P303" s="204" t="s">
        <v>971</v>
      </c>
      <c r="Q303" s="5" t="s">
        <v>653</v>
      </c>
    </row>
    <row r="304" spans="1:17" ht="15">
      <c r="A304" s="204" t="s">
        <v>693</v>
      </c>
      <c r="B304" s="209" t="s">
        <v>697</v>
      </c>
      <c r="C304" s="204" t="s">
        <v>714</v>
      </c>
      <c r="D304" s="205">
        <v>3.9944890000000002</v>
      </c>
      <c r="E304" s="205">
        <v>8.6972500000000004</v>
      </c>
      <c r="F304" s="204" t="s">
        <v>194</v>
      </c>
      <c r="G304" s="204" t="s">
        <v>715</v>
      </c>
      <c r="H304" s="204" t="s">
        <v>170</v>
      </c>
      <c r="I304" s="206" t="str">
        <f t="shared" si="6"/>
        <v>EUI_EQ_I035</v>
      </c>
      <c r="J304" s="204" t="s">
        <v>726</v>
      </c>
      <c r="K304" s="5" t="s">
        <v>727</v>
      </c>
      <c r="L304" s="5" t="str">
        <f>VLOOKUP($K304,'Property names'!$A$1:$D$100,2,FALSE)</f>
        <v>Sap velocity</v>
      </c>
      <c r="M304" s="5" t="str">
        <f>VLOOKUP($K304,'Property names'!$A$1:$D$100,3,FALSE)</f>
        <v>Centimeter per Second</v>
      </c>
      <c r="N304" s="5" t="str">
        <f>VLOOKUP($K304,'Property names'!$A$1:$D$100,4,FALSE)</f>
        <v>cm/h</v>
      </c>
      <c r="O304" s="204" t="s">
        <v>972</v>
      </c>
      <c r="P304" s="204" t="s">
        <v>973</v>
      </c>
      <c r="Q304" s="5" t="s">
        <v>653</v>
      </c>
    </row>
    <row r="305" spans="1:17" ht="15">
      <c r="A305" s="204" t="s">
        <v>693</v>
      </c>
      <c r="B305" s="209" t="s">
        <v>697</v>
      </c>
      <c r="C305" s="204" t="s">
        <v>714</v>
      </c>
      <c r="D305" s="205">
        <v>3.9944890000000002</v>
      </c>
      <c r="E305" s="205">
        <v>8.6972500000000004</v>
      </c>
      <c r="F305" s="204" t="s">
        <v>194</v>
      </c>
      <c r="G305" s="204" t="s">
        <v>715</v>
      </c>
      <c r="H305" s="204" t="s">
        <v>170</v>
      </c>
      <c r="I305" s="206" t="str">
        <f t="shared" si="6"/>
        <v>EUI_EQ_I035</v>
      </c>
      <c r="J305" s="204" t="s">
        <v>730</v>
      </c>
      <c r="K305" s="5" t="s">
        <v>730</v>
      </c>
      <c r="L305" s="5" t="str">
        <f>VLOOKUP($K305,'Property names'!$A$1:$D$100,2,FALSE)</f>
        <v>Rotation over X axis</v>
      </c>
      <c r="M305" s="5" t="str">
        <f>VLOOKUP($K305,'Property names'!$A$1:$D$100,3,FALSE)</f>
        <v>Degrees</v>
      </c>
      <c r="N305" s="5" t="str">
        <f>VLOOKUP($K305,'Property names'!$A$1:$D$100,4,FALSE)</f>
        <v>°</v>
      </c>
      <c r="O305" s="204" t="s">
        <v>974</v>
      </c>
      <c r="P305" s="204" t="s">
        <v>975</v>
      </c>
      <c r="Q305" s="5" t="s">
        <v>653</v>
      </c>
    </row>
    <row r="306" spans="1:17" ht="15">
      <c r="A306" s="204" t="s">
        <v>693</v>
      </c>
      <c r="B306" s="209" t="s">
        <v>697</v>
      </c>
      <c r="C306" s="204" t="s">
        <v>714</v>
      </c>
      <c r="D306" s="205">
        <v>3.9944890000000002</v>
      </c>
      <c r="E306" s="205">
        <v>8.6972500000000004</v>
      </c>
      <c r="F306" s="204" t="s">
        <v>194</v>
      </c>
      <c r="G306" s="204" t="s">
        <v>715</v>
      </c>
      <c r="H306" s="204" t="s">
        <v>170</v>
      </c>
      <c r="I306" s="206" t="str">
        <f t="shared" si="6"/>
        <v>EUI_EQ_I035</v>
      </c>
      <c r="J306" s="204" t="s">
        <v>733</v>
      </c>
      <c r="K306" s="5" t="s">
        <v>733</v>
      </c>
      <c r="L306" s="5" t="str">
        <f>VLOOKUP($K306,'Property names'!$A$1:$D$100,2,FALSE)</f>
        <v>Rotation over Y axis</v>
      </c>
      <c r="M306" s="5" t="str">
        <f>VLOOKUP($K306,'Property names'!$A$1:$D$100,3,FALSE)</f>
        <v>Degrees</v>
      </c>
      <c r="N306" s="5" t="str">
        <f>VLOOKUP($K306,'Property names'!$A$1:$D$100,4,FALSE)</f>
        <v>°</v>
      </c>
      <c r="O306" s="204" t="s">
        <v>976</v>
      </c>
      <c r="P306" s="204" t="s">
        <v>977</v>
      </c>
      <c r="Q306" s="5" t="s">
        <v>653</v>
      </c>
    </row>
    <row r="307" spans="1:17" ht="15">
      <c r="A307" s="204" t="s">
        <v>693</v>
      </c>
      <c r="B307" s="209" t="s">
        <v>697</v>
      </c>
      <c r="C307" s="204" t="s">
        <v>714</v>
      </c>
      <c r="D307" s="205">
        <v>3.9944890000000002</v>
      </c>
      <c r="E307" s="205">
        <v>8.6972500000000004</v>
      </c>
      <c r="F307" s="204" t="s">
        <v>194</v>
      </c>
      <c r="G307" s="204" t="s">
        <v>715</v>
      </c>
      <c r="H307" s="204" t="s">
        <v>170</v>
      </c>
      <c r="I307" s="206" t="str">
        <f t="shared" si="6"/>
        <v>EUI_EQ_I035</v>
      </c>
      <c r="J307" s="204" t="s">
        <v>736</v>
      </c>
      <c r="K307" s="5" t="s">
        <v>736</v>
      </c>
      <c r="L307" s="5" t="str">
        <f>VLOOKUP($K307,'Property names'!$A$1:$D$100,2,FALSE)</f>
        <v>Rotation over Z axis</v>
      </c>
      <c r="M307" s="5" t="str">
        <f>VLOOKUP($K307,'Property names'!$A$1:$D$100,3,FALSE)</f>
        <v>Degrees</v>
      </c>
      <c r="N307" s="5" t="str">
        <f>VLOOKUP($K307,'Property names'!$A$1:$D$100,4,FALSE)</f>
        <v>°</v>
      </c>
      <c r="O307" s="204" t="s">
        <v>978</v>
      </c>
      <c r="P307" s="204" t="s">
        <v>979</v>
      </c>
      <c r="Q307" s="5" t="s">
        <v>653</v>
      </c>
    </row>
    <row r="308" spans="1:17" ht="15">
      <c r="A308" s="204" t="s">
        <v>693</v>
      </c>
      <c r="B308" s="209" t="s">
        <v>697</v>
      </c>
      <c r="C308" s="204" t="s">
        <v>714</v>
      </c>
      <c r="D308" s="205">
        <v>3.9944890000000002</v>
      </c>
      <c r="E308" s="205">
        <v>8.6972500000000004</v>
      </c>
      <c r="F308" s="204" t="s">
        <v>194</v>
      </c>
      <c r="G308" s="204" t="s">
        <v>715</v>
      </c>
      <c r="H308" s="204" t="s">
        <v>170</v>
      </c>
      <c r="I308" s="206" t="str">
        <f t="shared" si="6"/>
        <v>EUI_EQ_I035</v>
      </c>
      <c r="J308" s="204" t="s">
        <v>679</v>
      </c>
      <c r="K308" s="204" t="s">
        <v>652</v>
      </c>
      <c r="L308" s="5" t="str">
        <f>VLOOKUP($K308,'Property names'!$A$1:$D$100,2,FALSE)</f>
        <v>The measure of the hotness or coldness of the air.</v>
      </c>
      <c r="M308" s="5" t="str">
        <f>VLOOKUP($K308,'Property names'!$A$1:$D$100,3,FALSE)</f>
        <v>Degrees Celsius</v>
      </c>
      <c r="N308" s="5" t="str">
        <f>VLOOKUP($K308,'Property names'!$A$1:$D$100,4,FALSE)</f>
        <v>ºC</v>
      </c>
      <c r="O308" s="204" t="s">
        <v>980</v>
      </c>
      <c r="P308" s="204" t="s">
        <v>981</v>
      </c>
      <c r="Q308" s="5" t="s">
        <v>653</v>
      </c>
    </row>
    <row r="309" spans="1:17" ht="15">
      <c r="A309" s="204" t="s">
        <v>693</v>
      </c>
      <c r="B309" s="209" t="s">
        <v>697</v>
      </c>
      <c r="C309" s="204" t="s">
        <v>714</v>
      </c>
      <c r="D309" s="205">
        <v>3.9944890000000002</v>
      </c>
      <c r="E309" s="205">
        <v>8.6972500000000004</v>
      </c>
      <c r="F309" s="204" t="s">
        <v>194</v>
      </c>
      <c r="G309" s="204" t="s">
        <v>715</v>
      </c>
      <c r="H309" s="204" t="s">
        <v>170</v>
      </c>
      <c r="I309" s="206" t="str">
        <f t="shared" si="6"/>
        <v>EUI_EQ_I035</v>
      </c>
      <c r="J309" s="204" t="s">
        <v>654</v>
      </c>
      <c r="K309" s="204" t="s">
        <v>655</v>
      </c>
      <c r="L309" s="5" t="str">
        <f>VLOOKUP($K309,'Property names'!$A$1:$D$100,2,FALSE)</f>
        <v>The amount of moisture or water vapor present in the air, often expressed as a percentage of the maximum amount the air could hold at a given temperature.</v>
      </c>
      <c r="M309" s="5" t="str">
        <f>VLOOKUP($K309,'Property names'!$A$1:$D$100,3,FALSE)</f>
        <v>Percentage</v>
      </c>
      <c r="N309" s="5" t="str">
        <f>VLOOKUP($K309,'Property names'!$A$1:$D$100,4,FALSE)</f>
        <v>%</v>
      </c>
      <c r="O309" s="204" t="s">
        <v>982</v>
      </c>
      <c r="P309" s="204" t="s">
        <v>983</v>
      </c>
      <c r="Q309" s="5" t="s">
        <v>653</v>
      </c>
    </row>
    <row r="310" spans="1:17" ht="15">
      <c r="A310" s="207" t="s">
        <v>693</v>
      </c>
      <c r="B310" s="209" t="s">
        <v>697</v>
      </c>
      <c r="C310" s="204" t="s">
        <v>714</v>
      </c>
      <c r="D310" s="205">
        <v>3.9944890000000002</v>
      </c>
      <c r="E310" s="205">
        <v>8.6972500000000004</v>
      </c>
      <c r="F310" s="204" t="s">
        <v>194</v>
      </c>
      <c r="G310" s="204" t="s">
        <v>715</v>
      </c>
      <c r="H310" s="204" t="s">
        <v>170</v>
      </c>
      <c r="I310" s="206" t="str">
        <f t="shared" si="6"/>
        <v>EUI_EQ_I035</v>
      </c>
      <c r="J310" s="204" t="s">
        <v>743</v>
      </c>
      <c r="K310" s="204" t="s">
        <v>692</v>
      </c>
      <c r="L310" s="5" t="str">
        <f>VLOOKUP($K310,'Property names'!$A$1:$D$100,2,FALSE)</f>
        <v>The electrical potential in a battery, indicating its charge level.</v>
      </c>
      <c r="M310" s="5" t="str">
        <f>VLOOKUP($K310,'Property names'!$A$1:$D$100,3,FALSE)</f>
        <v>Millivolts</v>
      </c>
      <c r="N310" s="5" t="str">
        <f>VLOOKUP($K310,'Property names'!$A$1:$D$100,4,FALSE)</f>
        <v>mV</v>
      </c>
      <c r="O310" s="204" t="s">
        <v>984</v>
      </c>
      <c r="P310" s="204" t="s">
        <v>985</v>
      </c>
      <c r="Q310" s="5" t="s">
        <v>653</v>
      </c>
    </row>
    <row r="311" spans="1:17" ht="15">
      <c r="A311" s="204" t="s">
        <v>693</v>
      </c>
      <c r="B311" s="209" t="s">
        <v>697</v>
      </c>
      <c r="C311" s="204" t="s">
        <v>714</v>
      </c>
      <c r="D311" s="205">
        <v>3.9944890000000002</v>
      </c>
      <c r="E311" s="205">
        <v>8.6972500000000004</v>
      </c>
      <c r="F311" s="204" t="s">
        <v>196</v>
      </c>
      <c r="G311" s="204" t="s">
        <v>715</v>
      </c>
      <c r="H311" s="204" t="s">
        <v>170</v>
      </c>
      <c r="I311" s="206" t="str">
        <f t="shared" si="6"/>
        <v>EUI_EQ_I036</v>
      </c>
      <c r="J311" s="204" t="s">
        <v>716</v>
      </c>
      <c r="K311" s="5" t="s">
        <v>716</v>
      </c>
      <c r="L311" s="5" t="str">
        <f>VLOOKUP($K311,'Property names'!$A$1:$D$100,2,FALSE)</f>
        <v>UTC epoch time when the data were collected</v>
      </c>
      <c r="M311" s="5" t="str">
        <f>VLOOKUP($K311,'Property names'!$A$1:$D$100,3,FALSE)</f>
        <v>Seconds</v>
      </c>
      <c r="N311" s="5" t="str">
        <f>VLOOKUP($K311,'Property names'!$A$1:$D$100,4,FALSE)</f>
        <v>s</v>
      </c>
      <c r="O311" s="204" t="s">
        <v>986</v>
      </c>
      <c r="P311" s="204" t="s">
        <v>987</v>
      </c>
      <c r="Q311" s="5" t="s">
        <v>653</v>
      </c>
    </row>
    <row r="312" spans="1:17" ht="15">
      <c r="A312" s="204" t="s">
        <v>693</v>
      </c>
      <c r="B312" s="210" t="s">
        <v>697</v>
      </c>
      <c r="C312" s="204" t="s">
        <v>714</v>
      </c>
      <c r="D312" s="205">
        <v>3.9944890000000002</v>
      </c>
      <c r="E312" s="205">
        <v>8.6972500000000004</v>
      </c>
      <c r="F312" s="208" t="s">
        <v>196</v>
      </c>
      <c r="G312" s="204" t="s">
        <v>715</v>
      </c>
      <c r="H312" s="204" t="s">
        <v>170</v>
      </c>
      <c r="I312" s="206" t="str">
        <f t="shared" si="6"/>
        <v>EUI_EQ_I036</v>
      </c>
      <c r="J312" s="204" t="s">
        <v>719</v>
      </c>
      <c r="K312" s="5" t="s">
        <v>719</v>
      </c>
      <c r="L312" s="5" t="str">
        <f>VLOOKUP($K312,'Property names'!$A$1:$D$100,2,FALSE)</f>
        <v>Normalized Difference Vegetation Index</v>
      </c>
      <c r="M312" s="5" t="str">
        <f>VLOOKUP($K312,'Property names'!$A$1:$D$100,3,FALSE)</f>
        <v>-</v>
      </c>
      <c r="N312" s="5" t="str">
        <f>VLOOKUP($K312,'Property names'!$A$1:$D$100,4,FALSE)</f>
        <v>-</v>
      </c>
      <c r="O312" s="204" t="s">
        <v>988</v>
      </c>
      <c r="P312" s="204" t="s">
        <v>989</v>
      </c>
      <c r="Q312" s="5" t="s">
        <v>653</v>
      </c>
    </row>
    <row r="313" spans="1:17" ht="15">
      <c r="A313" s="204" t="s">
        <v>693</v>
      </c>
      <c r="B313" s="210" t="s">
        <v>697</v>
      </c>
      <c r="C313" s="204" t="s">
        <v>714</v>
      </c>
      <c r="D313" s="205">
        <v>3.9944890000000002</v>
      </c>
      <c r="E313" s="205">
        <v>8.6972500000000004</v>
      </c>
      <c r="F313" s="208" t="s">
        <v>196</v>
      </c>
      <c r="G313" s="204" t="s">
        <v>715</v>
      </c>
      <c r="H313" s="204" t="s">
        <v>170</v>
      </c>
      <c r="I313" s="206" t="str">
        <f t="shared" si="6"/>
        <v>EUI_EQ_I036</v>
      </c>
      <c r="J313" s="204" t="s">
        <v>722</v>
      </c>
      <c r="K313" s="5" t="s">
        <v>723</v>
      </c>
      <c r="L313" s="5" t="str">
        <f>VLOOKUP($K313,'Property names'!$A$1:$D$100,2,FALSE)</f>
        <v>Differential measurement of trunk radial growth</v>
      </c>
      <c r="M313" s="5" t="str">
        <f>VLOOKUP($K313,'Property names'!$A$1:$D$100,3,FALSE)</f>
        <v>Millimeters</v>
      </c>
      <c r="N313" s="5" t="str">
        <f>VLOOKUP($K313,'Property names'!$A$1:$D$100,4,FALSE)</f>
        <v>mm</v>
      </c>
      <c r="O313" s="204" t="s">
        <v>990</v>
      </c>
      <c r="P313" s="204" t="s">
        <v>991</v>
      </c>
      <c r="Q313" s="5" t="s">
        <v>653</v>
      </c>
    </row>
    <row r="314" spans="1:17" ht="15">
      <c r="A314" s="204" t="s">
        <v>693</v>
      </c>
      <c r="B314" s="210" t="s">
        <v>697</v>
      </c>
      <c r="C314" s="204" t="s">
        <v>714</v>
      </c>
      <c r="D314" s="205">
        <v>3.9944890000000002</v>
      </c>
      <c r="E314" s="205">
        <v>8.6972500000000004</v>
      </c>
      <c r="F314" s="208" t="s">
        <v>196</v>
      </c>
      <c r="G314" s="204" t="s">
        <v>715</v>
      </c>
      <c r="H314" s="204" t="s">
        <v>170</v>
      </c>
      <c r="I314" s="206" t="str">
        <f t="shared" si="6"/>
        <v>EUI_EQ_I036</v>
      </c>
      <c r="J314" s="204" t="s">
        <v>726</v>
      </c>
      <c r="K314" s="5" t="s">
        <v>727</v>
      </c>
      <c r="L314" s="5" t="str">
        <f>VLOOKUP($K314,'Property names'!$A$1:$D$100,2,FALSE)</f>
        <v>Sap velocity</v>
      </c>
      <c r="M314" s="5" t="str">
        <f>VLOOKUP($K314,'Property names'!$A$1:$D$100,3,FALSE)</f>
        <v>Centimeter per Second</v>
      </c>
      <c r="N314" s="5" t="str">
        <f>VLOOKUP($K314,'Property names'!$A$1:$D$100,4,FALSE)</f>
        <v>cm/h</v>
      </c>
      <c r="O314" s="204" t="s">
        <v>992</v>
      </c>
      <c r="P314" s="204" t="s">
        <v>993</v>
      </c>
      <c r="Q314" s="5" t="s">
        <v>653</v>
      </c>
    </row>
    <row r="315" spans="1:17" ht="15">
      <c r="A315" s="204" t="s">
        <v>693</v>
      </c>
      <c r="B315" s="210" t="s">
        <v>697</v>
      </c>
      <c r="C315" s="204" t="s">
        <v>714</v>
      </c>
      <c r="D315" s="205">
        <v>3.9944890000000002</v>
      </c>
      <c r="E315" s="205">
        <v>8.6972500000000004</v>
      </c>
      <c r="F315" s="208" t="s">
        <v>196</v>
      </c>
      <c r="G315" s="204" t="s">
        <v>715</v>
      </c>
      <c r="H315" s="204" t="s">
        <v>170</v>
      </c>
      <c r="I315" s="206" t="str">
        <f t="shared" si="6"/>
        <v>EUI_EQ_I036</v>
      </c>
      <c r="J315" s="204" t="s">
        <v>730</v>
      </c>
      <c r="K315" s="5" t="s">
        <v>730</v>
      </c>
      <c r="L315" s="5" t="str">
        <f>VLOOKUP($K315,'Property names'!$A$1:$D$100,2,FALSE)</f>
        <v>Rotation over X axis</v>
      </c>
      <c r="M315" s="5" t="str">
        <f>VLOOKUP($K315,'Property names'!$A$1:$D$100,3,FALSE)</f>
        <v>Degrees</v>
      </c>
      <c r="N315" s="5" t="str">
        <f>VLOOKUP($K315,'Property names'!$A$1:$D$100,4,FALSE)</f>
        <v>°</v>
      </c>
      <c r="O315" s="204" t="s">
        <v>994</v>
      </c>
      <c r="P315" s="204" t="s">
        <v>995</v>
      </c>
      <c r="Q315" s="5" t="s">
        <v>653</v>
      </c>
    </row>
    <row r="316" spans="1:17" ht="15">
      <c r="A316" s="204" t="s">
        <v>693</v>
      </c>
      <c r="B316" s="210" t="s">
        <v>697</v>
      </c>
      <c r="C316" s="204" t="s">
        <v>714</v>
      </c>
      <c r="D316" s="205">
        <v>3.9944890000000002</v>
      </c>
      <c r="E316" s="205">
        <v>8.6972500000000004</v>
      </c>
      <c r="F316" s="208" t="s">
        <v>196</v>
      </c>
      <c r="G316" s="204" t="s">
        <v>715</v>
      </c>
      <c r="H316" s="204" t="s">
        <v>170</v>
      </c>
      <c r="I316" s="206" t="str">
        <f t="shared" si="6"/>
        <v>EUI_EQ_I036</v>
      </c>
      <c r="J316" s="204" t="s">
        <v>733</v>
      </c>
      <c r="K316" s="5" t="s">
        <v>733</v>
      </c>
      <c r="L316" s="5" t="str">
        <f>VLOOKUP($K316,'Property names'!$A$1:$D$100,2,FALSE)</f>
        <v>Rotation over Y axis</v>
      </c>
      <c r="M316" s="5" t="str">
        <f>VLOOKUP($K316,'Property names'!$A$1:$D$100,3,FALSE)</f>
        <v>Degrees</v>
      </c>
      <c r="N316" s="5" t="str">
        <f>VLOOKUP($K316,'Property names'!$A$1:$D$100,4,FALSE)</f>
        <v>°</v>
      </c>
      <c r="O316" s="204" t="s">
        <v>996</v>
      </c>
      <c r="P316" s="204" t="s">
        <v>997</v>
      </c>
      <c r="Q316" s="5" t="s">
        <v>653</v>
      </c>
    </row>
    <row r="317" spans="1:17" ht="15">
      <c r="A317" s="204" t="s">
        <v>693</v>
      </c>
      <c r="B317" s="210" t="s">
        <v>697</v>
      </c>
      <c r="C317" s="204" t="s">
        <v>714</v>
      </c>
      <c r="D317" s="205">
        <v>3.9944890000000002</v>
      </c>
      <c r="E317" s="205">
        <v>8.6972500000000004</v>
      </c>
      <c r="F317" s="208" t="s">
        <v>196</v>
      </c>
      <c r="G317" s="204" t="s">
        <v>715</v>
      </c>
      <c r="H317" s="204" t="s">
        <v>170</v>
      </c>
      <c r="I317" s="206" t="str">
        <f t="shared" si="6"/>
        <v>EUI_EQ_I036</v>
      </c>
      <c r="J317" s="204" t="s">
        <v>736</v>
      </c>
      <c r="K317" s="5" t="s">
        <v>736</v>
      </c>
      <c r="L317" s="5" t="str">
        <f>VLOOKUP($K317,'Property names'!$A$1:$D$100,2,FALSE)</f>
        <v>Rotation over Z axis</v>
      </c>
      <c r="M317" s="5" t="str">
        <f>VLOOKUP($K317,'Property names'!$A$1:$D$100,3,FALSE)</f>
        <v>Degrees</v>
      </c>
      <c r="N317" s="5" t="str">
        <f>VLOOKUP($K317,'Property names'!$A$1:$D$100,4,FALSE)</f>
        <v>°</v>
      </c>
      <c r="O317" s="204" t="s">
        <v>998</v>
      </c>
      <c r="P317" s="204" t="s">
        <v>999</v>
      </c>
      <c r="Q317" s="5" t="s">
        <v>653</v>
      </c>
    </row>
    <row r="318" spans="1:17" ht="15">
      <c r="A318" s="204" t="s">
        <v>693</v>
      </c>
      <c r="B318" s="210" t="s">
        <v>697</v>
      </c>
      <c r="C318" s="204" t="s">
        <v>714</v>
      </c>
      <c r="D318" s="205">
        <v>3.9944890000000002</v>
      </c>
      <c r="E318" s="205">
        <v>8.6972500000000004</v>
      </c>
      <c r="F318" s="208" t="s">
        <v>196</v>
      </c>
      <c r="G318" s="204" t="s">
        <v>715</v>
      </c>
      <c r="H318" s="204" t="s">
        <v>170</v>
      </c>
      <c r="I318" s="206" t="str">
        <f t="shared" si="6"/>
        <v>EUI_EQ_I036</v>
      </c>
      <c r="J318" s="204" t="s">
        <v>679</v>
      </c>
      <c r="K318" s="204" t="s">
        <v>652</v>
      </c>
      <c r="L318" s="5" t="str">
        <f>VLOOKUP($K318,'Property names'!$A$1:$D$100,2,FALSE)</f>
        <v>The measure of the hotness or coldness of the air.</v>
      </c>
      <c r="M318" s="5" t="str">
        <f>VLOOKUP($K318,'Property names'!$A$1:$D$100,3,FALSE)</f>
        <v>Degrees Celsius</v>
      </c>
      <c r="N318" s="5" t="str">
        <f>VLOOKUP($K318,'Property names'!$A$1:$D$100,4,FALSE)</f>
        <v>ºC</v>
      </c>
      <c r="O318" s="204" t="s">
        <v>1000</v>
      </c>
      <c r="P318" s="204" t="s">
        <v>1001</v>
      </c>
      <c r="Q318" s="5" t="s">
        <v>653</v>
      </c>
    </row>
    <row r="319" spans="1:17" ht="15">
      <c r="A319" s="204" t="s">
        <v>693</v>
      </c>
      <c r="B319" s="210" t="s">
        <v>697</v>
      </c>
      <c r="C319" s="204" t="s">
        <v>714</v>
      </c>
      <c r="D319" s="205">
        <v>3.9944890000000002</v>
      </c>
      <c r="E319" s="205">
        <v>8.6972500000000004</v>
      </c>
      <c r="F319" s="208" t="s">
        <v>196</v>
      </c>
      <c r="G319" s="204" t="s">
        <v>715</v>
      </c>
      <c r="H319" s="204" t="s">
        <v>170</v>
      </c>
      <c r="I319" s="206" t="str">
        <f t="shared" si="6"/>
        <v>EUI_EQ_I036</v>
      </c>
      <c r="J319" s="204" t="s">
        <v>654</v>
      </c>
      <c r="K319" s="204" t="s">
        <v>655</v>
      </c>
      <c r="L319" s="5" t="str">
        <f>VLOOKUP($K319,'Property names'!$A$1:$D$100,2,FALSE)</f>
        <v>The amount of moisture or water vapor present in the air, often expressed as a percentage of the maximum amount the air could hold at a given temperature.</v>
      </c>
      <c r="M319" s="5" t="str">
        <f>VLOOKUP($K319,'Property names'!$A$1:$D$100,3,FALSE)</f>
        <v>Percentage</v>
      </c>
      <c r="N319" s="5" t="str">
        <f>VLOOKUP($K319,'Property names'!$A$1:$D$100,4,FALSE)</f>
        <v>%</v>
      </c>
      <c r="O319" s="204" t="s">
        <v>1002</v>
      </c>
      <c r="P319" s="204" t="s">
        <v>1003</v>
      </c>
      <c r="Q319" s="5" t="s">
        <v>653</v>
      </c>
    </row>
    <row r="320" spans="1:17" ht="15">
      <c r="A320" s="207" t="s">
        <v>693</v>
      </c>
      <c r="B320" s="210" t="s">
        <v>697</v>
      </c>
      <c r="C320" s="204" t="s">
        <v>714</v>
      </c>
      <c r="D320" s="205">
        <v>3.9944890000000002</v>
      </c>
      <c r="E320" s="205">
        <v>8.6972500000000004</v>
      </c>
      <c r="F320" s="208" t="s">
        <v>196</v>
      </c>
      <c r="G320" s="204" t="s">
        <v>715</v>
      </c>
      <c r="H320" s="204" t="s">
        <v>170</v>
      </c>
      <c r="I320" s="206" t="str">
        <f t="shared" si="6"/>
        <v>EUI_EQ_I036</v>
      </c>
      <c r="J320" s="204" t="s">
        <v>743</v>
      </c>
      <c r="K320" s="204" t="s">
        <v>692</v>
      </c>
      <c r="L320" s="5" t="str">
        <f>VLOOKUP($K320,'Property names'!$A$1:$D$100,2,FALSE)</f>
        <v>The electrical potential in a battery, indicating its charge level.</v>
      </c>
      <c r="M320" s="5" t="str">
        <f>VLOOKUP($K320,'Property names'!$A$1:$D$100,3,FALSE)</f>
        <v>Millivolts</v>
      </c>
      <c r="N320" s="5" t="str">
        <f>VLOOKUP($K320,'Property names'!$A$1:$D$100,4,FALSE)</f>
        <v>mV</v>
      </c>
      <c r="O320" s="204" t="s">
        <v>1004</v>
      </c>
      <c r="P320" s="204" t="s">
        <v>1005</v>
      </c>
      <c r="Q320" s="5" t="s">
        <v>653</v>
      </c>
    </row>
    <row r="321" spans="1:17" ht="15">
      <c r="A321" s="204" t="s">
        <v>693</v>
      </c>
      <c r="B321" s="210" t="s">
        <v>697</v>
      </c>
      <c r="C321" s="204" t="s">
        <v>714</v>
      </c>
      <c r="D321" s="205">
        <v>3.9944890000000002</v>
      </c>
      <c r="E321" s="205">
        <v>8.6972500000000004</v>
      </c>
      <c r="F321" s="208" t="s">
        <v>198</v>
      </c>
      <c r="G321" s="204" t="s">
        <v>715</v>
      </c>
      <c r="H321" s="204" t="s">
        <v>170</v>
      </c>
      <c r="I321" s="206" t="str">
        <f t="shared" si="6"/>
        <v>EUI_EQ_I037</v>
      </c>
      <c r="J321" s="204" t="s">
        <v>716</v>
      </c>
      <c r="K321" s="5" t="s">
        <v>716</v>
      </c>
      <c r="L321" s="5" t="str">
        <f>VLOOKUP($K321,'Property names'!$A$1:$D$100,2,FALSE)</f>
        <v>UTC epoch time when the data were collected</v>
      </c>
      <c r="M321" s="5" t="str">
        <f>VLOOKUP($K321,'Property names'!$A$1:$D$100,3,FALSE)</f>
        <v>Seconds</v>
      </c>
      <c r="N321" s="5" t="str">
        <f>VLOOKUP($K321,'Property names'!$A$1:$D$100,4,FALSE)</f>
        <v>s</v>
      </c>
      <c r="O321" s="204" t="s">
        <v>1006</v>
      </c>
      <c r="P321" s="204" t="s">
        <v>1007</v>
      </c>
      <c r="Q321" s="5" t="s">
        <v>653</v>
      </c>
    </row>
    <row r="322" spans="1:17" ht="15">
      <c r="A322" s="204" t="s">
        <v>693</v>
      </c>
      <c r="B322" s="210" t="s">
        <v>697</v>
      </c>
      <c r="C322" s="204" t="s">
        <v>714</v>
      </c>
      <c r="D322" s="205">
        <v>3.9944890000000002</v>
      </c>
      <c r="E322" s="205">
        <v>8.6972500000000004</v>
      </c>
      <c r="F322" s="208" t="s">
        <v>198</v>
      </c>
      <c r="G322" s="204" t="s">
        <v>715</v>
      </c>
      <c r="H322" s="204" t="s">
        <v>170</v>
      </c>
      <c r="I322" s="206" t="str">
        <f t="shared" si="6"/>
        <v>EUI_EQ_I037</v>
      </c>
      <c r="J322" s="204" t="s">
        <v>719</v>
      </c>
      <c r="K322" s="5" t="s">
        <v>719</v>
      </c>
      <c r="L322" s="5" t="str">
        <f>VLOOKUP($K322,'Property names'!$A$1:$D$100,2,FALSE)</f>
        <v>Normalized Difference Vegetation Index</v>
      </c>
      <c r="M322" s="5" t="str">
        <f>VLOOKUP($K322,'Property names'!$A$1:$D$100,3,FALSE)</f>
        <v>-</v>
      </c>
      <c r="N322" s="5" t="str">
        <f>VLOOKUP($K322,'Property names'!$A$1:$D$100,4,FALSE)</f>
        <v>-</v>
      </c>
      <c r="O322" s="204" t="s">
        <v>1008</v>
      </c>
      <c r="P322" s="204" t="s">
        <v>1009</v>
      </c>
      <c r="Q322" s="5" t="s">
        <v>653</v>
      </c>
    </row>
    <row r="323" spans="1:17" ht="15">
      <c r="A323" s="204" t="s">
        <v>693</v>
      </c>
      <c r="B323" s="210" t="s">
        <v>697</v>
      </c>
      <c r="C323" s="204" t="s">
        <v>714</v>
      </c>
      <c r="D323" s="205">
        <v>3.9944890000000002</v>
      </c>
      <c r="E323" s="205">
        <v>8.6972500000000004</v>
      </c>
      <c r="F323" s="208" t="s">
        <v>198</v>
      </c>
      <c r="G323" s="204" t="s">
        <v>715</v>
      </c>
      <c r="H323" s="204" t="s">
        <v>170</v>
      </c>
      <c r="I323" s="206" t="str">
        <f t="shared" si="6"/>
        <v>EUI_EQ_I037</v>
      </c>
      <c r="J323" s="204" t="s">
        <v>722</v>
      </c>
      <c r="K323" s="5" t="s">
        <v>723</v>
      </c>
      <c r="L323" s="5" t="str">
        <f>VLOOKUP($K323,'Property names'!$A$1:$D$100,2,FALSE)</f>
        <v>Differential measurement of trunk radial growth</v>
      </c>
      <c r="M323" s="5" t="str">
        <f>VLOOKUP($K323,'Property names'!$A$1:$D$100,3,FALSE)</f>
        <v>Millimeters</v>
      </c>
      <c r="N323" s="5" t="str">
        <f>VLOOKUP($K323,'Property names'!$A$1:$D$100,4,FALSE)</f>
        <v>mm</v>
      </c>
      <c r="O323" s="204" t="s">
        <v>1010</v>
      </c>
      <c r="P323" s="204" t="s">
        <v>1011</v>
      </c>
      <c r="Q323" s="5" t="s">
        <v>653</v>
      </c>
    </row>
    <row r="324" spans="1:17" ht="15">
      <c r="A324" s="204" t="s">
        <v>693</v>
      </c>
      <c r="B324" s="210" t="s">
        <v>697</v>
      </c>
      <c r="C324" s="204" t="s">
        <v>714</v>
      </c>
      <c r="D324" s="205">
        <v>3.9944890000000002</v>
      </c>
      <c r="E324" s="205">
        <v>8.6972500000000004</v>
      </c>
      <c r="F324" s="208" t="s">
        <v>198</v>
      </c>
      <c r="G324" s="204" t="s">
        <v>715</v>
      </c>
      <c r="H324" s="204" t="s">
        <v>170</v>
      </c>
      <c r="I324" s="206" t="str">
        <f t="shared" si="6"/>
        <v>EUI_EQ_I037</v>
      </c>
      <c r="J324" s="204" t="s">
        <v>726</v>
      </c>
      <c r="K324" s="5" t="s">
        <v>727</v>
      </c>
      <c r="L324" s="5" t="str">
        <f>VLOOKUP($K324,'Property names'!$A$1:$D$100,2,FALSE)</f>
        <v>Sap velocity</v>
      </c>
      <c r="M324" s="5" t="str">
        <f>VLOOKUP($K324,'Property names'!$A$1:$D$100,3,FALSE)</f>
        <v>Centimeter per Second</v>
      </c>
      <c r="N324" s="5" t="str">
        <f>VLOOKUP($K324,'Property names'!$A$1:$D$100,4,FALSE)</f>
        <v>cm/h</v>
      </c>
      <c r="O324" s="204" t="s">
        <v>1012</v>
      </c>
      <c r="P324" s="204" t="s">
        <v>1013</v>
      </c>
      <c r="Q324" s="5" t="s">
        <v>653</v>
      </c>
    </row>
    <row r="325" spans="1:17" ht="15">
      <c r="A325" s="204" t="s">
        <v>693</v>
      </c>
      <c r="B325" s="210" t="s">
        <v>697</v>
      </c>
      <c r="C325" s="204" t="s">
        <v>714</v>
      </c>
      <c r="D325" s="205">
        <v>3.9944890000000002</v>
      </c>
      <c r="E325" s="205">
        <v>8.6972500000000004</v>
      </c>
      <c r="F325" s="208" t="s">
        <v>198</v>
      </c>
      <c r="G325" s="204" t="s">
        <v>715</v>
      </c>
      <c r="H325" s="204" t="s">
        <v>170</v>
      </c>
      <c r="I325" s="206" t="str">
        <f t="shared" si="6"/>
        <v>EUI_EQ_I037</v>
      </c>
      <c r="J325" s="204" t="s">
        <v>730</v>
      </c>
      <c r="K325" s="5" t="s">
        <v>730</v>
      </c>
      <c r="L325" s="5" t="str">
        <f>VLOOKUP($K325,'Property names'!$A$1:$D$100,2,FALSE)</f>
        <v>Rotation over X axis</v>
      </c>
      <c r="M325" s="5" t="str">
        <f>VLOOKUP($K325,'Property names'!$A$1:$D$100,3,FALSE)</f>
        <v>Degrees</v>
      </c>
      <c r="N325" s="5" t="str">
        <f>VLOOKUP($K325,'Property names'!$A$1:$D$100,4,FALSE)</f>
        <v>°</v>
      </c>
      <c r="O325" s="204" t="s">
        <v>1014</v>
      </c>
      <c r="P325" s="204" t="s">
        <v>1015</v>
      </c>
      <c r="Q325" s="5" t="s">
        <v>653</v>
      </c>
    </row>
    <row r="326" spans="1:17" ht="15">
      <c r="A326" s="204" t="s">
        <v>693</v>
      </c>
      <c r="B326" s="210" t="s">
        <v>697</v>
      </c>
      <c r="C326" s="204" t="s">
        <v>714</v>
      </c>
      <c r="D326" s="205">
        <v>3.9944890000000002</v>
      </c>
      <c r="E326" s="205">
        <v>8.6972500000000004</v>
      </c>
      <c r="F326" s="208" t="s">
        <v>198</v>
      </c>
      <c r="G326" s="204" t="s">
        <v>715</v>
      </c>
      <c r="H326" s="204" t="s">
        <v>170</v>
      </c>
      <c r="I326" s="206" t="str">
        <f t="shared" si="6"/>
        <v>EUI_EQ_I037</v>
      </c>
      <c r="J326" s="204" t="s">
        <v>733</v>
      </c>
      <c r="K326" s="5" t="s">
        <v>733</v>
      </c>
      <c r="L326" s="5" t="str">
        <f>VLOOKUP($K326,'Property names'!$A$1:$D$100,2,FALSE)</f>
        <v>Rotation over Y axis</v>
      </c>
      <c r="M326" s="5" t="str">
        <f>VLOOKUP($K326,'Property names'!$A$1:$D$100,3,FALSE)</f>
        <v>Degrees</v>
      </c>
      <c r="N326" s="5" t="str">
        <f>VLOOKUP($K326,'Property names'!$A$1:$D$100,4,FALSE)</f>
        <v>°</v>
      </c>
      <c r="O326" s="204" t="s">
        <v>1016</v>
      </c>
      <c r="P326" s="204" t="s">
        <v>1017</v>
      </c>
      <c r="Q326" s="5" t="s">
        <v>653</v>
      </c>
    </row>
    <row r="327" spans="1:17" ht="15">
      <c r="A327" s="204" t="s">
        <v>693</v>
      </c>
      <c r="B327" s="210" t="s">
        <v>697</v>
      </c>
      <c r="C327" s="204" t="s">
        <v>714</v>
      </c>
      <c r="D327" s="205">
        <v>3.9944890000000002</v>
      </c>
      <c r="E327" s="205">
        <v>8.6972500000000004</v>
      </c>
      <c r="F327" s="208" t="s">
        <v>198</v>
      </c>
      <c r="G327" s="204" t="s">
        <v>715</v>
      </c>
      <c r="H327" s="204" t="s">
        <v>170</v>
      </c>
      <c r="I327" s="206" t="str">
        <f t="shared" si="6"/>
        <v>EUI_EQ_I037</v>
      </c>
      <c r="J327" s="204" t="s">
        <v>736</v>
      </c>
      <c r="K327" s="5" t="s">
        <v>736</v>
      </c>
      <c r="L327" s="5" t="str">
        <f>VLOOKUP($K327,'Property names'!$A$1:$D$100,2,FALSE)</f>
        <v>Rotation over Z axis</v>
      </c>
      <c r="M327" s="5" t="str">
        <f>VLOOKUP($K327,'Property names'!$A$1:$D$100,3,FALSE)</f>
        <v>Degrees</v>
      </c>
      <c r="N327" s="5" t="str">
        <f>VLOOKUP($K327,'Property names'!$A$1:$D$100,4,FALSE)</f>
        <v>°</v>
      </c>
      <c r="O327" s="204" t="s">
        <v>1018</v>
      </c>
      <c r="P327" s="204" t="s">
        <v>1019</v>
      </c>
      <c r="Q327" s="5" t="s">
        <v>653</v>
      </c>
    </row>
    <row r="328" spans="1:17" ht="15">
      <c r="A328" s="204" t="s">
        <v>693</v>
      </c>
      <c r="B328" s="210" t="s">
        <v>697</v>
      </c>
      <c r="C328" s="204" t="s">
        <v>714</v>
      </c>
      <c r="D328" s="205">
        <v>3.9944890000000002</v>
      </c>
      <c r="E328" s="205">
        <v>8.6972500000000004</v>
      </c>
      <c r="F328" s="208" t="s">
        <v>198</v>
      </c>
      <c r="G328" s="204" t="s">
        <v>715</v>
      </c>
      <c r="H328" s="204" t="s">
        <v>170</v>
      </c>
      <c r="I328" s="206" t="str">
        <f t="shared" si="6"/>
        <v>EUI_EQ_I037</v>
      </c>
      <c r="J328" s="204" t="s">
        <v>679</v>
      </c>
      <c r="K328" s="204" t="s">
        <v>652</v>
      </c>
      <c r="L328" s="5" t="str">
        <f>VLOOKUP($K328,'Property names'!$A$1:$D$100,2,FALSE)</f>
        <v>The measure of the hotness or coldness of the air.</v>
      </c>
      <c r="M328" s="5" t="str">
        <f>VLOOKUP($K328,'Property names'!$A$1:$D$100,3,FALSE)</f>
        <v>Degrees Celsius</v>
      </c>
      <c r="N328" s="5" t="str">
        <f>VLOOKUP($K328,'Property names'!$A$1:$D$100,4,FALSE)</f>
        <v>ºC</v>
      </c>
      <c r="O328" s="204" t="s">
        <v>1020</v>
      </c>
      <c r="P328" s="204" t="s">
        <v>1021</v>
      </c>
      <c r="Q328" s="5" t="s">
        <v>653</v>
      </c>
    </row>
    <row r="329" spans="1:17" ht="15">
      <c r="A329" s="204" t="s">
        <v>693</v>
      </c>
      <c r="B329" s="210" t="s">
        <v>697</v>
      </c>
      <c r="C329" s="204" t="s">
        <v>714</v>
      </c>
      <c r="D329" s="205">
        <v>3.9944890000000002</v>
      </c>
      <c r="E329" s="205">
        <v>8.6972500000000004</v>
      </c>
      <c r="F329" s="208" t="s">
        <v>198</v>
      </c>
      <c r="G329" s="204" t="s">
        <v>715</v>
      </c>
      <c r="H329" s="204" t="s">
        <v>170</v>
      </c>
      <c r="I329" s="206" t="str">
        <f t="shared" si="6"/>
        <v>EUI_EQ_I037</v>
      </c>
      <c r="J329" s="204" t="s">
        <v>654</v>
      </c>
      <c r="K329" s="204" t="s">
        <v>655</v>
      </c>
      <c r="L329" s="5" t="str">
        <f>VLOOKUP($K329,'Property names'!$A$1:$D$100,2,FALSE)</f>
        <v>The amount of moisture or water vapor present in the air, often expressed as a percentage of the maximum amount the air could hold at a given temperature.</v>
      </c>
      <c r="M329" s="5" t="str">
        <f>VLOOKUP($K329,'Property names'!$A$1:$D$100,3,FALSE)</f>
        <v>Percentage</v>
      </c>
      <c r="N329" s="5" t="str">
        <f>VLOOKUP($K329,'Property names'!$A$1:$D$100,4,FALSE)</f>
        <v>%</v>
      </c>
      <c r="O329" s="204" t="s">
        <v>1022</v>
      </c>
      <c r="P329" s="204" t="s">
        <v>1023</v>
      </c>
      <c r="Q329" s="5" t="s">
        <v>653</v>
      </c>
    </row>
    <row r="330" spans="1:17" ht="15">
      <c r="A330" s="207" t="s">
        <v>693</v>
      </c>
      <c r="B330" s="210" t="s">
        <v>697</v>
      </c>
      <c r="C330" s="204" t="s">
        <v>714</v>
      </c>
      <c r="D330" s="205">
        <v>3.9944890000000002</v>
      </c>
      <c r="E330" s="205">
        <v>8.6972500000000004</v>
      </c>
      <c r="F330" s="208" t="s">
        <v>198</v>
      </c>
      <c r="G330" s="204" t="s">
        <v>715</v>
      </c>
      <c r="H330" s="204" t="s">
        <v>170</v>
      </c>
      <c r="I330" s="206" t="str">
        <f t="shared" si="6"/>
        <v>EUI_EQ_I037</v>
      </c>
      <c r="J330" s="204" t="s">
        <v>743</v>
      </c>
      <c r="K330" s="204" t="s">
        <v>692</v>
      </c>
      <c r="L330" s="5" t="str">
        <f>VLOOKUP($K330,'Property names'!$A$1:$D$100,2,FALSE)</f>
        <v>The electrical potential in a battery, indicating its charge level.</v>
      </c>
      <c r="M330" s="5" t="str">
        <f>VLOOKUP($K330,'Property names'!$A$1:$D$100,3,FALSE)</f>
        <v>Millivolts</v>
      </c>
      <c r="N330" s="5" t="str">
        <f>VLOOKUP($K330,'Property names'!$A$1:$D$100,4,FALSE)</f>
        <v>mV</v>
      </c>
      <c r="O330" s="204" t="s">
        <v>1024</v>
      </c>
      <c r="P330" s="204" t="s">
        <v>1025</v>
      </c>
      <c r="Q330" s="5" t="s">
        <v>653</v>
      </c>
    </row>
    <row r="331" spans="1:17" ht="15">
      <c r="A331" s="204" t="s">
        <v>693</v>
      </c>
      <c r="B331" s="210" t="s">
        <v>697</v>
      </c>
      <c r="C331" s="204" t="s">
        <v>714</v>
      </c>
      <c r="D331" s="205">
        <v>3.9944890000000002</v>
      </c>
      <c r="E331" s="205">
        <v>8.6972500000000004</v>
      </c>
      <c r="F331" s="208" t="s">
        <v>200</v>
      </c>
      <c r="G331" s="204" t="s">
        <v>715</v>
      </c>
      <c r="H331" s="204" t="s">
        <v>170</v>
      </c>
      <c r="I331" s="206" t="str">
        <f t="shared" si="6"/>
        <v>EUI_EQ_I038</v>
      </c>
      <c r="J331" s="204" t="s">
        <v>716</v>
      </c>
      <c r="K331" s="5" t="s">
        <v>716</v>
      </c>
      <c r="L331" s="5" t="str">
        <f>VLOOKUP($K331,'Property names'!$A$1:$D$100,2,FALSE)</f>
        <v>UTC epoch time when the data were collected</v>
      </c>
      <c r="M331" s="5" t="str">
        <f>VLOOKUP($K331,'Property names'!$A$1:$D$100,3,FALSE)</f>
        <v>Seconds</v>
      </c>
      <c r="N331" s="5" t="str">
        <f>VLOOKUP($K331,'Property names'!$A$1:$D$100,4,FALSE)</f>
        <v>s</v>
      </c>
      <c r="O331" s="204" t="s">
        <v>1026</v>
      </c>
      <c r="P331" s="204" t="s">
        <v>1027</v>
      </c>
      <c r="Q331" s="5" t="s">
        <v>653</v>
      </c>
    </row>
    <row r="332" spans="1:17" ht="15">
      <c r="A332" s="204" t="s">
        <v>693</v>
      </c>
      <c r="B332" s="210" t="s">
        <v>697</v>
      </c>
      <c r="C332" s="204" t="s">
        <v>714</v>
      </c>
      <c r="D332" s="205">
        <v>3.9944890000000002</v>
      </c>
      <c r="E332" s="205">
        <v>8.6972500000000004</v>
      </c>
      <c r="F332" s="208" t="s">
        <v>200</v>
      </c>
      <c r="G332" s="204" t="s">
        <v>715</v>
      </c>
      <c r="H332" s="204" t="s">
        <v>170</v>
      </c>
      <c r="I332" s="206" t="str">
        <f t="shared" si="6"/>
        <v>EUI_EQ_I038</v>
      </c>
      <c r="J332" s="204" t="s">
        <v>719</v>
      </c>
      <c r="K332" s="5" t="s">
        <v>719</v>
      </c>
      <c r="L332" s="5" t="str">
        <f>VLOOKUP($K332,'Property names'!$A$1:$D$100,2,FALSE)</f>
        <v>Normalized Difference Vegetation Index</v>
      </c>
      <c r="M332" s="5" t="str">
        <f>VLOOKUP($K332,'Property names'!$A$1:$D$100,3,FALSE)</f>
        <v>-</v>
      </c>
      <c r="N332" s="5" t="str">
        <f>VLOOKUP($K332,'Property names'!$A$1:$D$100,4,FALSE)</f>
        <v>-</v>
      </c>
      <c r="O332" s="204" t="s">
        <v>1028</v>
      </c>
      <c r="P332" s="204" t="s">
        <v>1029</v>
      </c>
      <c r="Q332" s="5" t="s">
        <v>653</v>
      </c>
    </row>
    <row r="333" spans="1:17" ht="15">
      <c r="A333" s="204" t="s">
        <v>693</v>
      </c>
      <c r="B333" s="210" t="s">
        <v>697</v>
      </c>
      <c r="C333" s="204" t="s">
        <v>714</v>
      </c>
      <c r="D333" s="205">
        <v>3.9944890000000002</v>
      </c>
      <c r="E333" s="205">
        <v>8.6972500000000004</v>
      </c>
      <c r="F333" s="208" t="s">
        <v>200</v>
      </c>
      <c r="G333" s="204" t="s">
        <v>715</v>
      </c>
      <c r="H333" s="204" t="s">
        <v>170</v>
      </c>
      <c r="I333" s="206" t="str">
        <f t="shared" si="6"/>
        <v>EUI_EQ_I038</v>
      </c>
      <c r="J333" s="204" t="s">
        <v>722</v>
      </c>
      <c r="K333" s="5" t="s">
        <v>723</v>
      </c>
      <c r="L333" s="5" t="str">
        <f>VLOOKUP($K333,'Property names'!$A$1:$D$100,2,FALSE)</f>
        <v>Differential measurement of trunk radial growth</v>
      </c>
      <c r="M333" s="5" t="str">
        <f>VLOOKUP($K333,'Property names'!$A$1:$D$100,3,FALSE)</f>
        <v>Millimeters</v>
      </c>
      <c r="N333" s="5" t="str">
        <f>VLOOKUP($K333,'Property names'!$A$1:$D$100,4,FALSE)</f>
        <v>mm</v>
      </c>
      <c r="O333" s="204" t="s">
        <v>1030</v>
      </c>
      <c r="P333" s="204" t="s">
        <v>1031</v>
      </c>
      <c r="Q333" s="5" t="s">
        <v>653</v>
      </c>
    </row>
    <row r="334" spans="1:17" ht="15">
      <c r="A334" s="204" t="s">
        <v>693</v>
      </c>
      <c r="B334" s="210" t="s">
        <v>697</v>
      </c>
      <c r="C334" s="204" t="s">
        <v>714</v>
      </c>
      <c r="D334" s="205">
        <v>3.9944890000000002</v>
      </c>
      <c r="E334" s="205">
        <v>8.6972500000000004</v>
      </c>
      <c r="F334" s="208" t="s">
        <v>200</v>
      </c>
      <c r="G334" s="204" t="s">
        <v>715</v>
      </c>
      <c r="H334" s="204" t="s">
        <v>170</v>
      </c>
      <c r="I334" s="206" t="str">
        <f t="shared" si="6"/>
        <v>EUI_EQ_I038</v>
      </c>
      <c r="J334" s="204" t="s">
        <v>726</v>
      </c>
      <c r="K334" s="5" t="s">
        <v>727</v>
      </c>
      <c r="L334" s="5" t="str">
        <f>VLOOKUP($K334,'Property names'!$A$1:$D$100,2,FALSE)</f>
        <v>Sap velocity</v>
      </c>
      <c r="M334" s="5" t="str">
        <f>VLOOKUP($K334,'Property names'!$A$1:$D$100,3,FALSE)</f>
        <v>Centimeter per Second</v>
      </c>
      <c r="N334" s="5" t="str">
        <f>VLOOKUP($K334,'Property names'!$A$1:$D$100,4,FALSE)</f>
        <v>cm/h</v>
      </c>
      <c r="O334" s="204" t="s">
        <v>1032</v>
      </c>
      <c r="P334" s="204" t="s">
        <v>1033</v>
      </c>
      <c r="Q334" s="5" t="s">
        <v>653</v>
      </c>
    </row>
    <row r="335" spans="1:17" ht="15">
      <c r="A335" s="204" t="s">
        <v>693</v>
      </c>
      <c r="B335" s="210" t="s">
        <v>697</v>
      </c>
      <c r="C335" s="204" t="s">
        <v>714</v>
      </c>
      <c r="D335" s="205">
        <v>3.9944890000000002</v>
      </c>
      <c r="E335" s="205">
        <v>8.6972500000000004</v>
      </c>
      <c r="F335" s="208" t="s">
        <v>200</v>
      </c>
      <c r="G335" s="204" t="s">
        <v>715</v>
      </c>
      <c r="H335" s="204" t="s">
        <v>170</v>
      </c>
      <c r="I335" s="206" t="str">
        <f t="shared" si="6"/>
        <v>EUI_EQ_I038</v>
      </c>
      <c r="J335" s="204" t="s">
        <v>730</v>
      </c>
      <c r="K335" s="5" t="s">
        <v>730</v>
      </c>
      <c r="L335" s="5" t="str">
        <f>VLOOKUP($K335,'Property names'!$A$1:$D$100,2,FALSE)</f>
        <v>Rotation over X axis</v>
      </c>
      <c r="M335" s="5" t="str">
        <f>VLOOKUP($K335,'Property names'!$A$1:$D$100,3,FALSE)</f>
        <v>Degrees</v>
      </c>
      <c r="N335" s="5" t="str">
        <f>VLOOKUP($K335,'Property names'!$A$1:$D$100,4,FALSE)</f>
        <v>°</v>
      </c>
      <c r="O335" s="204" t="s">
        <v>1034</v>
      </c>
      <c r="P335" s="204" t="s">
        <v>1035</v>
      </c>
      <c r="Q335" s="5" t="s">
        <v>653</v>
      </c>
    </row>
    <row r="336" spans="1:17" ht="15">
      <c r="A336" s="204" t="s">
        <v>693</v>
      </c>
      <c r="B336" s="210" t="s">
        <v>697</v>
      </c>
      <c r="C336" s="204" t="s">
        <v>714</v>
      </c>
      <c r="D336" s="205">
        <v>3.9944890000000002</v>
      </c>
      <c r="E336" s="205">
        <v>8.6972500000000004</v>
      </c>
      <c r="F336" s="208" t="s">
        <v>200</v>
      </c>
      <c r="G336" s="204" t="s">
        <v>715</v>
      </c>
      <c r="H336" s="204" t="s">
        <v>170</v>
      </c>
      <c r="I336" s="206" t="str">
        <f t="shared" si="6"/>
        <v>EUI_EQ_I038</v>
      </c>
      <c r="J336" s="204" t="s">
        <v>733</v>
      </c>
      <c r="K336" s="5" t="s">
        <v>733</v>
      </c>
      <c r="L336" s="5" t="str">
        <f>VLOOKUP($K336,'Property names'!$A$1:$D$100,2,FALSE)</f>
        <v>Rotation over Y axis</v>
      </c>
      <c r="M336" s="5" t="str">
        <f>VLOOKUP($K336,'Property names'!$A$1:$D$100,3,FALSE)</f>
        <v>Degrees</v>
      </c>
      <c r="N336" s="5" t="str">
        <f>VLOOKUP($K336,'Property names'!$A$1:$D$100,4,FALSE)</f>
        <v>°</v>
      </c>
      <c r="O336" s="204" t="s">
        <v>1036</v>
      </c>
      <c r="P336" s="204" t="s">
        <v>1037</v>
      </c>
      <c r="Q336" s="5" t="s">
        <v>653</v>
      </c>
    </row>
    <row r="337" spans="1:17" ht="15">
      <c r="A337" s="204" t="s">
        <v>693</v>
      </c>
      <c r="B337" s="210" t="s">
        <v>697</v>
      </c>
      <c r="C337" s="204" t="s">
        <v>714</v>
      </c>
      <c r="D337" s="205">
        <v>3.9944890000000002</v>
      </c>
      <c r="E337" s="205">
        <v>8.6972500000000004</v>
      </c>
      <c r="F337" s="208" t="s">
        <v>200</v>
      </c>
      <c r="G337" s="204" t="s">
        <v>715</v>
      </c>
      <c r="H337" s="204" t="s">
        <v>170</v>
      </c>
      <c r="I337" s="206" t="str">
        <f t="shared" si="6"/>
        <v>EUI_EQ_I038</v>
      </c>
      <c r="J337" s="204" t="s">
        <v>736</v>
      </c>
      <c r="K337" s="5" t="s">
        <v>736</v>
      </c>
      <c r="L337" s="5" t="str">
        <f>VLOOKUP($K337,'Property names'!$A$1:$D$100,2,FALSE)</f>
        <v>Rotation over Z axis</v>
      </c>
      <c r="M337" s="5" t="str">
        <f>VLOOKUP($K337,'Property names'!$A$1:$D$100,3,FALSE)</f>
        <v>Degrees</v>
      </c>
      <c r="N337" s="5" t="str">
        <f>VLOOKUP($K337,'Property names'!$A$1:$D$100,4,FALSE)</f>
        <v>°</v>
      </c>
      <c r="O337" s="204" t="s">
        <v>1038</v>
      </c>
      <c r="P337" s="204" t="s">
        <v>1039</v>
      </c>
      <c r="Q337" s="5" t="s">
        <v>653</v>
      </c>
    </row>
    <row r="338" spans="1:17" ht="15">
      <c r="A338" s="204" t="s">
        <v>693</v>
      </c>
      <c r="B338" s="209" t="s">
        <v>697</v>
      </c>
      <c r="C338" s="204" t="s">
        <v>714</v>
      </c>
      <c r="D338" s="205">
        <v>3.9944890000000002</v>
      </c>
      <c r="E338" s="205">
        <v>8.6972500000000004</v>
      </c>
      <c r="F338" s="204" t="s">
        <v>200</v>
      </c>
      <c r="G338" s="204" t="s">
        <v>715</v>
      </c>
      <c r="H338" s="204" t="s">
        <v>170</v>
      </c>
      <c r="I338" s="206" t="str">
        <f t="shared" si="6"/>
        <v>EUI_EQ_I038</v>
      </c>
      <c r="J338" s="204" t="s">
        <v>679</v>
      </c>
      <c r="K338" s="204" t="s">
        <v>652</v>
      </c>
      <c r="L338" s="5" t="str">
        <f>VLOOKUP($K338,'Property names'!$A$1:$D$100,2,FALSE)</f>
        <v>The measure of the hotness or coldness of the air.</v>
      </c>
      <c r="M338" s="5" t="str">
        <f>VLOOKUP($K338,'Property names'!$A$1:$D$100,3,FALSE)</f>
        <v>Degrees Celsius</v>
      </c>
      <c r="N338" s="5" t="str">
        <f>VLOOKUP($K338,'Property names'!$A$1:$D$100,4,FALSE)</f>
        <v>ºC</v>
      </c>
      <c r="O338" s="204" t="s">
        <v>1040</v>
      </c>
      <c r="P338" s="204" t="s">
        <v>1041</v>
      </c>
      <c r="Q338" s="5" t="s">
        <v>653</v>
      </c>
    </row>
    <row r="339" spans="1:17" ht="15">
      <c r="A339" s="204" t="s">
        <v>693</v>
      </c>
      <c r="B339" s="209" t="s">
        <v>697</v>
      </c>
      <c r="C339" s="204" t="s">
        <v>714</v>
      </c>
      <c r="D339" s="205">
        <v>3.9944890000000002</v>
      </c>
      <c r="E339" s="205">
        <v>8.6972500000000004</v>
      </c>
      <c r="F339" s="204" t="s">
        <v>200</v>
      </c>
      <c r="G339" s="204" t="s">
        <v>715</v>
      </c>
      <c r="H339" s="204" t="s">
        <v>170</v>
      </c>
      <c r="I339" s="206" t="str">
        <f t="shared" si="6"/>
        <v>EUI_EQ_I038</v>
      </c>
      <c r="J339" s="204" t="s">
        <v>654</v>
      </c>
      <c r="K339" s="204" t="s">
        <v>655</v>
      </c>
      <c r="L339" s="5" t="str">
        <f>VLOOKUP($K339,'Property names'!$A$1:$D$100,2,FALSE)</f>
        <v>The amount of moisture or water vapor present in the air, often expressed as a percentage of the maximum amount the air could hold at a given temperature.</v>
      </c>
      <c r="M339" s="5" t="str">
        <f>VLOOKUP($K339,'Property names'!$A$1:$D$100,3,FALSE)</f>
        <v>Percentage</v>
      </c>
      <c r="N339" s="5" t="str">
        <f>VLOOKUP($K339,'Property names'!$A$1:$D$100,4,FALSE)</f>
        <v>%</v>
      </c>
      <c r="O339" s="204" t="s">
        <v>1042</v>
      </c>
      <c r="P339" s="204" t="s">
        <v>1043</v>
      </c>
      <c r="Q339" s="5" t="s">
        <v>653</v>
      </c>
    </row>
    <row r="340" spans="1:17" ht="15">
      <c r="A340" s="207" t="s">
        <v>693</v>
      </c>
      <c r="B340" s="209" t="s">
        <v>697</v>
      </c>
      <c r="C340" s="204" t="s">
        <v>714</v>
      </c>
      <c r="D340" s="205">
        <v>3.9944890000000002</v>
      </c>
      <c r="E340" s="205">
        <v>8.6972500000000004</v>
      </c>
      <c r="F340" s="204" t="s">
        <v>200</v>
      </c>
      <c r="G340" s="204" t="s">
        <v>715</v>
      </c>
      <c r="H340" s="204" t="s">
        <v>170</v>
      </c>
      <c r="I340" s="206" t="str">
        <f t="shared" si="6"/>
        <v>EUI_EQ_I038</v>
      </c>
      <c r="J340" s="204" t="s">
        <v>743</v>
      </c>
      <c r="K340" s="204" t="s">
        <v>692</v>
      </c>
      <c r="L340" s="5" t="str">
        <f>VLOOKUP($K340,'Property names'!$A$1:$D$100,2,FALSE)</f>
        <v>The electrical potential in a battery, indicating its charge level.</v>
      </c>
      <c r="M340" s="5" t="str">
        <f>VLOOKUP($K340,'Property names'!$A$1:$D$100,3,FALSE)</f>
        <v>Millivolts</v>
      </c>
      <c r="N340" s="5" t="str">
        <f>VLOOKUP($K340,'Property names'!$A$1:$D$100,4,FALSE)</f>
        <v>mV</v>
      </c>
      <c r="O340" s="204" t="s">
        <v>1044</v>
      </c>
      <c r="P340" s="204" t="s">
        <v>1045</v>
      </c>
      <c r="Q340" s="5" t="s">
        <v>653</v>
      </c>
    </row>
    <row r="341" spans="1:17" ht="15">
      <c r="A341" s="204" t="s">
        <v>693</v>
      </c>
      <c r="B341" s="209" t="s">
        <v>697</v>
      </c>
      <c r="C341" s="204" t="s">
        <v>714</v>
      </c>
      <c r="D341" s="205">
        <v>3.9944890000000002</v>
      </c>
      <c r="E341" s="205">
        <v>8.6972500000000004</v>
      </c>
      <c r="F341" s="204" t="s">
        <v>202</v>
      </c>
      <c r="G341" s="204" t="s">
        <v>715</v>
      </c>
      <c r="H341" s="204" t="s">
        <v>170</v>
      </c>
      <c r="I341" s="206" t="str">
        <f t="shared" si="6"/>
        <v>EUI_EQ_I039</v>
      </c>
      <c r="J341" s="204" t="s">
        <v>716</v>
      </c>
      <c r="K341" s="5" t="s">
        <v>716</v>
      </c>
      <c r="L341" s="5" t="str">
        <f>VLOOKUP($K341,'Property names'!$A$1:$D$100,2,FALSE)</f>
        <v>UTC epoch time when the data were collected</v>
      </c>
      <c r="M341" s="5" t="str">
        <f>VLOOKUP($K341,'Property names'!$A$1:$D$100,3,FALSE)</f>
        <v>Seconds</v>
      </c>
      <c r="N341" s="5" t="str">
        <f>VLOOKUP($K341,'Property names'!$A$1:$D$100,4,FALSE)</f>
        <v>s</v>
      </c>
      <c r="O341" s="204" t="s">
        <v>1046</v>
      </c>
      <c r="P341" s="204" t="s">
        <v>1047</v>
      </c>
      <c r="Q341" s="5" t="s">
        <v>653</v>
      </c>
    </row>
    <row r="342" spans="1:17" ht="15">
      <c r="A342" s="204" t="s">
        <v>693</v>
      </c>
      <c r="B342" s="209" t="s">
        <v>697</v>
      </c>
      <c r="C342" s="204" t="s">
        <v>714</v>
      </c>
      <c r="D342" s="205">
        <v>3.9944890000000002</v>
      </c>
      <c r="E342" s="205">
        <v>8.6972500000000004</v>
      </c>
      <c r="F342" s="204" t="s">
        <v>202</v>
      </c>
      <c r="G342" s="204" t="s">
        <v>715</v>
      </c>
      <c r="H342" s="204" t="s">
        <v>170</v>
      </c>
      <c r="I342" s="206" t="str">
        <f t="shared" si="6"/>
        <v>EUI_EQ_I039</v>
      </c>
      <c r="J342" s="204" t="s">
        <v>719</v>
      </c>
      <c r="K342" s="5" t="s">
        <v>719</v>
      </c>
      <c r="L342" s="5" t="str">
        <f>VLOOKUP($K342,'Property names'!$A$1:$D$100,2,FALSE)</f>
        <v>Normalized Difference Vegetation Index</v>
      </c>
      <c r="M342" s="5" t="str">
        <f>VLOOKUP($K342,'Property names'!$A$1:$D$100,3,FALSE)</f>
        <v>-</v>
      </c>
      <c r="N342" s="5" t="str">
        <f>VLOOKUP($K342,'Property names'!$A$1:$D$100,4,FALSE)</f>
        <v>-</v>
      </c>
      <c r="O342" s="204" t="s">
        <v>1048</v>
      </c>
      <c r="P342" s="204" t="s">
        <v>1049</v>
      </c>
      <c r="Q342" s="5" t="s">
        <v>653</v>
      </c>
    </row>
    <row r="343" spans="1:17" ht="15">
      <c r="A343" s="204" t="s">
        <v>693</v>
      </c>
      <c r="B343" s="209" t="s">
        <v>697</v>
      </c>
      <c r="C343" s="204" t="s">
        <v>714</v>
      </c>
      <c r="D343" s="205">
        <v>3.9944890000000002</v>
      </c>
      <c r="E343" s="205">
        <v>8.6972500000000004</v>
      </c>
      <c r="F343" s="204" t="s">
        <v>202</v>
      </c>
      <c r="G343" s="204" t="s">
        <v>715</v>
      </c>
      <c r="H343" s="204" t="s">
        <v>170</v>
      </c>
      <c r="I343" s="206" t="str">
        <f t="shared" si="6"/>
        <v>EUI_EQ_I039</v>
      </c>
      <c r="J343" s="204" t="s">
        <v>722</v>
      </c>
      <c r="K343" s="5" t="s">
        <v>723</v>
      </c>
      <c r="L343" s="5" t="str">
        <f>VLOOKUP($K343,'Property names'!$A$1:$D$100,2,FALSE)</f>
        <v>Differential measurement of trunk radial growth</v>
      </c>
      <c r="M343" s="5" t="str">
        <f>VLOOKUP($K343,'Property names'!$A$1:$D$100,3,FALSE)</f>
        <v>Millimeters</v>
      </c>
      <c r="N343" s="5" t="str">
        <f>VLOOKUP($K343,'Property names'!$A$1:$D$100,4,FALSE)</f>
        <v>mm</v>
      </c>
      <c r="O343" s="204" t="s">
        <v>1050</v>
      </c>
      <c r="P343" s="204" t="s">
        <v>1051</v>
      </c>
      <c r="Q343" s="5" t="s">
        <v>653</v>
      </c>
    </row>
    <row r="344" spans="1:17" ht="15">
      <c r="A344" s="204" t="s">
        <v>693</v>
      </c>
      <c r="B344" s="209" t="s">
        <v>697</v>
      </c>
      <c r="C344" s="204" t="s">
        <v>714</v>
      </c>
      <c r="D344" s="205">
        <v>3.9944890000000002</v>
      </c>
      <c r="E344" s="205">
        <v>8.6972500000000004</v>
      </c>
      <c r="F344" s="204" t="s">
        <v>202</v>
      </c>
      <c r="G344" s="204" t="s">
        <v>715</v>
      </c>
      <c r="H344" s="204" t="s">
        <v>170</v>
      </c>
      <c r="I344" s="206" t="str">
        <f t="shared" si="6"/>
        <v>EUI_EQ_I039</v>
      </c>
      <c r="J344" s="204" t="s">
        <v>726</v>
      </c>
      <c r="K344" s="5" t="s">
        <v>727</v>
      </c>
      <c r="L344" s="5" t="str">
        <f>VLOOKUP($K344,'Property names'!$A$1:$D$100,2,FALSE)</f>
        <v>Sap velocity</v>
      </c>
      <c r="M344" s="5" t="str">
        <f>VLOOKUP($K344,'Property names'!$A$1:$D$100,3,FALSE)</f>
        <v>Centimeter per Second</v>
      </c>
      <c r="N344" s="5" t="str">
        <f>VLOOKUP($K344,'Property names'!$A$1:$D$100,4,FALSE)</f>
        <v>cm/h</v>
      </c>
      <c r="O344" s="204" t="s">
        <v>1052</v>
      </c>
      <c r="P344" s="204" t="s">
        <v>1053</v>
      </c>
      <c r="Q344" s="5" t="s">
        <v>653</v>
      </c>
    </row>
    <row r="345" spans="1:17" ht="15">
      <c r="A345" s="204" t="s">
        <v>693</v>
      </c>
      <c r="B345" s="209" t="s">
        <v>697</v>
      </c>
      <c r="C345" s="204" t="s">
        <v>714</v>
      </c>
      <c r="D345" s="205">
        <v>3.9944890000000002</v>
      </c>
      <c r="E345" s="205">
        <v>8.6972500000000004</v>
      </c>
      <c r="F345" s="204" t="s">
        <v>202</v>
      </c>
      <c r="G345" s="204" t="s">
        <v>715</v>
      </c>
      <c r="H345" s="204" t="s">
        <v>170</v>
      </c>
      <c r="I345" s="206" t="str">
        <f t="shared" si="6"/>
        <v>EUI_EQ_I039</v>
      </c>
      <c r="J345" s="204" t="s">
        <v>730</v>
      </c>
      <c r="K345" s="5" t="s">
        <v>730</v>
      </c>
      <c r="L345" s="5" t="str">
        <f>VLOOKUP($K345,'Property names'!$A$1:$D$100,2,FALSE)</f>
        <v>Rotation over X axis</v>
      </c>
      <c r="M345" s="5" t="str">
        <f>VLOOKUP($K345,'Property names'!$A$1:$D$100,3,FALSE)</f>
        <v>Degrees</v>
      </c>
      <c r="N345" s="5" t="str">
        <f>VLOOKUP($K345,'Property names'!$A$1:$D$100,4,FALSE)</f>
        <v>°</v>
      </c>
      <c r="O345" s="204" t="s">
        <v>1054</v>
      </c>
      <c r="P345" s="204" t="s">
        <v>1055</v>
      </c>
      <c r="Q345" s="5" t="s">
        <v>653</v>
      </c>
    </row>
    <row r="346" spans="1:17" ht="15">
      <c r="A346" s="204" t="s">
        <v>693</v>
      </c>
      <c r="B346" s="209" t="s">
        <v>697</v>
      </c>
      <c r="C346" s="204" t="s">
        <v>714</v>
      </c>
      <c r="D346" s="205">
        <v>3.9944890000000002</v>
      </c>
      <c r="E346" s="205">
        <v>8.6972500000000004</v>
      </c>
      <c r="F346" s="204" t="s">
        <v>202</v>
      </c>
      <c r="G346" s="204" t="s">
        <v>715</v>
      </c>
      <c r="H346" s="204" t="s">
        <v>170</v>
      </c>
      <c r="I346" s="206" t="str">
        <f t="shared" si="6"/>
        <v>EUI_EQ_I039</v>
      </c>
      <c r="J346" s="204" t="s">
        <v>733</v>
      </c>
      <c r="K346" s="5" t="s">
        <v>733</v>
      </c>
      <c r="L346" s="5" t="str">
        <f>VLOOKUP($K346,'Property names'!$A$1:$D$100,2,FALSE)</f>
        <v>Rotation over Y axis</v>
      </c>
      <c r="M346" s="5" t="str">
        <f>VLOOKUP($K346,'Property names'!$A$1:$D$100,3,FALSE)</f>
        <v>Degrees</v>
      </c>
      <c r="N346" s="5" t="str">
        <f>VLOOKUP($K346,'Property names'!$A$1:$D$100,4,FALSE)</f>
        <v>°</v>
      </c>
      <c r="O346" s="204" t="s">
        <v>1056</v>
      </c>
      <c r="P346" s="204" t="s">
        <v>1057</v>
      </c>
      <c r="Q346" s="5" t="s">
        <v>653</v>
      </c>
    </row>
    <row r="347" spans="1:17" ht="15">
      <c r="A347" s="204" t="s">
        <v>693</v>
      </c>
      <c r="B347" s="209" t="s">
        <v>697</v>
      </c>
      <c r="C347" s="204" t="s">
        <v>714</v>
      </c>
      <c r="D347" s="205">
        <v>3.9944890000000002</v>
      </c>
      <c r="E347" s="205">
        <v>8.6972500000000004</v>
      </c>
      <c r="F347" s="204" t="s">
        <v>202</v>
      </c>
      <c r="G347" s="204" t="s">
        <v>715</v>
      </c>
      <c r="H347" s="204" t="s">
        <v>170</v>
      </c>
      <c r="I347" s="206" t="str">
        <f t="shared" si="6"/>
        <v>EUI_EQ_I039</v>
      </c>
      <c r="J347" s="204" t="s">
        <v>736</v>
      </c>
      <c r="K347" s="5" t="s">
        <v>736</v>
      </c>
      <c r="L347" s="5" t="str">
        <f>VLOOKUP($K347,'Property names'!$A$1:$D$100,2,FALSE)</f>
        <v>Rotation over Z axis</v>
      </c>
      <c r="M347" s="5" t="str">
        <f>VLOOKUP($K347,'Property names'!$A$1:$D$100,3,FALSE)</f>
        <v>Degrees</v>
      </c>
      <c r="N347" s="5" t="str">
        <f>VLOOKUP($K347,'Property names'!$A$1:$D$100,4,FALSE)</f>
        <v>°</v>
      </c>
      <c r="O347" s="204" t="s">
        <v>1058</v>
      </c>
      <c r="P347" s="204" t="s">
        <v>1059</v>
      </c>
      <c r="Q347" s="5" t="s">
        <v>653</v>
      </c>
    </row>
    <row r="348" spans="1:17" ht="15">
      <c r="A348" s="204" t="s">
        <v>693</v>
      </c>
      <c r="B348" s="209" t="s">
        <v>697</v>
      </c>
      <c r="C348" s="204" t="s">
        <v>714</v>
      </c>
      <c r="D348" s="205">
        <v>3.9944890000000002</v>
      </c>
      <c r="E348" s="205">
        <v>8.6972500000000004</v>
      </c>
      <c r="F348" s="204" t="s">
        <v>202</v>
      </c>
      <c r="G348" s="204" t="s">
        <v>715</v>
      </c>
      <c r="H348" s="204" t="s">
        <v>170</v>
      </c>
      <c r="I348" s="206" t="str">
        <f t="shared" si="6"/>
        <v>EUI_EQ_I039</v>
      </c>
      <c r="J348" s="204" t="s">
        <v>679</v>
      </c>
      <c r="K348" s="204" t="s">
        <v>652</v>
      </c>
      <c r="L348" s="5" t="str">
        <f>VLOOKUP($K348,'Property names'!$A$1:$D$100,2,FALSE)</f>
        <v>The measure of the hotness or coldness of the air.</v>
      </c>
      <c r="M348" s="5" t="str">
        <f>VLOOKUP($K348,'Property names'!$A$1:$D$100,3,FALSE)</f>
        <v>Degrees Celsius</v>
      </c>
      <c r="N348" s="5" t="str">
        <f>VLOOKUP($K348,'Property names'!$A$1:$D$100,4,FALSE)</f>
        <v>ºC</v>
      </c>
      <c r="O348" s="204" t="s">
        <v>1060</v>
      </c>
      <c r="P348" s="204" t="s">
        <v>1061</v>
      </c>
      <c r="Q348" s="5" t="s">
        <v>653</v>
      </c>
    </row>
    <row r="349" spans="1:17" ht="15">
      <c r="A349" s="204" t="s">
        <v>693</v>
      </c>
      <c r="B349" s="209" t="s">
        <v>697</v>
      </c>
      <c r="C349" s="204" t="s">
        <v>714</v>
      </c>
      <c r="D349" s="205">
        <v>3.9944890000000002</v>
      </c>
      <c r="E349" s="205">
        <v>8.6972500000000004</v>
      </c>
      <c r="F349" s="204" t="s">
        <v>202</v>
      </c>
      <c r="G349" s="204" t="s">
        <v>715</v>
      </c>
      <c r="H349" s="204" t="s">
        <v>170</v>
      </c>
      <c r="I349" s="206" t="str">
        <f t="shared" si="6"/>
        <v>EUI_EQ_I039</v>
      </c>
      <c r="J349" s="204" t="s">
        <v>654</v>
      </c>
      <c r="K349" s="204" t="s">
        <v>655</v>
      </c>
      <c r="L349" s="5" t="str">
        <f>VLOOKUP($K349,'Property names'!$A$1:$D$100,2,FALSE)</f>
        <v>The amount of moisture or water vapor present in the air, often expressed as a percentage of the maximum amount the air could hold at a given temperature.</v>
      </c>
      <c r="M349" s="5" t="str">
        <f>VLOOKUP($K349,'Property names'!$A$1:$D$100,3,FALSE)</f>
        <v>Percentage</v>
      </c>
      <c r="N349" s="5" t="str">
        <f>VLOOKUP($K349,'Property names'!$A$1:$D$100,4,FALSE)</f>
        <v>%</v>
      </c>
      <c r="O349" s="204" t="s">
        <v>1062</v>
      </c>
      <c r="P349" s="204" t="s">
        <v>1063</v>
      </c>
      <c r="Q349" s="5" t="s">
        <v>653</v>
      </c>
    </row>
    <row r="350" spans="1:17" ht="15">
      <c r="A350" s="207" t="s">
        <v>693</v>
      </c>
      <c r="B350" s="209" t="s">
        <v>697</v>
      </c>
      <c r="C350" s="204" t="s">
        <v>714</v>
      </c>
      <c r="D350" s="205">
        <v>3.9944890000000002</v>
      </c>
      <c r="E350" s="205">
        <v>8.6972500000000004</v>
      </c>
      <c r="F350" s="204" t="s">
        <v>202</v>
      </c>
      <c r="G350" s="204" t="s">
        <v>715</v>
      </c>
      <c r="H350" s="204" t="s">
        <v>170</v>
      </c>
      <c r="I350" s="206" t="str">
        <f t="shared" si="6"/>
        <v>EUI_EQ_I039</v>
      </c>
      <c r="J350" s="204" t="s">
        <v>743</v>
      </c>
      <c r="K350" s="204" t="s">
        <v>692</v>
      </c>
      <c r="L350" s="5" t="str">
        <f>VLOOKUP($K350,'Property names'!$A$1:$D$100,2,FALSE)</f>
        <v>The electrical potential in a battery, indicating its charge level.</v>
      </c>
      <c r="M350" s="5" t="str">
        <f>VLOOKUP($K350,'Property names'!$A$1:$D$100,3,FALSE)</f>
        <v>Millivolts</v>
      </c>
      <c r="N350" s="5" t="str">
        <f>VLOOKUP($K350,'Property names'!$A$1:$D$100,4,FALSE)</f>
        <v>mV</v>
      </c>
      <c r="O350" s="204" t="s">
        <v>1064</v>
      </c>
      <c r="P350" s="204" t="s">
        <v>1065</v>
      </c>
      <c r="Q350" s="5" t="s">
        <v>653</v>
      </c>
    </row>
    <row r="351" spans="1:17" ht="15">
      <c r="A351" s="204" t="s">
        <v>693</v>
      </c>
      <c r="B351" s="209" t="s">
        <v>697</v>
      </c>
      <c r="C351" s="204" t="s">
        <v>714</v>
      </c>
      <c r="D351" s="205">
        <v>3.9944890000000002</v>
      </c>
      <c r="E351" s="205">
        <v>8.6972500000000004</v>
      </c>
      <c r="F351" s="204" t="s">
        <v>204</v>
      </c>
      <c r="G351" s="204" t="s">
        <v>715</v>
      </c>
      <c r="H351" s="204" t="s">
        <v>170</v>
      </c>
      <c r="I351" s="206" t="str">
        <f t="shared" si="6"/>
        <v>EUI_EQ_I040</v>
      </c>
      <c r="J351" s="204" t="s">
        <v>716</v>
      </c>
      <c r="K351" s="5" t="s">
        <v>716</v>
      </c>
      <c r="L351" s="5" t="str">
        <f>VLOOKUP($K351,'Property names'!$A$1:$D$100,2,FALSE)</f>
        <v>UTC epoch time when the data were collected</v>
      </c>
      <c r="M351" s="5" t="str">
        <f>VLOOKUP($K351,'Property names'!$A$1:$D$100,3,FALSE)</f>
        <v>Seconds</v>
      </c>
      <c r="N351" s="5" t="str">
        <f>VLOOKUP($K351,'Property names'!$A$1:$D$100,4,FALSE)</f>
        <v>s</v>
      </c>
      <c r="O351" s="204" t="s">
        <v>1066</v>
      </c>
      <c r="P351" s="204" t="s">
        <v>1067</v>
      </c>
      <c r="Q351" s="5" t="s">
        <v>653</v>
      </c>
    </row>
    <row r="352" spans="1:17" ht="15">
      <c r="A352" s="204" t="s">
        <v>693</v>
      </c>
      <c r="B352" s="209" t="s">
        <v>697</v>
      </c>
      <c r="C352" s="204" t="s">
        <v>714</v>
      </c>
      <c r="D352" s="205">
        <v>3.9944890000000002</v>
      </c>
      <c r="E352" s="205">
        <v>8.6972500000000004</v>
      </c>
      <c r="F352" s="204" t="s">
        <v>204</v>
      </c>
      <c r="G352" s="204" t="s">
        <v>715</v>
      </c>
      <c r="H352" s="204" t="s">
        <v>170</v>
      </c>
      <c r="I352" s="206" t="str">
        <f t="shared" si="6"/>
        <v>EUI_EQ_I040</v>
      </c>
      <c r="J352" s="204" t="s">
        <v>719</v>
      </c>
      <c r="K352" s="5" t="s">
        <v>719</v>
      </c>
      <c r="L352" s="5" t="str">
        <f>VLOOKUP($K352,'Property names'!$A$1:$D$100,2,FALSE)</f>
        <v>Normalized Difference Vegetation Index</v>
      </c>
      <c r="M352" s="5" t="str">
        <f>VLOOKUP($K352,'Property names'!$A$1:$D$100,3,FALSE)</f>
        <v>-</v>
      </c>
      <c r="N352" s="5" t="str">
        <f>VLOOKUP($K352,'Property names'!$A$1:$D$100,4,FALSE)</f>
        <v>-</v>
      </c>
      <c r="O352" s="204" t="s">
        <v>1068</v>
      </c>
      <c r="P352" s="204" t="s">
        <v>1069</v>
      </c>
      <c r="Q352" s="5" t="s">
        <v>653</v>
      </c>
    </row>
    <row r="353" spans="1:17" ht="15">
      <c r="A353" s="204" t="s">
        <v>693</v>
      </c>
      <c r="B353" s="209" t="s">
        <v>697</v>
      </c>
      <c r="C353" s="204" t="s">
        <v>714</v>
      </c>
      <c r="D353" s="205">
        <v>3.9944890000000002</v>
      </c>
      <c r="E353" s="205">
        <v>8.6972500000000004</v>
      </c>
      <c r="F353" s="204" t="s">
        <v>204</v>
      </c>
      <c r="G353" s="204" t="s">
        <v>715</v>
      </c>
      <c r="H353" s="204" t="s">
        <v>170</v>
      </c>
      <c r="I353" s="206" t="str">
        <f t="shared" si="6"/>
        <v>EUI_EQ_I040</v>
      </c>
      <c r="J353" s="204" t="s">
        <v>722</v>
      </c>
      <c r="K353" s="5" t="s">
        <v>723</v>
      </c>
      <c r="L353" s="5" t="str">
        <f>VLOOKUP($K353,'Property names'!$A$1:$D$100,2,FALSE)</f>
        <v>Differential measurement of trunk radial growth</v>
      </c>
      <c r="M353" s="5" t="str">
        <f>VLOOKUP($K353,'Property names'!$A$1:$D$100,3,FALSE)</f>
        <v>Millimeters</v>
      </c>
      <c r="N353" s="5" t="str">
        <f>VLOOKUP($K353,'Property names'!$A$1:$D$100,4,FALSE)</f>
        <v>mm</v>
      </c>
      <c r="O353" s="204" t="s">
        <v>1070</v>
      </c>
      <c r="P353" s="204" t="s">
        <v>1071</v>
      </c>
      <c r="Q353" s="5" t="s">
        <v>653</v>
      </c>
    </row>
    <row r="354" spans="1:17" ht="15">
      <c r="A354" s="204" t="s">
        <v>693</v>
      </c>
      <c r="B354" s="209" t="s">
        <v>697</v>
      </c>
      <c r="C354" s="204" t="s">
        <v>714</v>
      </c>
      <c r="D354" s="205">
        <v>3.9944890000000002</v>
      </c>
      <c r="E354" s="205">
        <v>8.6972500000000004</v>
      </c>
      <c r="F354" s="204" t="s">
        <v>204</v>
      </c>
      <c r="G354" s="204" t="s">
        <v>715</v>
      </c>
      <c r="H354" s="204" t="s">
        <v>170</v>
      </c>
      <c r="I354" s="206" t="str">
        <f t="shared" si="6"/>
        <v>EUI_EQ_I040</v>
      </c>
      <c r="J354" s="204" t="s">
        <v>726</v>
      </c>
      <c r="K354" s="5" t="s">
        <v>727</v>
      </c>
      <c r="L354" s="5" t="str">
        <f>VLOOKUP($K354,'Property names'!$A$1:$D$100,2,FALSE)</f>
        <v>Sap velocity</v>
      </c>
      <c r="M354" s="5" t="str">
        <f>VLOOKUP($K354,'Property names'!$A$1:$D$100,3,FALSE)</f>
        <v>Centimeter per Second</v>
      </c>
      <c r="N354" s="5" t="str">
        <f>VLOOKUP($K354,'Property names'!$A$1:$D$100,4,FALSE)</f>
        <v>cm/h</v>
      </c>
      <c r="O354" s="204" t="s">
        <v>1072</v>
      </c>
      <c r="P354" s="204" t="s">
        <v>1073</v>
      </c>
      <c r="Q354" s="5" t="s">
        <v>653</v>
      </c>
    </row>
    <row r="355" spans="1:17" ht="15">
      <c r="A355" s="204" t="s">
        <v>693</v>
      </c>
      <c r="B355" s="209" t="s">
        <v>697</v>
      </c>
      <c r="C355" s="204" t="s">
        <v>714</v>
      </c>
      <c r="D355" s="205">
        <v>3.9944890000000002</v>
      </c>
      <c r="E355" s="205">
        <v>8.6972500000000004</v>
      </c>
      <c r="F355" s="204" t="s">
        <v>204</v>
      </c>
      <c r="G355" s="204" t="s">
        <v>715</v>
      </c>
      <c r="H355" s="204" t="s">
        <v>170</v>
      </c>
      <c r="I355" s="206" t="str">
        <f t="shared" si="6"/>
        <v>EUI_EQ_I040</v>
      </c>
      <c r="J355" s="204" t="s">
        <v>730</v>
      </c>
      <c r="K355" s="5" t="s">
        <v>730</v>
      </c>
      <c r="L355" s="5" t="str">
        <f>VLOOKUP($K355,'Property names'!$A$1:$D$100,2,FALSE)</f>
        <v>Rotation over X axis</v>
      </c>
      <c r="M355" s="5" t="str">
        <f>VLOOKUP($K355,'Property names'!$A$1:$D$100,3,FALSE)</f>
        <v>Degrees</v>
      </c>
      <c r="N355" s="5" t="str">
        <f>VLOOKUP($K355,'Property names'!$A$1:$D$100,4,FALSE)</f>
        <v>°</v>
      </c>
      <c r="O355" s="204" t="s">
        <v>1074</v>
      </c>
      <c r="P355" s="204" t="s">
        <v>1075</v>
      </c>
      <c r="Q355" s="5" t="s">
        <v>653</v>
      </c>
    </row>
    <row r="356" spans="1:17" ht="15">
      <c r="A356" s="204" t="s">
        <v>693</v>
      </c>
      <c r="B356" s="209" t="s">
        <v>697</v>
      </c>
      <c r="C356" s="204" t="s">
        <v>714</v>
      </c>
      <c r="D356" s="205">
        <v>3.9944890000000002</v>
      </c>
      <c r="E356" s="205">
        <v>8.6972500000000004</v>
      </c>
      <c r="F356" s="204" t="s">
        <v>204</v>
      </c>
      <c r="G356" s="204" t="s">
        <v>715</v>
      </c>
      <c r="H356" s="204" t="s">
        <v>170</v>
      </c>
      <c r="I356" s="206" t="str">
        <f t="shared" si="6"/>
        <v>EUI_EQ_I040</v>
      </c>
      <c r="J356" s="204" t="s">
        <v>733</v>
      </c>
      <c r="K356" s="5" t="s">
        <v>733</v>
      </c>
      <c r="L356" s="5" t="str">
        <f>VLOOKUP($K356,'Property names'!$A$1:$D$100,2,FALSE)</f>
        <v>Rotation over Y axis</v>
      </c>
      <c r="M356" s="5" t="str">
        <f>VLOOKUP($K356,'Property names'!$A$1:$D$100,3,FALSE)</f>
        <v>Degrees</v>
      </c>
      <c r="N356" s="5" t="str">
        <f>VLOOKUP($K356,'Property names'!$A$1:$D$100,4,FALSE)</f>
        <v>°</v>
      </c>
      <c r="O356" s="204" t="s">
        <v>1076</v>
      </c>
      <c r="P356" s="204" t="s">
        <v>1077</v>
      </c>
      <c r="Q356" s="5" t="s">
        <v>653</v>
      </c>
    </row>
    <row r="357" spans="1:17" ht="15">
      <c r="A357" s="204" t="s">
        <v>693</v>
      </c>
      <c r="B357" s="209" t="s">
        <v>697</v>
      </c>
      <c r="C357" s="204" t="s">
        <v>714</v>
      </c>
      <c r="D357" s="205">
        <v>3.9944890000000002</v>
      </c>
      <c r="E357" s="205">
        <v>8.6972500000000004</v>
      </c>
      <c r="F357" s="204" t="s">
        <v>204</v>
      </c>
      <c r="G357" s="204" t="s">
        <v>715</v>
      </c>
      <c r="H357" s="204" t="s">
        <v>170</v>
      </c>
      <c r="I357" s="206" t="str">
        <f t="shared" si="6"/>
        <v>EUI_EQ_I040</v>
      </c>
      <c r="J357" s="204" t="s">
        <v>736</v>
      </c>
      <c r="K357" s="5" t="s">
        <v>736</v>
      </c>
      <c r="L357" s="5" t="str">
        <f>VLOOKUP($K357,'Property names'!$A$1:$D$100,2,FALSE)</f>
        <v>Rotation over Z axis</v>
      </c>
      <c r="M357" s="5" t="str">
        <f>VLOOKUP($K357,'Property names'!$A$1:$D$100,3,FALSE)</f>
        <v>Degrees</v>
      </c>
      <c r="N357" s="5" t="str">
        <f>VLOOKUP($K357,'Property names'!$A$1:$D$100,4,FALSE)</f>
        <v>°</v>
      </c>
      <c r="O357" s="204" t="s">
        <v>1078</v>
      </c>
      <c r="P357" s="204" t="s">
        <v>1079</v>
      </c>
      <c r="Q357" s="5" t="s">
        <v>653</v>
      </c>
    </row>
    <row r="358" spans="1:17" ht="15">
      <c r="A358" s="204" t="s">
        <v>693</v>
      </c>
      <c r="B358" s="209" t="s">
        <v>697</v>
      </c>
      <c r="C358" s="204" t="s">
        <v>714</v>
      </c>
      <c r="D358" s="205">
        <v>3.9944890000000002</v>
      </c>
      <c r="E358" s="205">
        <v>8.6972500000000004</v>
      </c>
      <c r="F358" s="204" t="s">
        <v>204</v>
      </c>
      <c r="G358" s="204" t="s">
        <v>715</v>
      </c>
      <c r="H358" s="204" t="s">
        <v>170</v>
      </c>
      <c r="I358" s="206" t="str">
        <f t="shared" si="6"/>
        <v>EUI_EQ_I040</v>
      </c>
      <c r="J358" s="204" t="s">
        <v>679</v>
      </c>
      <c r="K358" s="204" t="s">
        <v>652</v>
      </c>
      <c r="L358" s="5" t="str">
        <f>VLOOKUP($K358,'Property names'!$A$1:$D$100,2,FALSE)</f>
        <v>The measure of the hotness or coldness of the air.</v>
      </c>
      <c r="M358" s="5" t="str">
        <f>VLOOKUP($K358,'Property names'!$A$1:$D$100,3,FALSE)</f>
        <v>Degrees Celsius</v>
      </c>
      <c r="N358" s="5" t="str">
        <f>VLOOKUP($K358,'Property names'!$A$1:$D$100,4,FALSE)</f>
        <v>ºC</v>
      </c>
      <c r="O358" s="204" t="s">
        <v>1080</v>
      </c>
      <c r="P358" s="204" t="s">
        <v>1081</v>
      </c>
      <c r="Q358" s="5" t="s">
        <v>653</v>
      </c>
    </row>
    <row r="359" spans="1:17" ht="15">
      <c r="A359" s="204" t="s">
        <v>693</v>
      </c>
      <c r="B359" s="209" t="s">
        <v>697</v>
      </c>
      <c r="C359" s="204" t="s">
        <v>714</v>
      </c>
      <c r="D359" s="205">
        <v>3.9944890000000002</v>
      </c>
      <c r="E359" s="205">
        <v>8.6972500000000004</v>
      </c>
      <c r="F359" s="204" t="s">
        <v>204</v>
      </c>
      <c r="G359" s="204" t="s">
        <v>715</v>
      </c>
      <c r="H359" s="204" t="s">
        <v>170</v>
      </c>
      <c r="I359" s="206" t="str">
        <f t="shared" si="6"/>
        <v>EUI_EQ_I040</v>
      </c>
      <c r="J359" s="204" t="s">
        <v>654</v>
      </c>
      <c r="K359" s="204" t="s">
        <v>655</v>
      </c>
      <c r="L359" s="5" t="str">
        <f>VLOOKUP($K359,'Property names'!$A$1:$D$100,2,FALSE)</f>
        <v>The amount of moisture or water vapor present in the air, often expressed as a percentage of the maximum amount the air could hold at a given temperature.</v>
      </c>
      <c r="M359" s="5" t="str">
        <f>VLOOKUP($K359,'Property names'!$A$1:$D$100,3,FALSE)</f>
        <v>Percentage</v>
      </c>
      <c r="N359" s="5" t="str">
        <f>VLOOKUP($K359,'Property names'!$A$1:$D$100,4,FALSE)</f>
        <v>%</v>
      </c>
      <c r="O359" s="204" t="s">
        <v>1082</v>
      </c>
      <c r="P359" s="204" t="s">
        <v>1083</v>
      </c>
      <c r="Q359" s="5" t="s">
        <v>653</v>
      </c>
    </row>
    <row r="360" spans="1:17" ht="15">
      <c r="A360" s="207" t="s">
        <v>693</v>
      </c>
      <c r="B360" s="209" t="s">
        <v>697</v>
      </c>
      <c r="C360" s="204" t="s">
        <v>714</v>
      </c>
      <c r="D360" s="205">
        <v>3.9944890000000002</v>
      </c>
      <c r="E360" s="205">
        <v>8.6972500000000004</v>
      </c>
      <c r="F360" s="204" t="s">
        <v>204</v>
      </c>
      <c r="G360" s="204" t="s">
        <v>715</v>
      </c>
      <c r="H360" s="204" t="s">
        <v>170</v>
      </c>
      <c r="I360" s="206" t="str">
        <f t="shared" si="6"/>
        <v>EUI_EQ_I040</v>
      </c>
      <c r="J360" s="204" t="s">
        <v>743</v>
      </c>
      <c r="K360" s="204" t="s">
        <v>692</v>
      </c>
      <c r="L360" s="5" t="str">
        <f>VLOOKUP($K360,'Property names'!$A$1:$D$100,2,FALSE)</f>
        <v>The electrical potential in a battery, indicating its charge level.</v>
      </c>
      <c r="M360" s="5" t="str">
        <f>VLOOKUP($K360,'Property names'!$A$1:$D$100,3,FALSE)</f>
        <v>Millivolts</v>
      </c>
      <c r="N360" s="5" t="str">
        <f>VLOOKUP($K360,'Property names'!$A$1:$D$100,4,FALSE)</f>
        <v>mV</v>
      </c>
      <c r="O360" s="204" t="s">
        <v>1084</v>
      </c>
      <c r="P360" s="204" t="s">
        <v>1085</v>
      </c>
      <c r="Q360" s="5" t="s">
        <v>653</v>
      </c>
    </row>
    <row r="361" spans="1:17" ht="15">
      <c r="A361" s="204" t="s">
        <v>693</v>
      </c>
      <c r="B361" s="209" t="s">
        <v>697</v>
      </c>
      <c r="C361" s="204" t="s">
        <v>714</v>
      </c>
      <c r="D361" s="205">
        <v>3.9944890000000002</v>
      </c>
      <c r="E361" s="205">
        <v>8.6972500000000004</v>
      </c>
      <c r="F361" s="204" t="s">
        <v>206</v>
      </c>
      <c r="G361" s="204" t="s">
        <v>715</v>
      </c>
      <c r="H361" s="204" t="s">
        <v>170</v>
      </c>
      <c r="I361" s="206" t="str">
        <f t="shared" si="6"/>
        <v>EUI_EQ_I041</v>
      </c>
      <c r="J361" s="204" t="s">
        <v>716</v>
      </c>
      <c r="K361" s="5" t="s">
        <v>716</v>
      </c>
      <c r="L361" s="5" t="str">
        <f>VLOOKUP($K361,'Property names'!$A$1:$D$100,2,FALSE)</f>
        <v>UTC epoch time when the data were collected</v>
      </c>
      <c r="M361" s="5" t="str">
        <f>VLOOKUP($K361,'Property names'!$A$1:$D$100,3,FALSE)</f>
        <v>Seconds</v>
      </c>
      <c r="N361" s="5" t="str">
        <f>VLOOKUP($K361,'Property names'!$A$1:$D$100,4,FALSE)</f>
        <v>s</v>
      </c>
      <c r="O361" s="204" t="s">
        <v>1086</v>
      </c>
      <c r="P361" s="204" t="s">
        <v>1087</v>
      </c>
      <c r="Q361" s="5" t="s">
        <v>653</v>
      </c>
    </row>
    <row r="362" spans="1:17" ht="15">
      <c r="A362" s="204" t="s">
        <v>693</v>
      </c>
      <c r="B362" s="209" t="s">
        <v>697</v>
      </c>
      <c r="C362" s="204" t="s">
        <v>714</v>
      </c>
      <c r="D362" s="205">
        <v>3.9944890000000002</v>
      </c>
      <c r="E362" s="205">
        <v>8.6972500000000004</v>
      </c>
      <c r="F362" s="204" t="s">
        <v>206</v>
      </c>
      <c r="G362" s="204" t="s">
        <v>715</v>
      </c>
      <c r="H362" s="204" t="s">
        <v>170</v>
      </c>
      <c r="I362" s="206" t="str">
        <f t="shared" si="6"/>
        <v>EUI_EQ_I041</v>
      </c>
      <c r="J362" s="204" t="s">
        <v>719</v>
      </c>
      <c r="K362" s="5" t="s">
        <v>719</v>
      </c>
      <c r="L362" s="5" t="str">
        <f>VLOOKUP($K362,'Property names'!$A$1:$D$100,2,FALSE)</f>
        <v>Normalized Difference Vegetation Index</v>
      </c>
      <c r="M362" s="5" t="str">
        <f>VLOOKUP($K362,'Property names'!$A$1:$D$100,3,FALSE)</f>
        <v>-</v>
      </c>
      <c r="N362" s="5" t="str">
        <f>VLOOKUP($K362,'Property names'!$A$1:$D$100,4,FALSE)</f>
        <v>-</v>
      </c>
      <c r="O362" s="204" t="s">
        <v>1088</v>
      </c>
      <c r="P362" s="204" t="s">
        <v>1089</v>
      </c>
      <c r="Q362" s="5" t="s">
        <v>653</v>
      </c>
    </row>
    <row r="363" spans="1:17" ht="15">
      <c r="A363" s="204" t="s">
        <v>693</v>
      </c>
      <c r="B363" s="209" t="s">
        <v>697</v>
      </c>
      <c r="C363" s="204" t="s">
        <v>714</v>
      </c>
      <c r="D363" s="205">
        <v>3.9944890000000002</v>
      </c>
      <c r="E363" s="205">
        <v>8.6972500000000004</v>
      </c>
      <c r="F363" s="204" t="s">
        <v>206</v>
      </c>
      <c r="G363" s="204" t="s">
        <v>715</v>
      </c>
      <c r="H363" s="204" t="s">
        <v>170</v>
      </c>
      <c r="I363" s="206" t="str">
        <f t="shared" si="6"/>
        <v>EUI_EQ_I041</v>
      </c>
      <c r="J363" s="204" t="s">
        <v>722</v>
      </c>
      <c r="K363" s="5" t="s">
        <v>723</v>
      </c>
      <c r="L363" s="5" t="str">
        <f>VLOOKUP($K363,'Property names'!$A$1:$D$100,2,FALSE)</f>
        <v>Differential measurement of trunk radial growth</v>
      </c>
      <c r="M363" s="5" t="str">
        <f>VLOOKUP($K363,'Property names'!$A$1:$D$100,3,FALSE)</f>
        <v>Millimeters</v>
      </c>
      <c r="N363" s="5" t="str">
        <f>VLOOKUP($K363,'Property names'!$A$1:$D$100,4,FALSE)</f>
        <v>mm</v>
      </c>
      <c r="O363" s="204" t="s">
        <v>1090</v>
      </c>
      <c r="P363" s="204" t="s">
        <v>1091</v>
      </c>
      <c r="Q363" s="5" t="s">
        <v>653</v>
      </c>
    </row>
    <row r="364" spans="1:17" ht="15">
      <c r="A364" s="204" t="s">
        <v>693</v>
      </c>
      <c r="B364" s="209" t="s">
        <v>697</v>
      </c>
      <c r="C364" s="204" t="s">
        <v>714</v>
      </c>
      <c r="D364" s="205">
        <v>3.9944890000000002</v>
      </c>
      <c r="E364" s="205">
        <v>8.6972500000000004</v>
      </c>
      <c r="F364" s="204" t="s">
        <v>206</v>
      </c>
      <c r="G364" s="204" t="s">
        <v>715</v>
      </c>
      <c r="H364" s="204" t="s">
        <v>170</v>
      </c>
      <c r="I364" s="206" t="str">
        <f t="shared" si="6"/>
        <v>EUI_EQ_I041</v>
      </c>
      <c r="J364" s="204" t="s">
        <v>726</v>
      </c>
      <c r="K364" s="5" t="s">
        <v>727</v>
      </c>
      <c r="L364" s="5" t="str">
        <f>VLOOKUP($K364,'Property names'!$A$1:$D$100,2,FALSE)</f>
        <v>Sap velocity</v>
      </c>
      <c r="M364" s="5" t="str">
        <f>VLOOKUP($K364,'Property names'!$A$1:$D$100,3,FALSE)</f>
        <v>Centimeter per Second</v>
      </c>
      <c r="N364" s="5" t="str">
        <f>VLOOKUP($K364,'Property names'!$A$1:$D$100,4,FALSE)</f>
        <v>cm/h</v>
      </c>
      <c r="O364" s="204" t="s">
        <v>1092</v>
      </c>
      <c r="P364" s="204" t="s">
        <v>1093</v>
      </c>
      <c r="Q364" s="5" t="s">
        <v>653</v>
      </c>
    </row>
    <row r="365" spans="1:17" ht="15">
      <c r="A365" s="204" t="s">
        <v>693</v>
      </c>
      <c r="B365" s="209" t="s">
        <v>697</v>
      </c>
      <c r="C365" s="204" t="s">
        <v>714</v>
      </c>
      <c r="D365" s="205">
        <v>3.9944890000000002</v>
      </c>
      <c r="E365" s="205">
        <v>8.6972500000000004</v>
      </c>
      <c r="F365" s="204" t="s">
        <v>206</v>
      </c>
      <c r="G365" s="204" t="s">
        <v>715</v>
      </c>
      <c r="H365" s="204" t="s">
        <v>170</v>
      </c>
      <c r="I365" s="206" t="str">
        <f t="shared" si="6"/>
        <v>EUI_EQ_I041</v>
      </c>
      <c r="J365" s="204" t="s">
        <v>730</v>
      </c>
      <c r="K365" s="5" t="s">
        <v>730</v>
      </c>
      <c r="L365" s="5" t="str">
        <f>VLOOKUP($K365,'Property names'!$A$1:$D$100,2,FALSE)</f>
        <v>Rotation over X axis</v>
      </c>
      <c r="M365" s="5" t="str">
        <f>VLOOKUP($K365,'Property names'!$A$1:$D$100,3,FALSE)</f>
        <v>Degrees</v>
      </c>
      <c r="N365" s="5" t="str">
        <f>VLOOKUP($K365,'Property names'!$A$1:$D$100,4,FALSE)</f>
        <v>°</v>
      </c>
      <c r="O365" s="204" t="s">
        <v>1094</v>
      </c>
      <c r="P365" s="204" t="s">
        <v>1095</v>
      </c>
      <c r="Q365" s="5" t="s">
        <v>653</v>
      </c>
    </row>
    <row r="366" spans="1:17" ht="15">
      <c r="A366" s="204" t="s">
        <v>693</v>
      </c>
      <c r="B366" s="209" t="s">
        <v>697</v>
      </c>
      <c r="C366" s="204" t="s">
        <v>714</v>
      </c>
      <c r="D366" s="205">
        <v>3.9944890000000002</v>
      </c>
      <c r="E366" s="205">
        <v>8.6972500000000004</v>
      </c>
      <c r="F366" s="204" t="s">
        <v>206</v>
      </c>
      <c r="G366" s="204" t="s">
        <v>715</v>
      </c>
      <c r="H366" s="204" t="s">
        <v>170</v>
      </c>
      <c r="I366" s="206" t="str">
        <f t="shared" si="6"/>
        <v>EUI_EQ_I041</v>
      </c>
      <c r="J366" s="204" t="s">
        <v>733</v>
      </c>
      <c r="K366" s="5" t="s">
        <v>733</v>
      </c>
      <c r="L366" s="5" t="str">
        <f>VLOOKUP($K366,'Property names'!$A$1:$D$100,2,FALSE)</f>
        <v>Rotation over Y axis</v>
      </c>
      <c r="M366" s="5" t="str">
        <f>VLOOKUP($K366,'Property names'!$A$1:$D$100,3,FALSE)</f>
        <v>Degrees</v>
      </c>
      <c r="N366" s="5" t="str">
        <f>VLOOKUP($K366,'Property names'!$A$1:$D$100,4,FALSE)</f>
        <v>°</v>
      </c>
      <c r="O366" s="204" t="s">
        <v>1096</v>
      </c>
      <c r="P366" s="204" t="s">
        <v>1097</v>
      </c>
      <c r="Q366" s="5" t="s">
        <v>653</v>
      </c>
    </row>
    <row r="367" spans="1:17" ht="15">
      <c r="A367" s="204" t="s">
        <v>693</v>
      </c>
      <c r="B367" s="209" t="s">
        <v>697</v>
      </c>
      <c r="C367" s="204" t="s">
        <v>714</v>
      </c>
      <c r="D367" s="205">
        <v>3.9944890000000002</v>
      </c>
      <c r="E367" s="205">
        <v>8.6972500000000004</v>
      </c>
      <c r="F367" s="204" t="s">
        <v>206</v>
      </c>
      <c r="G367" s="204" t="s">
        <v>715</v>
      </c>
      <c r="H367" s="204" t="s">
        <v>170</v>
      </c>
      <c r="I367" s="206" t="str">
        <f t="shared" si="6"/>
        <v>EUI_EQ_I041</v>
      </c>
      <c r="J367" s="204" t="s">
        <v>736</v>
      </c>
      <c r="K367" s="5" t="s">
        <v>736</v>
      </c>
      <c r="L367" s="5" t="str">
        <f>VLOOKUP($K367,'Property names'!$A$1:$D$100,2,FALSE)</f>
        <v>Rotation over Z axis</v>
      </c>
      <c r="M367" s="5" t="str">
        <f>VLOOKUP($K367,'Property names'!$A$1:$D$100,3,FALSE)</f>
        <v>Degrees</v>
      </c>
      <c r="N367" s="5" t="str">
        <f>VLOOKUP($K367,'Property names'!$A$1:$D$100,4,FALSE)</f>
        <v>°</v>
      </c>
      <c r="O367" s="204" t="s">
        <v>1098</v>
      </c>
      <c r="P367" s="204" t="s">
        <v>1099</v>
      </c>
      <c r="Q367" s="5" t="s">
        <v>653</v>
      </c>
    </row>
    <row r="368" spans="1:17" ht="15">
      <c r="A368" s="204" t="s">
        <v>693</v>
      </c>
      <c r="B368" s="209" t="s">
        <v>697</v>
      </c>
      <c r="C368" s="204" t="s">
        <v>714</v>
      </c>
      <c r="D368" s="205">
        <v>3.9944890000000002</v>
      </c>
      <c r="E368" s="205">
        <v>8.6972500000000004</v>
      </c>
      <c r="F368" s="204" t="s">
        <v>206</v>
      </c>
      <c r="G368" s="204" t="s">
        <v>715</v>
      </c>
      <c r="H368" s="204" t="s">
        <v>170</v>
      </c>
      <c r="I368" s="206" t="str">
        <f t="shared" si="6"/>
        <v>EUI_EQ_I041</v>
      </c>
      <c r="J368" s="204" t="s">
        <v>679</v>
      </c>
      <c r="K368" s="204" t="s">
        <v>652</v>
      </c>
      <c r="L368" s="5" t="str">
        <f>VLOOKUP($K368,'Property names'!$A$1:$D$100,2,FALSE)</f>
        <v>The measure of the hotness or coldness of the air.</v>
      </c>
      <c r="M368" s="5" t="str">
        <f>VLOOKUP($K368,'Property names'!$A$1:$D$100,3,FALSE)</f>
        <v>Degrees Celsius</v>
      </c>
      <c r="N368" s="5" t="str">
        <f>VLOOKUP($K368,'Property names'!$A$1:$D$100,4,FALSE)</f>
        <v>ºC</v>
      </c>
      <c r="O368" s="204" t="s">
        <v>1100</v>
      </c>
      <c r="P368" s="204" t="s">
        <v>1101</v>
      </c>
      <c r="Q368" s="5" t="s">
        <v>653</v>
      </c>
    </row>
    <row r="369" spans="1:17" ht="15">
      <c r="A369" s="204" t="s">
        <v>693</v>
      </c>
      <c r="B369" s="209" t="s">
        <v>697</v>
      </c>
      <c r="C369" s="204" t="s">
        <v>714</v>
      </c>
      <c r="D369" s="205">
        <v>3.9944890000000002</v>
      </c>
      <c r="E369" s="205">
        <v>8.6972500000000004</v>
      </c>
      <c r="F369" s="204" t="s">
        <v>206</v>
      </c>
      <c r="G369" s="204" t="s">
        <v>715</v>
      </c>
      <c r="H369" s="204" t="s">
        <v>170</v>
      </c>
      <c r="I369" s="206" t="str">
        <f t="shared" si="6"/>
        <v>EUI_EQ_I041</v>
      </c>
      <c r="J369" s="204" t="s">
        <v>654</v>
      </c>
      <c r="K369" s="204" t="s">
        <v>655</v>
      </c>
      <c r="L369" s="5" t="str">
        <f>VLOOKUP($K369,'Property names'!$A$1:$D$100,2,FALSE)</f>
        <v>The amount of moisture or water vapor present in the air, often expressed as a percentage of the maximum amount the air could hold at a given temperature.</v>
      </c>
      <c r="M369" s="5" t="str">
        <f>VLOOKUP($K369,'Property names'!$A$1:$D$100,3,FALSE)</f>
        <v>Percentage</v>
      </c>
      <c r="N369" s="5" t="str">
        <f>VLOOKUP($K369,'Property names'!$A$1:$D$100,4,FALSE)</f>
        <v>%</v>
      </c>
      <c r="O369" s="204" t="s">
        <v>1102</v>
      </c>
      <c r="P369" s="204" t="s">
        <v>1103</v>
      </c>
      <c r="Q369" s="5" t="s">
        <v>653</v>
      </c>
    </row>
    <row r="370" spans="1:17" ht="15">
      <c r="A370" s="207" t="s">
        <v>693</v>
      </c>
      <c r="B370" s="209" t="s">
        <v>697</v>
      </c>
      <c r="C370" s="204" t="s">
        <v>714</v>
      </c>
      <c r="D370" s="205">
        <v>3.9944890000000002</v>
      </c>
      <c r="E370" s="205">
        <v>8.6972500000000004</v>
      </c>
      <c r="F370" s="204" t="s">
        <v>206</v>
      </c>
      <c r="G370" s="204" t="s">
        <v>715</v>
      </c>
      <c r="H370" s="204" t="s">
        <v>170</v>
      </c>
      <c r="I370" s="206" t="str">
        <f t="shared" si="6"/>
        <v>EUI_EQ_I041</v>
      </c>
      <c r="J370" s="204" t="s">
        <v>743</v>
      </c>
      <c r="K370" s="204" t="s">
        <v>692</v>
      </c>
      <c r="L370" s="5" t="str">
        <f>VLOOKUP($K370,'Property names'!$A$1:$D$100,2,FALSE)</f>
        <v>The electrical potential in a battery, indicating its charge level.</v>
      </c>
      <c r="M370" s="5" t="str">
        <f>VLOOKUP($K370,'Property names'!$A$1:$D$100,3,FALSE)</f>
        <v>Millivolts</v>
      </c>
      <c r="N370" s="5" t="str">
        <f>VLOOKUP($K370,'Property names'!$A$1:$D$100,4,FALSE)</f>
        <v>mV</v>
      </c>
      <c r="O370" s="204" t="s">
        <v>1104</v>
      </c>
      <c r="P370" s="204" t="s">
        <v>1105</v>
      </c>
      <c r="Q370" s="5" t="s">
        <v>653</v>
      </c>
    </row>
    <row r="371" spans="1:17" ht="15">
      <c r="A371" s="204" t="s">
        <v>693</v>
      </c>
      <c r="B371" s="209" t="s">
        <v>697</v>
      </c>
      <c r="C371" s="204" t="s">
        <v>714</v>
      </c>
      <c r="D371" s="205">
        <v>3.9944890000000002</v>
      </c>
      <c r="E371" s="205">
        <v>8.6972500000000004</v>
      </c>
      <c r="F371" s="204" t="s">
        <v>208</v>
      </c>
      <c r="G371" s="204" t="s">
        <v>715</v>
      </c>
      <c r="H371" s="204" t="s">
        <v>170</v>
      </c>
      <c r="I371" s="206" t="str">
        <f t="shared" si="6"/>
        <v>EUI_EQ_I042</v>
      </c>
      <c r="J371" s="204" t="s">
        <v>716</v>
      </c>
      <c r="K371" s="5" t="s">
        <v>716</v>
      </c>
      <c r="L371" s="5" t="str">
        <f>VLOOKUP($K371,'Property names'!$A$1:$D$100,2,FALSE)</f>
        <v>UTC epoch time when the data were collected</v>
      </c>
      <c r="M371" s="5" t="str">
        <f>VLOOKUP($K371,'Property names'!$A$1:$D$100,3,FALSE)</f>
        <v>Seconds</v>
      </c>
      <c r="N371" s="5" t="str">
        <f>VLOOKUP($K371,'Property names'!$A$1:$D$100,4,FALSE)</f>
        <v>s</v>
      </c>
      <c r="O371" s="204" t="s">
        <v>1106</v>
      </c>
      <c r="P371" s="204" t="s">
        <v>1107</v>
      </c>
      <c r="Q371" s="5" t="s">
        <v>653</v>
      </c>
    </row>
    <row r="372" spans="1:17" ht="15">
      <c r="A372" s="204" t="s">
        <v>693</v>
      </c>
      <c r="B372" s="209" t="s">
        <v>697</v>
      </c>
      <c r="C372" s="204" t="s">
        <v>714</v>
      </c>
      <c r="D372" s="205">
        <v>3.9944890000000002</v>
      </c>
      <c r="E372" s="205">
        <v>8.6972500000000004</v>
      </c>
      <c r="F372" s="204" t="s">
        <v>208</v>
      </c>
      <c r="G372" s="204" t="s">
        <v>715</v>
      </c>
      <c r="H372" s="204" t="s">
        <v>170</v>
      </c>
      <c r="I372" s="206" t="str">
        <f t="shared" si="6"/>
        <v>EUI_EQ_I042</v>
      </c>
      <c r="J372" s="204" t="s">
        <v>719</v>
      </c>
      <c r="K372" s="5" t="s">
        <v>719</v>
      </c>
      <c r="L372" s="5" t="str">
        <f>VLOOKUP($K372,'Property names'!$A$1:$D$100,2,FALSE)</f>
        <v>Normalized Difference Vegetation Index</v>
      </c>
      <c r="M372" s="5" t="str">
        <f>VLOOKUP($K372,'Property names'!$A$1:$D$100,3,FALSE)</f>
        <v>-</v>
      </c>
      <c r="N372" s="5" t="str">
        <f>VLOOKUP($K372,'Property names'!$A$1:$D$100,4,FALSE)</f>
        <v>-</v>
      </c>
      <c r="O372" s="204" t="s">
        <v>1108</v>
      </c>
      <c r="P372" s="204" t="s">
        <v>1109</v>
      </c>
      <c r="Q372" s="5" t="s">
        <v>653</v>
      </c>
    </row>
    <row r="373" spans="1:17" ht="15">
      <c r="A373" s="204" t="s">
        <v>693</v>
      </c>
      <c r="B373" s="209" t="s">
        <v>697</v>
      </c>
      <c r="C373" s="204" t="s">
        <v>714</v>
      </c>
      <c r="D373" s="205">
        <v>3.9944890000000002</v>
      </c>
      <c r="E373" s="205">
        <v>8.6972500000000004</v>
      </c>
      <c r="F373" s="204" t="s">
        <v>208</v>
      </c>
      <c r="G373" s="204" t="s">
        <v>715</v>
      </c>
      <c r="H373" s="204" t="s">
        <v>170</v>
      </c>
      <c r="I373" s="206" t="str">
        <f t="shared" si="6"/>
        <v>EUI_EQ_I042</v>
      </c>
      <c r="J373" s="204" t="s">
        <v>722</v>
      </c>
      <c r="K373" s="5" t="s">
        <v>723</v>
      </c>
      <c r="L373" s="5" t="str">
        <f>VLOOKUP($K373,'Property names'!$A$1:$D$100,2,FALSE)</f>
        <v>Differential measurement of trunk radial growth</v>
      </c>
      <c r="M373" s="5" t="str">
        <f>VLOOKUP($K373,'Property names'!$A$1:$D$100,3,FALSE)</f>
        <v>Millimeters</v>
      </c>
      <c r="N373" s="5" t="str">
        <f>VLOOKUP($K373,'Property names'!$A$1:$D$100,4,FALSE)</f>
        <v>mm</v>
      </c>
      <c r="O373" s="204" t="s">
        <v>1110</v>
      </c>
      <c r="P373" s="204" t="s">
        <v>1111</v>
      </c>
      <c r="Q373" s="5" t="s">
        <v>653</v>
      </c>
    </row>
    <row r="374" spans="1:17" ht="15">
      <c r="A374" s="204" t="s">
        <v>693</v>
      </c>
      <c r="B374" s="209" t="s">
        <v>697</v>
      </c>
      <c r="C374" s="204" t="s">
        <v>714</v>
      </c>
      <c r="D374" s="205">
        <v>3.9944890000000002</v>
      </c>
      <c r="E374" s="205">
        <v>8.6972500000000004</v>
      </c>
      <c r="F374" s="204" t="s">
        <v>208</v>
      </c>
      <c r="G374" s="204" t="s">
        <v>715</v>
      </c>
      <c r="H374" s="204" t="s">
        <v>170</v>
      </c>
      <c r="I374" s="206" t="str">
        <f t="shared" si="6"/>
        <v>EUI_EQ_I042</v>
      </c>
      <c r="J374" s="204" t="s">
        <v>726</v>
      </c>
      <c r="K374" s="5" t="s">
        <v>727</v>
      </c>
      <c r="L374" s="5" t="str">
        <f>VLOOKUP($K374,'Property names'!$A$1:$D$100,2,FALSE)</f>
        <v>Sap velocity</v>
      </c>
      <c r="M374" s="5" t="str">
        <f>VLOOKUP($K374,'Property names'!$A$1:$D$100,3,FALSE)</f>
        <v>Centimeter per Second</v>
      </c>
      <c r="N374" s="5" t="str">
        <f>VLOOKUP($K374,'Property names'!$A$1:$D$100,4,FALSE)</f>
        <v>cm/h</v>
      </c>
      <c r="O374" s="204" t="s">
        <v>1112</v>
      </c>
      <c r="P374" s="204" t="s">
        <v>1113</v>
      </c>
      <c r="Q374" s="5" t="s">
        <v>653</v>
      </c>
    </row>
    <row r="375" spans="1:17" ht="15">
      <c r="A375" s="204" t="s">
        <v>693</v>
      </c>
      <c r="B375" s="209" t="s">
        <v>697</v>
      </c>
      <c r="C375" s="204" t="s">
        <v>714</v>
      </c>
      <c r="D375" s="205">
        <v>3.9944890000000002</v>
      </c>
      <c r="E375" s="205">
        <v>8.6972500000000004</v>
      </c>
      <c r="F375" s="204" t="s">
        <v>208</v>
      </c>
      <c r="G375" s="204" t="s">
        <v>715</v>
      </c>
      <c r="H375" s="204" t="s">
        <v>170</v>
      </c>
      <c r="I375" s="206" t="str">
        <f t="shared" si="6"/>
        <v>EUI_EQ_I042</v>
      </c>
      <c r="J375" s="204" t="s">
        <v>730</v>
      </c>
      <c r="K375" s="5" t="s">
        <v>730</v>
      </c>
      <c r="L375" s="5" t="str">
        <f>VLOOKUP($K375,'Property names'!$A$1:$D$100,2,FALSE)</f>
        <v>Rotation over X axis</v>
      </c>
      <c r="M375" s="5" t="str">
        <f>VLOOKUP($K375,'Property names'!$A$1:$D$100,3,FALSE)</f>
        <v>Degrees</v>
      </c>
      <c r="N375" s="5" t="str">
        <f>VLOOKUP($K375,'Property names'!$A$1:$D$100,4,FALSE)</f>
        <v>°</v>
      </c>
      <c r="O375" s="204" t="s">
        <v>1114</v>
      </c>
      <c r="P375" s="204" t="s">
        <v>1115</v>
      </c>
      <c r="Q375" s="5" t="s">
        <v>653</v>
      </c>
    </row>
    <row r="376" spans="1:17" ht="15">
      <c r="A376" s="204" t="s">
        <v>693</v>
      </c>
      <c r="B376" s="209" t="s">
        <v>697</v>
      </c>
      <c r="C376" s="204" t="s">
        <v>714</v>
      </c>
      <c r="D376" s="205">
        <v>3.9944890000000002</v>
      </c>
      <c r="E376" s="205">
        <v>8.6972500000000004</v>
      </c>
      <c r="F376" s="204" t="s">
        <v>208</v>
      </c>
      <c r="G376" s="204" t="s">
        <v>715</v>
      </c>
      <c r="H376" s="204" t="s">
        <v>170</v>
      </c>
      <c r="I376" s="206" t="str">
        <f t="shared" si="6"/>
        <v>EUI_EQ_I042</v>
      </c>
      <c r="J376" s="204" t="s">
        <v>733</v>
      </c>
      <c r="K376" s="5" t="s">
        <v>733</v>
      </c>
      <c r="L376" s="5" t="str">
        <f>VLOOKUP($K376,'Property names'!$A$1:$D$100,2,FALSE)</f>
        <v>Rotation over Y axis</v>
      </c>
      <c r="M376" s="5" t="str">
        <f>VLOOKUP($K376,'Property names'!$A$1:$D$100,3,FALSE)</f>
        <v>Degrees</v>
      </c>
      <c r="N376" s="5" t="str">
        <f>VLOOKUP($K376,'Property names'!$A$1:$D$100,4,FALSE)</f>
        <v>°</v>
      </c>
      <c r="O376" s="204" t="s">
        <v>1116</v>
      </c>
      <c r="P376" s="204" t="s">
        <v>1117</v>
      </c>
      <c r="Q376" s="5" t="s">
        <v>653</v>
      </c>
    </row>
    <row r="377" spans="1:17" ht="15">
      <c r="A377" s="204" t="s">
        <v>693</v>
      </c>
      <c r="B377" s="209" t="s">
        <v>697</v>
      </c>
      <c r="C377" s="204" t="s">
        <v>714</v>
      </c>
      <c r="D377" s="205">
        <v>3.9944890000000002</v>
      </c>
      <c r="E377" s="205">
        <v>8.6972500000000004</v>
      </c>
      <c r="F377" s="204" t="s">
        <v>208</v>
      </c>
      <c r="G377" s="204" t="s">
        <v>715</v>
      </c>
      <c r="H377" s="204" t="s">
        <v>170</v>
      </c>
      <c r="I377" s="206" t="str">
        <f t="shared" si="6"/>
        <v>EUI_EQ_I042</v>
      </c>
      <c r="J377" s="204" t="s">
        <v>736</v>
      </c>
      <c r="K377" s="5" t="s">
        <v>736</v>
      </c>
      <c r="L377" s="5" t="str">
        <f>VLOOKUP($K377,'Property names'!$A$1:$D$100,2,FALSE)</f>
        <v>Rotation over Z axis</v>
      </c>
      <c r="M377" s="5" t="str">
        <f>VLOOKUP($K377,'Property names'!$A$1:$D$100,3,FALSE)</f>
        <v>Degrees</v>
      </c>
      <c r="N377" s="5" t="str">
        <f>VLOOKUP($K377,'Property names'!$A$1:$D$100,4,FALSE)</f>
        <v>°</v>
      </c>
      <c r="O377" s="204" t="s">
        <v>1118</v>
      </c>
      <c r="P377" s="204" t="s">
        <v>1119</v>
      </c>
      <c r="Q377" s="5" t="s">
        <v>653</v>
      </c>
    </row>
    <row r="378" spans="1:17" ht="15">
      <c r="A378" s="204" t="s">
        <v>693</v>
      </c>
      <c r="B378" s="209" t="s">
        <v>697</v>
      </c>
      <c r="C378" s="204" t="s">
        <v>714</v>
      </c>
      <c r="D378" s="205">
        <v>3.9944890000000002</v>
      </c>
      <c r="E378" s="205">
        <v>8.6972500000000004</v>
      </c>
      <c r="F378" s="204" t="s">
        <v>208</v>
      </c>
      <c r="G378" s="204" t="s">
        <v>715</v>
      </c>
      <c r="H378" s="204" t="s">
        <v>170</v>
      </c>
      <c r="I378" s="206" t="str">
        <f t="shared" si="6"/>
        <v>EUI_EQ_I042</v>
      </c>
      <c r="J378" s="204" t="s">
        <v>679</v>
      </c>
      <c r="K378" s="204" t="s">
        <v>652</v>
      </c>
      <c r="L378" s="5" t="str">
        <f>VLOOKUP($K378,'Property names'!$A$1:$D$100,2,FALSE)</f>
        <v>The measure of the hotness or coldness of the air.</v>
      </c>
      <c r="M378" s="5" t="str">
        <f>VLOOKUP($K378,'Property names'!$A$1:$D$100,3,FALSE)</f>
        <v>Degrees Celsius</v>
      </c>
      <c r="N378" s="5" t="str">
        <f>VLOOKUP($K378,'Property names'!$A$1:$D$100,4,FALSE)</f>
        <v>ºC</v>
      </c>
      <c r="O378" s="204" t="s">
        <v>1120</v>
      </c>
      <c r="P378" s="204" t="s">
        <v>1121</v>
      </c>
      <c r="Q378" s="5" t="s">
        <v>653</v>
      </c>
    </row>
    <row r="379" spans="1:17" ht="15">
      <c r="A379" s="204" t="s">
        <v>693</v>
      </c>
      <c r="B379" s="209" t="s">
        <v>697</v>
      </c>
      <c r="C379" s="204" t="s">
        <v>714</v>
      </c>
      <c r="D379" s="205">
        <v>3.9944890000000002</v>
      </c>
      <c r="E379" s="205">
        <v>8.6972500000000004</v>
      </c>
      <c r="F379" s="204" t="s">
        <v>208</v>
      </c>
      <c r="G379" s="204" t="s">
        <v>715</v>
      </c>
      <c r="H379" s="204" t="s">
        <v>170</v>
      </c>
      <c r="I379" s="206" t="str">
        <f t="shared" si="6"/>
        <v>EUI_EQ_I042</v>
      </c>
      <c r="J379" s="204" t="s">
        <v>654</v>
      </c>
      <c r="K379" s="204" t="s">
        <v>655</v>
      </c>
      <c r="L379" s="5" t="str">
        <f>VLOOKUP($K379,'Property names'!$A$1:$D$100,2,FALSE)</f>
        <v>The amount of moisture or water vapor present in the air, often expressed as a percentage of the maximum amount the air could hold at a given temperature.</v>
      </c>
      <c r="M379" s="5" t="str">
        <f>VLOOKUP($K379,'Property names'!$A$1:$D$100,3,FALSE)</f>
        <v>Percentage</v>
      </c>
      <c r="N379" s="5" t="str">
        <f>VLOOKUP($K379,'Property names'!$A$1:$D$100,4,FALSE)</f>
        <v>%</v>
      </c>
      <c r="O379" s="204" t="s">
        <v>1122</v>
      </c>
      <c r="P379" s="204" t="s">
        <v>1123</v>
      </c>
      <c r="Q379" s="5" t="s">
        <v>653</v>
      </c>
    </row>
    <row r="380" spans="1:17" ht="15">
      <c r="A380" s="207" t="s">
        <v>693</v>
      </c>
      <c r="B380" s="209" t="s">
        <v>697</v>
      </c>
      <c r="C380" s="204" t="s">
        <v>714</v>
      </c>
      <c r="D380" s="205">
        <v>3.9944890000000002</v>
      </c>
      <c r="E380" s="205">
        <v>8.6972500000000004</v>
      </c>
      <c r="F380" s="204" t="s">
        <v>208</v>
      </c>
      <c r="G380" s="204" t="s">
        <v>715</v>
      </c>
      <c r="H380" s="204" t="s">
        <v>170</v>
      </c>
      <c r="I380" s="206" t="str">
        <f t="shared" si="6"/>
        <v>EUI_EQ_I042</v>
      </c>
      <c r="J380" s="204" t="s">
        <v>743</v>
      </c>
      <c r="K380" s="204" t="s">
        <v>692</v>
      </c>
      <c r="L380" s="5" t="str">
        <f>VLOOKUP($K380,'Property names'!$A$1:$D$100,2,FALSE)</f>
        <v>The electrical potential in a battery, indicating its charge level.</v>
      </c>
      <c r="M380" s="5" t="str">
        <f>VLOOKUP($K380,'Property names'!$A$1:$D$100,3,FALSE)</f>
        <v>Millivolts</v>
      </c>
      <c r="N380" s="5" t="str">
        <f>VLOOKUP($K380,'Property names'!$A$1:$D$100,4,FALSE)</f>
        <v>mV</v>
      </c>
      <c r="O380" s="204" t="s">
        <v>1124</v>
      </c>
      <c r="P380" s="204" t="s">
        <v>1125</v>
      </c>
      <c r="Q380" s="5" t="s">
        <v>653</v>
      </c>
    </row>
    <row r="381" spans="1:17" ht="15">
      <c r="A381" s="204" t="s">
        <v>693</v>
      </c>
      <c r="B381" s="209" t="s">
        <v>697</v>
      </c>
      <c r="C381" s="204" t="s">
        <v>714</v>
      </c>
      <c r="D381" s="205">
        <v>3.9944890000000002</v>
      </c>
      <c r="E381" s="205">
        <v>8.6972500000000004</v>
      </c>
      <c r="F381" s="204" t="s">
        <v>210</v>
      </c>
      <c r="G381" s="204" t="s">
        <v>715</v>
      </c>
      <c r="H381" s="204" t="s">
        <v>170</v>
      </c>
      <c r="I381" s="206" t="str">
        <f t="shared" si="6"/>
        <v>EUI_EQ_I043</v>
      </c>
      <c r="J381" s="204" t="s">
        <v>716</v>
      </c>
      <c r="K381" s="5" t="s">
        <v>716</v>
      </c>
      <c r="L381" s="5" t="str">
        <f>VLOOKUP($K381,'Property names'!$A$1:$D$100,2,FALSE)</f>
        <v>UTC epoch time when the data were collected</v>
      </c>
      <c r="M381" s="5" t="str">
        <f>VLOOKUP($K381,'Property names'!$A$1:$D$100,3,FALSE)</f>
        <v>Seconds</v>
      </c>
      <c r="N381" s="5" t="str">
        <f>VLOOKUP($K381,'Property names'!$A$1:$D$100,4,FALSE)</f>
        <v>s</v>
      </c>
      <c r="O381" s="204" t="s">
        <v>1126</v>
      </c>
      <c r="P381" s="204" t="s">
        <v>1127</v>
      </c>
      <c r="Q381" s="5" t="s">
        <v>653</v>
      </c>
    </row>
    <row r="382" spans="1:17" ht="15">
      <c r="A382" s="204" t="s">
        <v>693</v>
      </c>
      <c r="B382" s="209" t="s">
        <v>697</v>
      </c>
      <c r="C382" s="204" t="s">
        <v>714</v>
      </c>
      <c r="D382" s="205">
        <v>3.9944890000000002</v>
      </c>
      <c r="E382" s="205">
        <v>8.6972500000000004</v>
      </c>
      <c r="F382" s="204" t="s">
        <v>210</v>
      </c>
      <c r="G382" s="204" t="s">
        <v>715</v>
      </c>
      <c r="H382" s="204" t="s">
        <v>170</v>
      </c>
      <c r="I382" s="206" t="str">
        <f t="shared" si="6"/>
        <v>EUI_EQ_I043</v>
      </c>
      <c r="J382" s="204" t="s">
        <v>719</v>
      </c>
      <c r="K382" s="5" t="s">
        <v>719</v>
      </c>
      <c r="L382" s="5" t="str">
        <f>VLOOKUP($K382,'Property names'!$A$1:$D$100,2,FALSE)</f>
        <v>Normalized Difference Vegetation Index</v>
      </c>
      <c r="M382" s="5" t="str">
        <f>VLOOKUP($K382,'Property names'!$A$1:$D$100,3,FALSE)</f>
        <v>-</v>
      </c>
      <c r="N382" s="5" t="str">
        <f>VLOOKUP($K382,'Property names'!$A$1:$D$100,4,FALSE)</f>
        <v>-</v>
      </c>
      <c r="O382" s="204" t="s">
        <v>1128</v>
      </c>
      <c r="P382" s="204" t="s">
        <v>1129</v>
      </c>
      <c r="Q382" s="5" t="s">
        <v>653</v>
      </c>
    </row>
    <row r="383" spans="1:17" ht="15">
      <c r="A383" s="204" t="s">
        <v>693</v>
      </c>
      <c r="B383" s="209" t="s">
        <v>697</v>
      </c>
      <c r="C383" s="204" t="s">
        <v>714</v>
      </c>
      <c r="D383" s="205">
        <v>3.9944890000000002</v>
      </c>
      <c r="E383" s="205">
        <v>8.6972500000000004</v>
      </c>
      <c r="F383" s="204" t="s">
        <v>210</v>
      </c>
      <c r="G383" s="204" t="s">
        <v>715</v>
      </c>
      <c r="H383" s="204" t="s">
        <v>170</v>
      </c>
      <c r="I383" s="206" t="str">
        <f t="shared" si="6"/>
        <v>EUI_EQ_I043</v>
      </c>
      <c r="J383" s="204" t="s">
        <v>722</v>
      </c>
      <c r="K383" s="5" t="s">
        <v>723</v>
      </c>
      <c r="L383" s="5" t="str">
        <f>VLOOKUP($K383,'Property names'!$A$1:$D$100,2,FALSE)</f>
        <v>Differential measurement of trunk radial growth</v>
      </c>
      <c r="M383" s="5" t="str">
        <f>VLOOKUP($K383,'Property names'!$A$1:$D$100,3,FALSE)</f>
        <v>Millimeters</v>
      </c>
      <c r="N383" s="5" t="str">
        <f>VLOOKUP($K383,'Property names'!$A$1:$D$100,4,FALSE)</f>
        <v>mm</v>
      </c>
      <c r="O383" s="204" t="s">
        <v>1130</v>
      </c>
      <c r="P383" s="204" t="s">
        <v>1131</v>
      </c>
      <c r="Q383" s="5" t="s">
        <v>653</v>
      </c>
    </row>
    <row r="384" spans="1:17" ht="15">
      <c r="A384" s="204" t="s">
        <v>693</v>
      </c>
      <c r="B384" s="209" t="s">
        <v>697</v>
      </c>
      <c r="C384" s="204" t="s">
        <v>714</v>
      </c>
      <c r="D384" s="205">
        <v>3.9944890000000002</v>
      </c>
      <c r="E384" s="205">
        <v>8.6972500000000004</v>
      </c>
      <c r="F384" s="204" t="s">
        <v>210</v>
      </c>
      <c r="G384" s="204" t="s">
        <v>715</v>
      </c>
      <c r="H384" s="204" t="s">
        <v>170</v>
      </c>
      <c r="I384" s="206" t="str">
        <f t="shared" si="6"/>
        <v>EUI_EQ_I043</v>
      </c>
      <c r="J384" s="204" t="s">
        <v>726</v>
      </c>
      <c r="K384" s="5" t="s">
        <v>727</v>
      </c>
      <c r="L384" s="5" t="str">
        <f>VLOOKUP($K384,'Property names'!$A$1:$D$100,2,FALSE)</f>
        <v>Sap velocity</v>
      </c>
      <c r="M384" s="5" t="str">
        <f>VLOOKUP($K384,'Property names'!$A$1:$D$100,3,FALSE)</f>
        <v>Centimeter per Second</v>
      </c>
      <c r="N384" s="5" t="str">
        <f>VLOOKUP($K384,'Property names'!$A$1:$D$100,4,FALSE)</f>
        <v>cm/h</v>
      </c>
      <c r="O384" s="204" t="s">
        <v>1132</v>
      </c>
      <c r="P384" s="204" t="s">
        <v>1133</v>
      </c>
      <c r="Q384" s="5" t="s">
        <v>653</v>
      </c>
    </row>
    <row r="385" spans="1:17" ht="15">
      <c r="A385" s="204" t="s">
        <v>693</v>
      </c>
      <c r="B385" s="209" t="s">
        <v>697</v>
      </c>
      <c r="C385" s="204" t="s">
        <v>714</v>
      </c>
      <c r="D385" s="205">
        <v>3.9944890000000002</v>
      </c>
      <c r="E385" s="205">
        <v>8.6972500000000004</v>
      </c>
      <c r="F385" s="204" t="s">
        <v>210</v>
      </c>
      <c r="G385" s="204" t="s">
        <v>715</v>
      </c>
      <c r="H385" s="204" t="s">
        <v>170</v>
      </c>
      <c r="I385" s="206" t="str">
        <f t="shared" si="6"/>
        <v>EUI_EQ_I043</v>
      </c>
      <c r="J385" s="204" t="s">
        <v>730</v>
      </c>
      <c r="K385" s="5" t="s">
        <v>730</v>
      </c>
      <c r="L385" s="5" t="str">
        <f>VLOOKUP($K385,'Property names'!$A$1:$D$100,2,FALSE)</f>
        <v>Rotation over X axis</v>
      </c>
      <c r="M385" s="5" t="str">
        <f>VLOOKUP($K385,'Property names'!$A$1:$D$100,3,FALSE)</f>
        <v>Degrees</v>
      </c>
      <c r="N385" s="5" t="str">
        <f>VLOOKUP($K385,'Property names'!$A$1:$D$100,4,FALSE)</f>
        <v>°</v>
      </c>
      <c r="O385" s="204" t="s">
        <v>1134</v>
      </c>
      <c r="P385" s="204" t="s">
        <v>1135</v>
      </c>
      <c r="Q385" s="5" t="s">
        <v>653</v>
      </c>
    </row>
    <row r="386" spans="1:17" ht="15">
      <c r="A386" s="204" t="s">
        <v>693</v>
      </c>
      <c r="B386" s="209" t="s">
        <v>697</v>
      </c>
      <c r="C386" s="204" t="s">
        <v>714</v>
      </c>
      <c r="D386" s="205">
        <v>3.9944890000000002</v>
      </c>
      <c r="E386" s="205">
        <v>8.6972500000000004</v>
      </c>
      <c r="F386" s="204" t="s">
        <v>210</v>
      </c>
      <c r="G386" s="204" t="s">
        <v>715</v>
      </c>
      <c r="H386" s="204" t="s">
        <v>170</v>
      </c>
      <c r="I386" s="206" t="str">
        <f t="shared" si="6"/>
        <v>EUI_EQ_I043</v>
      </c>
      <c r="J386" s="204" t="s">
        <v>733</v>
      </c>
      <c r="K386" s="5" t="s">
        <v>733</v>
      </c>
      <c r="L386" s="5" t="str">
        <f>VLOOKUP($K386,'Property names'!$A$1:$D$100,2,FALSE)</f>
        <v>Rotation over Y axis</v>
      </c>
      <c r="M386" s="5" t="str">
        <f>VLOOKUP($K386,'Property names'!$A$1:$D$100,3,FALSE)</f>
        <v>Degrees</v>
      </c>
      <c r="N386" s="5" t="str">
        <f>VLOOKUP($K386,'Property names'!$A$1:$D$100,4,FALSE)</f>
        <v>°</v>
      </c>
      <c r="O386" s="204" t="s">
        <v>1136</v>
      </c>
      <c r="P386" s="204" t="s">
        <v>1137</v>
      </c>
      <c r="Q386" s="5" t="s">
        <v>653</v>
      </c>
    </row>
    <row r="387" spans="1:17" ht="15">
      <c r="A387" s="204" t="s">
        <v>693</v>
      </c>
      <c r="B387" s="209" t="s">
        <v>697</v>
      </c>
      <c r="C387" s="204" t="s">
        <v>714</v>
      </c>
      <c r="D387" s="205">
        <v>3.9944890000000002</v>
      </c>
      <c r="E387" s="205">
        <v>8.6972500000000004</v>
      </c>
      <c r="F387" s="204" t="s">
        <v>210</v>
      </c>
      <c r="G387" s="204" t="s">
        <v>715</v>
      </c>
      <c r="H387" s="204" t="s">
        <v>170</v>
      </c>
      <c r="I387" s="206" t="str">
        <f t="shared" si="6"/>
        <v>EUI_EQ_I043</v>
      </c>
      <c r="J387" s="204" t="s">
        <v>736</v>
      </c>
      <c r="K387" s="5" t="s">
        <v>736</v>
      </c>
      <c r="L387" s="5" t="str">
        <f>VLOOKUP($K387,'Property names'!$A$1:$D$100,2,FALSE)</f>
        <v>Rotation over Z axis</v>
      </c>
      <c r="M387" s="5" t="str">
        <f>VLOOKUP($K387,'Property names'!$A$1:$D$100,3,FALSE)</f>
        <v>Degrees</v>
      </c>
      <c r="N387" s="5" t="str">
        <f>VLOOKUP($K387,'Property names'!$A$1:$D$100,4,FALSE)</f>
        <v>°</v>
      </c>
      <c r="O387" s="204" t="s">
        <v>1138</v>
      </c>
      <c r="P387" s="204" t="s">
        <v>1139</v>
      </c>
      <c r="Q387" s="5" t="s">
        <v>653</v>
      </c>
    </row>
    <row r="388" spans="1:17" ht="15">
      <c r="A388" s="204" t="s">
        <v>693</v>
      </c>
      <c r="B388" s="209" t="s">
        <v>697</v>
      </c>
      <c r="C388" s="204" t="s">
        <v>714</v>
      </c>
      <c r="D388" s="205">
        <v>3.9944890000000002</v>
      </c>
      <c r="E388" s="205">
        <v>8.6972500000000004</v>
      </c>
      <c r="F388" s="204" t="s">
        <v>210</v>
      </c>
      <c r="G388" s="204" t="s">
        <v>715</v>
      </c>
      <c r="H388" s="204" t="s">
        <v>170</v>
      </c>
      <c r="I388" s="206" t="str">
        <f t="shared" si="6"/>
        <v>EUI_EQ_I043</v>
      </c>
      <c r="J388" s="204" t="s">
        <v>679</v>
      </c>
      <c r="K388" s="204" t="s">
        <v>652</v>
      </c>
      <c r="L388" s="5" t="str">
        <f>VLOOKUP($K388,'Property names'!$A$1:$D$100,2,FALSE)</f>
        <v>The measure of the hotness or coldness of the air.</v>
      </c>
      <c r="M388" s="5" t="str">
        <f>VLOOKUP($K388,'Property names'!$A$1:$D$100,3,FALSE)</f>
        <v>Degrees Celsius</v>
      </c>
      <c r="N388" s="5" t="str">
        <f>VLOOKUP($K388,'Property names'!$A$1:$D$100,4,FALSE)</f>
        <v>ºC</v>
      </c>
      <c r="O388" s="204" t="s">
        <v>1140</v>
      </c>
      <c r="P388" s="204" t="s">
        <v>1141</v>
      </c>
      <c r="Q388" s="5" t="s">
        <v>653</v>
      </c>
    </row>
    <row r="389" spans="1:17" ht="15">
      <c r="A389" s="204" t="s">
        <v>693</v>
      </c>
      <c r="B389" s="209" t="s">
        <v>697</v>
      </c>
      <c r="C389" s="204" t="s">
        <v>714</v>
      </c>
      <c r="D389" s="205">
        <v>3.9944890000000002</v>
      </c>
      <c r="E389" s="205">
        <v>8.6972500000000004</v>
      </c>
      <c r="F389" s="204" t="s">
        <v>210</v>
      </c>
      <c r="G389" s="204" t="s">
        <v>715</v>
      </c>
      <c r="H389" s="204" t="s">
        <v>170</v>
      </c>
      <c r="I389" s="206" t="str">
        <f t="shared" si="6"/>
        <v>EUI_EQ_I043</v>
      </c>
      <c r="J389" s="204" t="s">
        <v>654</v>
      </c>
      <c r="K389" s="204" t="s">
        <v>655</v>
      </c>
      <c r="L389" s="5" t="str">
        <f>VLOOKUP($K389,'Property names'!$A$1:$D$100,2,FALSE)</f>
        <v>The amount of moisture or water vapor present in the air, often expressed as a percentage of the maximum amount the air could hold at a given temperature.</v>
      </c>
      <c r="M389" s="5" t="str">
        <f>VLOOKUP($K389,'Property names'!$A$1:$D$100,3,FALSE)</f>
        <v>Percentage</v>
      </c>
      <c r="N389" s="5" t="str">
        <f>VLOOKUP($K389,'Property names'!$A$1:$D$100,4,FALSE)</f>
        <v>%</v>
      </c>
      <c r="O389" s="204" t="s">
        <v>1142</v>
      </c>
      <c r="P389" s="204" t="s">
        <v>1143</v>
      </c>
      <c r="Q389" s="5" t="s">
        <v>653</v>
      </c>
    </row>
    <row r="390" spans="1:17" ht="15">
      <c r="A390" s="207" t="s">
        <v>693</v>
      </c>
      <c r="B390" s="209" t="s">
        <v>697</v>
      </c>
      <c r="C390" s="204" t="s">
        <v>714</v>
      </c>
      <c r="D390" s="205">
        <v>3.9944890000000002</v>
      </c>
      <c r="E390" s="205">
        <v>8.6972500000000004</v>
      </c>
      <c r="F390" s="204" t="s">
        <v>210</v>
      </c>
      <c r="G390" s="204" t="s">
        <v>715</v>
      </c>
      <c r="H390" s="204" t="s">
        <v>170</v>
      </c>
      <c r="I390" s="206" t="str">
        <f t="shared" si="6"/>
        <v>EUI_EQ_I043</v>
      </c>
      <c r="J390" s="204" t="s">
        <v>743</v>
      </c>
      <c r="K390" s="204" t="s">
        <v>692</v>
      </c>
      <c r="L390" s="5" t="str">
        <f>VLOOKUP($K390,'Property names'!$A$1:$D$100,2,FALSE)</f>
        <v>The electrical potential in a battery, indicating its charge level.</v>
      </c>
      <c r="M390" s="5" t="str">
        <f>VLOOKUP($K390,'Property names'!$A$1:$D$100,3,FALSE)</f>
        <v>Millivolts</v>
      </c>
      <c r="N390" s="5" t="str">
        <f>VLOOKUP($K390,'Property names'!$A$1:$D$100,4,FALSE)</f>
        <v>mV</v>
      </c>
      <c r="O390" s="204" t="s">
        <v>1144</v>
      </c>
      <c r="P390" s="204" t="s">
        <v>1145</v>
      </c>
      <c r="Q390" s="5" t="s">
        <v>653</v>
      </c>
    </row>
    <row r="391" spans="1:17" ht="15">
      <c r="A391" s="204" t="s">
        <v>693</v>
      </c>
      <c r="B391" s="209" t="s">
        <v>697</v>
      </c>
      <c r="C391" s="204" t="s">
        <v>714</v>
      </c>
      <c r="D391" s="205">
        <v>3.9944890000000002</v>
      </c>
      <c r="E391" s="205">
        <v>8.6972500000000004</v>
      </c>
      <c r="F391" s="204" t="s">
        <v>212</v>
      </c>
      <c r="G391" s="204" t="s">
        <v>715</v>
      </c>
      <c r="H391" s="204" t="s">
        <v>170</v>
      </c>
      <c r="I391" s="206" t="str">
        <f t="shared" si="6"/>
        <v>EUI_EQ_I044</v>
      </c>
      <c r="J391" s="204" t="s">
        <v>716</v>
      </c>
      <c r="K391" s="5" t="s">
        <v>716</v>
      </c>
      <c r="L391" s="5" t="str">
        <f>VLOOKUP($K391,'Property names'!$A$1:$D$100,2,FALSE)</f>
        <v>UTC epoch time when the data were collected</v>
      </c>
      <c r="M391" s="5" t="str">
        <f>VLOOKUP($K391,'Property names'!$A$1:$D$100,3,FALSE)</f>
        <v>Seconds</v>
      </c>
      <c r="N391" s="5" t="str">
        <f>VLOOKUP($K391,'Property names'!$A$1:$D$100,4,FALSE)</f>
        <v>s</v>
      </c>
      <c r="O391" s="204" t="s">
        <v>1146</v>
      </c>
      <c r="P391" s="204" t="s">
        <v>1147</v>
      </c>
      <c r="Q391" s="5" t="s">
        <v>653</v>
      </c>
    </row>
    <row r="392" spans="1:17" ht="15">
      <c r="A392" s="204" t="s">
        <v>693</v>
      </c>
      <c r="B392" s="209" t="s">
        <v>697</v>
      </c>
      <c r="C392" s="204" t="s">
        <v>714</v>
      </c>
      <c r="D392" s="205">
        <v>3.9944890000000002</v>
      </c>
      <c r="E392" s="205">
        <v>8.6972500000000004</v>
      </c>
      <c r="F392" s="204" t="s">
        <v>212</v>
      </c>
      <c r="G392" s="204" t="s">
        <v>715</v>
      </c>
      <c r="H392" s="204" t="s">
        <v>170</v>
      </c>
      <c r="I392" s="206" t="str">
        <f t="shared" si="6"/>
        <v>EUI_EQ_I044</v>
      </c>
      <c r="J392" s="204" t="s">
        <v>719</v>
      </c>
      <c r="K392" s="5" t="s">
        <v>719</v>
      </c>
      <c r="L392" s="5" t="str">
        <f>VLOOKUP($K392,'Property names'!$A$1:$D$100,2,FALSE)</f>
        <v>Normalized Difference Vegetation Index</v>
      </c>
      <c r="M392" s="5" t="str">
        <f>VLOOKUP($K392,'Property names'!$A$1:$D$100,3,FALSE)</f>
        <v>-</v>
      </c>
      <c r="N392" s="5" t="str">
        <f>VLOOKUP($K392,'Property names'!$A$1:$D$100,4,FALSE)</f>
        <v>-</v>
      </c>
      <c r="O392" s="204" t="s">
        <v>1148</v>
      </c>
      <c r="P392" s="204" t="s">
        <v>1149</v>
      </c>
      <c r="Q392" s="5" t="s">
        <v>653</v>
      </c>
    </row>
    <row r="393" spans="1:17" ht="15">
      <c r="A393" s="204" t="s">
        <v>693</v>
      </c>
      <c r="B393" s="209" t="s">
        <v>697</v>
      </c>
      <c r="C393" s="204" t="s">
        <v>714</v>
      </c>
      <c r="D393" s="205">
        <v>3.9944890000000002</v>
      </c>
      <c r="E393" s="205">
        <v>8.6972500000000004</v>
      </c>
      <c r="F393" s="204" t="s">
        <v>212</v>
      </c>
      <c r="G393" s="204" t="s">
        <v>715</v>
      </c>
      <c r="H393" s="204" t="s">
        <v>170</v>
      </c>
      <c r="I393" s="206" t="str">
        <f t="shared" si="6"/>
        <v>EUI_EQ_I044</v>
      </c>
      <c r="J393" s="204" t="s">
        <v>722</v>
      </c>
      <c r="K393" s="5" t="s">
        <v>723</v>
      </c>
      <c r="L393" s="5" t="str">
        <f>VLOOKUP($K393,'Property names'!$A$1:$D$100,2,FALSE)</f>
        <v>Differential measurement of trunk radial growth</v>
      </c>
      <c r="M393" s="5" t="str">
        <f>VLOOKUP($K393,'Property names'!$A$1:$D$100,3,FALSE)</f>
        <v>Millimeters</v>
      </c>
      <c r="N393" s="5" t="str">
        <f>VLOOKUP($K393,'Property names'!$A$1:$D$100,4,FALSE)</f>
        <v>mm</v>
      </c>
      <c r="O393" s="204" t="s">
        <v>1150</v>
      </c>
      <c r="P393" s="204" t="s">
        <v>1151</v>
      </c>
      <c r="Q393" s="5" t="s">
        <v>653</v>
      </c>
    </row>
    <row r="394" spans="1:17" ht="15">
      <c r="A394" s="204" t="s">
        <v>693</v>
      </c>
      <c r="B394" s="209" t="s">
        <v>697</v>
      </c>
      <c r="C394" s="204" t="s">
        <v>714</v>
      </c>
      <c r="D394" s="205">
        <v>3.9944890000000002</v>
      </c>
      <c r="E394" s="205">
        <v>8.6972500000000004</v>
      </c>
      <c r="F394" s="204" t="s">
        <v>212</v>
      </c>
      <c r="G394" s="204" t="s">
        <v>715</v>
      </c>
      <c r="H394" s="204" t="s">
        <v>170</v>
      </c>
      <c r="I394" s="206" t="str">
        <f t="shared" si="6"/>
        <v>EUI_EQ_I044</v>
      </c>
      <c r="J394" s="204" t="s">
        <v>726</v>
      </c>
      <c r="K394" s="5" t="s">
        <v>727</v>
      </c>
      <c r="L394" s="5" t="str">
        <f>VLOOKUP($K394,'Property names'!$A$1:$D$100,2,FALSE)</f>
        <v>Sap velocity</v>
      </c>
      <c r="M394" s="5" t="str">
        <f>VLOOKUP($K394,'Property names'!$A$1:$D$100,3,FALSE)</f>
        <v>Centimeter per Second</v>
      </c>
      <c r="N394" s="5" t="str">
        <f>VLOOKUP($K394,'Property names'!$A$1:$D$100,4,FALSE)</f>
        <v>cm/h</v>
      </c>
      <c r="O394" s="204" t="s">
        <v>1152</v>
      </c>
      <c r="P394" s="204" t="s">
        <v>1153</v>
      </c>
      <c r="Q394" s="5" t="s">
        <v>653</v>
      </c>
    </row>
    <row r="395" spans="1:17" ht="15">
      <c r="A395" s="204" t="s">
        <v>693</v>
      </c>
      <c r="B395" s="209" t="s">
        <v>697</v>
      </c>
      <c r="C395" s="204" t="s">
        <v>714</v>
      </c>
      <c r="D395" s="205">
        <v>3.9944890000000002</v>
      </c>
      <c r="E395" s="205">
        <v>8.6972500000000004</v>
      </c>
      <c r="F395" s="204" t="s">
        <v>212</v>
      </c>
      <c r="G395" s="204" t="s">
        <v>715</v>
      </c>
      <c r="H395" s="204" t="s">
        <v>170</v>
      </c>
      <c r="I395" s="206" t="str">
        <f t="shared" si="6"/>
        <v>EUI_EQ_I044</v>
      </c>
      <c r="J395" s="204" t="s">
        <v>730</v>
      </c>
      <c r="K395" s="5" t="s">
        <v>730</v>
      </c>
      <c r="L395" s="5" t="str">
        <f>VLOOKUP($K395,'Property names'!$A$1:$D$100,2,FALSE)</f>
        <v>Rotation over X axis</v>
      </c>
      <c r="M395" s="5" t="str">
        <f>VLOOKUP($K395,'Property names'!$A$1:$D$100,3,FALSE)</f>
        <v>Degrees</v>
      </c>
      <c r="N395" s="5" t="str">
        <f>VLOOKUP($K395,'Property names'!$A$1:$D$100,4,FALSE)</f>
        <v>°</v>
      </c>
      <c r="O395" s="204" t="s">
        <v>1154</v>
      </c>
      <c r="P395" s="204" t="s">
        <v>1155</v>
      </c>
      <c r="Q395" s="5" t="s">
        <v>653</v>
      </c>
    </row>
    <row r="396" spans="1:17" ht="15">
      <c r="A396" s="204" t="s">
        <v>693</v>
      </c>
      <c r="B396" s="209" t="s">
        <v>697</v>
      </c>
      <c r="C396" s="204" t="s">
        <v>714</v>
      </c>
      <c r="D396" s="205">
        <v>3.9944890000000002</v>
      </c>
      <c r="E396" s="205">
        <v>8.6972500000000004</v>
      </c>
      <c r="F396" s="204" t="s">
        <v>212</v>
      </c>
      <c r="G396" s="204" t="s">
        <v>715</v>
      </c>
      <c r="H396" s="204" t="s">
        <v>170</v>
      </c>
      <c r="I396" s="206" t="str">
        <f t="shared" si="6"/>
        <v>EUI_EQ_I044</v>
      </c>
      <c r="J396" s="204" t="s">
        <v>733</v>
      </c>
      <c r="K396" s="5" t="s">
        <v>733</v>
      </c>
      <c r="L396" s="5" t="str">
        <f>VLOOKUP($K396,'Property names'!$A$1:$D$100,2,FALSE)</f>
        <v>Rotation over Y axis</v>
      </c>
      <c r="M396" s="5" t="str">
        <f>VLOOKUP($K396,'Property names'!$A$1:$D$100,3,FALSE)</f>
        <v>Degrees</v>
      </c>
      <c r="N396" s="5" t="str">
        <f>VLOOKUP($K396,'Property names'!$A$1:$D$100,4,FALSE)</f>
        <v>°</v>
      </c>
      <c r="O396" s="204" t="s">
        <v>1156</v>
      </c>
      <c r="P396" s="204" t="s">
        <v>1157</v>
      </c>
      <c r="Q396" s="5" t="s">
        <v>653</v>
      </c>
    </row>
    <row r="397" spans="1:17" ht="15">
      <c r="A397" s="204" t="s">
        <v>693</v>
      </c>
      <c r="B397" s="209" t="s">
        <v>697</v>
      </c>
      <c r="C397" s="204" t="s">
        <v>714</v>
      </c>
      <c r="D397" s="205">
        <v>3.9944890000000002</v>
      </c>
      <c r="E397" s="205">
        <v>8.6972500000000004</v>
      </c>
      <c r="F397" s="204" t="s">
        <v>212</v>
      </c>
      <c r="G397" s="204" t="s">
        <v>715</v>
      </c>
      <c r="H397" s="204" t="s">
        <v>170</v>
      </c>
      <c r="I397" s="206" t="str">
        <f t="shared" si="6"/>
        <v>EUI_EQ_I044</v>
      </c>
      <c r="J397" s="204" t="s">
        <v>736</v>
      </c>
      <c r="K397" s="5" t="s">
        <v>736</v>
      </c>
      <c r="L397" s="5" t="str">
        <f>VLOOKUP($K397,'Property names'!$A$1:$D$100,2,FALSE)</f>
        <v>Rotation over Z axis</v>
      </c>
      <c r="M397" s="5" t="str">
        <f>VLOOKUP($K397,'Property names'!$A$1:$D$100,3,FALSE)</f>
        <v>Degrees</v>
      </c>
      <c r="N397" s="5" t="str">
        <f>VLOOKUP($K397,'Property names'!$A$1:$D$100,4,FALSE)</f>
        <v>°</v>
      </c>
      <c r="O397" s="204" t="s">
        <v>1158</v>
      </c>
      <c r="P397" s="204" t="s">
        <v>1159</v>
      </c>
      <c r="Q397" s="5" t="s">
        <v>653</v>
      </c>
    </row>
    <row r="398" spans="1:17" ht="15">
      <c r="A398" s="204" t="s">
        <v>693</v>
      </c>
      <c r="B398" s="209" t="s">
        <v>697</v>
      </c>
      <c r="C398" s="204" t="s">
        <v>714</v>
      </c>
      <c r="D398" s="205">
        <v>3.9944890000000002</v>
      </c>
      <c r="E398" s="205">
        <v>8.6972500000000004</v>
      </c>
      <c r="F398" s="204" t="s">
        <v>212</v>
      </c>
      <c r="G398" s="204" t="s">
        <v>715</v>
      </c>
      <c r="H398" s="204" t="s">
        <v>170</v>
      </c>
      <c r="I398" s="206" t="str">
        <f t="shared" si="6"/>
        <v>EUI_EQ_I044</v>
      </c>
      <c r="J398" s="204" t="s">
        <v>679</v>
      </c>
      <c r="K398" s="204" t="s">
        <v>652</v>
      </c>
      <c r="L398" s="5" t="str">
        <f>VLOOKUP($K398,'Property names'!$A$1:$D$100,2,FALSE)</f>
        <v>The measure of the hotness or coldness of the air.</v>
      </c>
      <c r="M398" s="5" t="str">
        <f>VLOOKUP($K398,'Property names'!$A$1:$D$100,3,FALSE)</f>
        <v>Degrees Celsius</v>
      </c>
      <c r="N398" s="5" t="str">
        <f>VLOOKUP($K398,'Property names'!$A$1:$D$100,4,FALSE)</f>
        <v>ºC</v>
      </c>
      <c r="O398" s="204" t="s">
        <v>1160</v>
      </c>
      <c r="P398" s="204" t="s">
        <v>1161</v>
      </c>
      <c r="Q398" s="5" t="s">
        <v>653</v>
      </c>
    </row>
    <row r="399" spans="1:17" ht="15">
      <c r="A399" s="204" t="s">
        <v>693</v>
      </c>
      <c r="B399" s="209" t="s">
        <v>697</v>
      </c>
      <c r="C399" s="204" t="s">
        <v>714</v>
      </c>
      <c r="D399" s="205">
        <v>3.9944890000000002</v>
      </c>
      <c r="E399" s="205">
        <v>8.6972500000000004</v>
      </c>
      <c r="F399" s="204" t="s">
        <v>212</v>
      </c>
      <c r="G399" s="204" t="s">
        <v>715</v>
      </c>
      <c r="H399" s="204" t="s">
        <v>170</v>
      </c>
      <c r="I399" s="206" t="str">
        <f t="shared" si="6"/>
        <v>EUI_EQ_I044</v>
      </c>
      <c r="J399" s="204" t="s">
        <v>654</v>
      </c>
      <c r="K399" s="204" t="s">
        <v>655</v>
      </c>
      <c r="L399" s="5" t="str">
        <f>VLOOKUP($K399,'Property names'!$A$1:$D$100,2,FALSE)</f>
        <v>The amount of moisture or water vapor present in the air, often expressed as a percentage of the maximum amount the air could hold at a given temperature.</v>
      </c>
      <c r="M399" s="5" t="str">
        <f>VLOOKUP($K399,'Property names'!$A$1:$D$100,3,FALSE)</f>
        <v>Percentage</v>
      </c>
      <c r="N399" s="5" t="str">
        <f>VLOOKUP($K399,'Property names'!$A$1:$D$100,4,FALSE)</f>
        <v>%</v>
      </c>
      <c r="O399" s="204" t="s">
        <v>1162</v>
      </c>
      <c r="P399" s="204" t="s">
        <v>1163</v>
      </c>
      <c r="Q399" s="5" t="s">
        <v>653</v>
      </c>
    </row>
    <row r="400" spans="1:17" ht="15">
      <c r="A400" s="207" t="s">
        <v>693</v>
      </c>
      <c r="B400" s="209" t="s">
        <v>697</v>
      </c>
      <c r="C400" s="204" t="s">
        <v>714</v>
      </c>
      <c r="D400" s="205">
        <v>3.9944890000000002</v>
      </c>
      <c r="E400" s="205">
        <v>8.6972500000000004</v>
      </c>
      <c r="F400" s="204" t="s">
        <v>212</v>
      </c>
      <c r="G400" s="204" t="s">
        <v>715</v>
      </c>
      <c r="H400" s="204" t="s">
        <v>170</v>
      </c>
      <c r="I400" s="206" t="str">
        <f t="shared" si="6"/>
        <v>EUI_EQ_I044</v>
      </c>
      <c r="J400" s="204" t="s">
        <v>743</v>
      </c>
      <c r="K400" s="204" t="s">
        <v>692</v>
      </c>
      <c r="L400" s="5" t="str">
        <f>VLOOKUP($K400,'Property names'!$A$1:$D$100,2,FALSE)</f>
        <v>The electrical potential in a battery, indicating its charge level.</v>
      </c>
      <c r="M400" s="5" t="str">
        <f>VLOOKUP($K400,'Property names'!$A$1:$D$100,3,FALSE)</f>
        <v>Millivolts</v>
      </c>
      <c r="N400" s="5" t="str">
        <f>VLOOKUP($K400,'Property names'!$A$1:$D$100,4,FALSE)</f>
        <v>mV</v>
      </c>
      <c r="O400" s="204" t="s">
        <v>1164</v>
      </c>
      <c r="P400" s="204" t="s">
        <v>1165</v>
      </c>
      <c r="Q400" s="5" t="s">
        <v>653</v>
      </c>
    </row>
    <row r="401" spans="1:17" ht="15">
      <c r="A401" s="204" t="s">
        <v>693</v>
      </c>
      <c r="B401" s="209" t="s">
        <v>697</v>
      </c>
      <c r="C401" s="204" t="s">
        <v>714</v>
      </c>
      <c r="D401" s="205">
        <v>3.9944890000000002</v>
      </c>
      <c r="E401" s="205">
        <v>8.6972500000000004</v>
      </c>
      <c r="F401" s="204" t="s">
        <v>214</v>
      </c>
      <c r="G401" s="204" t="s">
        <v>715</v>
      </c>
      <c r="H401" s="204" t="s">
        <v>170</v>
      </c>
      <c r="I401" s="206" t="str">
        <f t="shared" si="6"/>
        <v>EUI_EQ_I045</v>
      </c>
      <c r="J401" s="204" t="s">
        <v>716</v>
      </c>
      <c r="K401" s="5" t="s">
        <v>716</v>
      </c>
      <c r="L401" s="5" t="str">
        <f>VLOOKUP($K401,'Property names'!$A$1:$D$100,2,FALSE)</f>
        <v>UTC epoch time when the data were collected</v>
      </c>
      <c r="M401" s="5" t="str">
        <f>VLOOKUP($K401,'Property names'!$A$1:$D$100,3,FALSE)</f>
        <v>Seconds</v>
      </c>
      <c r="N401" s="5" t="str">
        <f>VLOOKUP($K401,'Property names'!$A$1:$D$100,4,FALSE)</f>
        <v>s</v>
      </c>
      <c r="O401" s="204" t="s">
        <v>1166</v>
      </c>
      <c r="P401" s="204" t="s">
        <v>1167</v>
      </c>
      <c r="Q401" s="5" t="s">
        <v>653</v>
      </c>
    </row>
    <row r="402" spans="1:17" ht="15">
      <c r="A402" s="204" t="s">
        <v>693</v>
      </c>
      <c r="B402" s="209" t="s">
        <v>697</v>
      </c>
      <c r="C402" s="204" t="s">
        <v>714</v>
      </c>
      <c r="D402" s="205">
        <v>3.9944890000000002</v>
      </c>
      <c r="E402" s="205">
        <v>8.6972500000000004</v>
      </c>
      <c r="F402" s="204" t="s">
        <v>214</v>
      </c>
      <c r="G402" s="204" t="s">
        <v>715</v>
      </c>
      <c r="H402" s="204" t="s">
        <v>170</v>
      </c>
      <c r="I402" s="206" t="str">
        <f t="shared" si="6"/>
        <v>EUI_EQ_I045</v>
      </c>
      <c r="J402" s="204" t="s">
        <v>719</v>
      </c>
      <c r="K402" s="5" t="s">
        <v>719</v>
      </c>
      <c r="L402" s="5" t="str">
        <f>VLOOKUP($K402,'Property names'!$A$1:$D$100,2,FALSE)</f>
        <v>Normalized Difference Vegetation Index</v>
      </c>
      <c r="M402" s="5" t="str">
        <f>VLOOKUP($K402,'Property names'!$A$1:$D$100,3,FALSE)</f>
        <v>-</v>
      </c>
      <c r="N402" s="5" t="str">
        <f>VLOOKUP($K402,'Property names'!$A$1:$D$100,4,FALSE)</f>
        <v>-</v>
      </c>
      <c r="O402" s="204" t="s">
        <v>1168</v>
      </c>
      <c r="P402" s="204" t="s">
        <v>1169</v>
      </c>
      <c r="Q402" s="5" t="s">
        <v>653</v>
      </c>
    </row>
    <row r="403" spans="1:17" ht="15">
      <c r="A403" s="204" t="s">
        <v>693</v>
      </c>
      <c r="B403" s="209" t="s">
        <v>697</v>
      </c>
      <c r="C403" s="204" t="s">
        <v>714</v>
      </c>
      <c r="D403" s="205">
        <v>3.9944890000000002</v>
      </c>
      <c r="E403" s="205">
        <v>8.6972500000000004</v>
      </c>
      <c r="F403" s="204" t="s">
        <v>214</v>
      </c>
      <c r="G403" s="204" t="s">
        <v>715</v>
      </c>
      <c r="H403" s="204" t="s">
        <v>170</v>
      </c>
      <c r="I403" s="206" t="str">
        <f t="shared" si="6"/>
        <v>EUI_EQ_I045</v>
      </c>
      <c r="J403" s="204" t="s">
        <v>722</v>
      </c>
      <c r="K403" s="5" t="s">
        <v>723</v>
      </c>
      <c r="L403" s="5" t="str">
        <f>VLOOKUP($K403,'Property names'!$A$1:$D$100,2,FALSE)</f>
        <v>Differential measurement of trunk radial growth</v>
      </c>
      <c r="M403" s="5" t="str">
        <f>VLOOKUP($K403,'Property names'!$A$1:$D$100,3,FALSE)</f>
        <v>Millimeters</v>
      </c>
      <c r="N403" s="5" t="str">
        <f>VLOOKUP($K403,'Property names'!$A$1:$D$100,4,FALSE)</f>
        <v>mm</v>
      </c>
      <c r="O403" s="204" t="s">
        <v>1170</v>
      </c>
      <c r="P403" s="204" t="s">
        <v>1171</v>
      </c>
      <c r="Q403" s="5" t="s">
        <v>653</v>
      </c>
    </row>
    <row r="404" spans="1:17" ht="15">
      <c r="A404" s="204" t="s">
        <v>693</v>
      </c>
      <c r="B404" s="209" t="s">
        <v>697</v>
      </c>
      <c r="C404" s="204" t="s">
        <v>714</v>
      </c>
      <c r="D404" s="205">
        <v>3.9944890000000002</v>
      </c>
      <c r="E404" s="205">
        <v>8.6972500000000004</v>
      </c>
      <c r="F404" s="204" t="s">
        <v>214</v>
      </c>
      <c r="G404" s="204" t="s">
        <v>715</v>
      </c>
      <c r="H404" s="204" t="s">
        <v>170</v>
      </c>
      <c r="I404" s="206" t="str">
        <f t="shared" si="6"/>
        <v>EUI_EQ_I045</v>
      </c>
      <c r="J404" s="204" t="s">
        <v>726</v>
      </c>
      <c r="K404" s="5" t="s">
        <v>727</v>
      </c>
      <c r="L404" s="5" t="str">
        <f>VLOOKUP($K404,'Property names'!$A$1:$D$100,2,FALSE)</f>
        <v>Sap velocity</v>
      </c>
      <c r="M404" s="5" t="str">
        <f>VLOOKUP($K404,'Property names'!$A$1:$D$100,3,FALSE)</f>
        <v>Centimeter per Second</v>
      </c>
      <c r="N404" s="5" t="str">
        <f>VLOOKUP($K404,'Property names'!$A$1:$D$100,4,FALSE)</f>
        <v>cm/h</v>
      </c>
      <c r="O404" s="204" t="s">
        <v>1172</v>
      </c>
      <c r="P404" s="204" t="s">
        <v>1173</v>
      </c>
      <c r="Q404" s="5" t="s">
        <v>653</v>
      </c>
    </row>
    <row r="405" spans="1:17" ht="15">
      <c r="A405" s="204" t="s">
        <v>693</v>
      </c>
      <c r="B405" s="209" t="s">
        <v>697</v>
      </c>
      <c r="C405" s="204" t="s">
        <v>714</v>
      </c>
      <c r="D405" s="205">
        <v>3.9944890000000002</v>
      </c>
      <c r="E405" s="205">
        <v>8.6972500000000004</v>
      </c>
      <c r="F405" s="204" t="s">
        <v>214</v>
      </c>
      <c r="G405" s="204" t="s">
        <v>715</v>
      </c>
      <c r="H405" s="204" t="s">
        <v>170</v>
      </c>
      <c r="I405" s="206" t="str">
        <f t="shared" si="6"/>
        <v>EUI_EQ_I045</v>
      </c>
      <c r="J405" s="204" t="s">
        <v>730</v>
      </c>
      <c r="K405" s="5" t="s">
        <v>730</v>
      </c>
      <c r="L405" s="5" t="str">
        <f>VLOOKUP($K405,'Property names'!$A$1:$D$100,2,FALSE)</f>
        <v>Rotation over X axis</v>
      </c>
      <c r="M405" s="5" t="str">
        <f>VLOOKUP($K405,'Property names'!$A$1:$D$100,3,FALSE)</f>
        <v>Degrees</v>
      </c>
      <c r="N405" s="5" t="str">
        <f>VLOOKUP($K405,'Property names'!$A$1:$D$100,4,FALSE)</f>
        <v>°</v>
      </c>
      <c r="O405" s="204" t="s">
        <v>1174</v>
      </c>
      <c r="P405" s="204" t="s">
        <v>1175</v>
      </c>
      <c r="Q405" s="5" t="s">
        <v>653</v>
      </c>
    </row>
    <row r="406" spans="1:17" ht="15">
      <c r="A406" s="204" t="s">
        <v>693</v>
      </c>
      <c r="B406" s="209" t="s">
        <v>697</v>
      </c>
      <c r="C406" s="204" t="s">
        <v>714</v>
      </c>
      <c r="D406" s="205">
        <v>3.9944890000000002</v>
      </c>
      <c r="E406" s="205">
        <v>8.6972500000000004</v>
      </c>
      <c r="F406" s="204" t="s">
        <v>214</v>
      </c>
      <c r="G406" s="204" t="s">
        <v>715</v>
      </c>
      <c r="H406" s="204" t="s">
        <v>170</v>
      </c>
      <c r="I406" s="206" t="str">
        <f t="shared" si="6"/>
        <v>EUI_EQ_I045</v>
      </c>
      <c r="J406" s="204" t="s">
        <v>733</v>
      </c>
      <c r="K406" s="5" t="s">
        <v>733</v>
      </c>
      <c r="L406" s="5" t="str">
        <f>VLOOKUP($K406,'Property names'!$A$1:$D$100,2,FALSE)</f>
        <v>Rotation over Y axis</v>
      </c>
      <c r="M406" s="5" t="str">
        <f>VLOOKUP($K406,'Property names'!$A$1:$D$100,3,FALSE)</f>
        <v>Degrees</v>
      </c>
      <c r="N406" s="5" t="str">
        <f>VLOOKUP($K406,'Property names'!$A$1:$D$100,4,FALSE)</f>
        <v>°</v>
      </c>
      <c r="O406" s="204" t="s">
        <v>1176</v>
      </c>
      <c r="P406" s="204" t="s">
        <v>1177</v>
      </c>
      <c r="Q406" s="5" t="s">
        <v>653</v>
      </c>
    </row>
    <row r="407" spans="1:17" ht="15">
      <c r="A407" s="204" t="s">
        <v>693</v>
      </c>
      <c r="B407" s="209" t="s">
        <v>697</v>
      </c>
      <c r="C407" s="204" t="s">
        <v>714</v>
      </c>
      <c r="D407" s="205">
        <v>3.9944890000000002</v>
      </c>
      <c r="E407" s="205">
        <v>8.6972500000000004</v>
      </c>
      <c r="F407" s="204" t="s">
        <v>214</v>
      </c>
      <c r="G407" s="204" t="s">
        <v>715</v>
      </c>
      <c r="H407" s="204" t="s">
        <v>170</v>
      </c>
      <c r="I407" s="206" t="str">
        <f t="shared" si="6"/>
        <v>EUI_EQ_I045</v>
      </c>
      <c r="J407" s="204" t="s">
        <v>736</v>
      </c>
      <c r="K407" s="5" t="s">
        <v>736</v>
      </c>
      <c r="L407" s="5" t="str">
        <f>VLOOKUP($K407,'Property names'!$A$1:$D$100,2,FALSE)</f>
        <v>Rotation over Z axis</v>
      </c>
      <c r="M407" s="5" t="str">
        <f>VLOOKUP($K407,'Property names'!$A$1:$D$100,3,FALSE)</f>
        <v>Degrees</v>
      </c>
      <c r="N407" s="5" t="str">
        <f>VLOOKUP($K407,'Property names'!$A$1:$D$100,4,FALSE)</f>
        <v>°</v>
      </c>
      <c r="O407" s="204" t="s">
        <v>1178</v>
      </c>
      <c r="P407" s="204" t="s">
        <v>1179</v>
      </c>
      <c r="Q407" s="5" t="s">
        <v>653</v>
      </c>
    </row>
    <row r="408" spans="1:17" ht="15">
      <c r="A408" s="204" t="s">
        <v>693</v>
      </c>
      <c r="B408" s="209" t="s">
        <v>697</v>
      </c>
      <c r="C408" s="204" t="s">
        <v>714</v>
      </c>
      <c r="D408" s="205">
        <v>3.9944890000000002</v>
      </c>
      <c r="E408" s="205">
        <v>8.6972500000000004</v>
      </c>
      <c r="F408" s="204" t="s">
        <v>214</v>
      </c>
      <c r="G408" s="204" t="s">
        <v>715</v>
      </c>
      <c r="H408" s="204" t="s">
        <v>170</v>
      </c>
      <c r="I408" s="206" t="str">
        <f t="shared" si="6"/>
        <v>EUI_EQ_I045</v>
      </c>
      <c r="J408" s="204" t="s">
        <v>679</v>
      </c>
      <c r="K408" s="204" t="s">
        <v>652</v>
      </c>
      <c r="L408" s="5" t="str">
        <f>VLOOKUP($K408,'Property names'!$A$1:$D$100,2,FALSE)</f>
        <v>The measure of the hotness or coldness of the air.</v>
      </c>
      <c r="M408" s="5" t="str">
        <f>VLOOKUP($K408,'Property names'!$A$1:$D$100,3,FALSE)</f>
        <v>Degrees Celsius</v>
      </c>
      <c r="N408" s="5" t="str">
        <f>VLOOKUP($K408,'Property names'!$A$1:$D$100,4,FALSE)</f>
        <v>ºC</v>
      </c>
      <c r="O408" s="204" t="s">
        <v>1180</v>
      </c>
      <c r="P408" s="204" t="s">
        <v>1181</v>
      </c>
      <c r="Q408" s="5" t="s">
        <v>653</v>
      </c>
    </row>
    <row r="409" spans="1:17" ht="15">
      <c r="A409" s="204" t="s">
        <v>693</v>
      </c>
      <c r="B409" s="209" t="s">
        <v>697</v>
      </c>
      <c r="C409" s="204" t="s">
        <v>714</v>
      </c>
      <c r="D409" s="205">
        <v>3.9944890000000002</v>
      </c>
      <c r="E409" s="205">
        <v>8.6972500000000004</v>
      </c>
      <c r="F409" s="204" t="s">
        <v>214</v>
      </c>
      <c r="G409" s="204" t="s">
        <v>715</v>
      </c>
      <c r="H409" s="204" t="s">
        <v>170</v>
      </c>
      <c r="I409" s="206" t="str">
        <f t="shared" si="6"/>
        <v>EUI_EQ_I045</v>
      </c>
      <c r="J409" s="204" t="s">
        <v>654</v>
      </c>
      <c r="K409" s="204" t="s">
        <v>655</v>
      </c>
      <c r="L409" s="5" t="str">
        <f>VLOOKUP($K409,'Property names'!$A$1:$D$100,2,FALSE)</f>
        <v>The amount of moisture or water vapor present in the air, often expressed as a percentage of the maximum amount the air could hold at a given temperature.</v>
      </c>
      <c r="M409" s="5" t="str">
        <f>VLOOKUP($K409,'Property names'!$A$1:$D$100,3,FALSE)</f>
        <v>Percentage</v>
      </c>
      <c r="N409" s="5" t="str">
        <f>VLOOKUP($K409,'Property names'!$A$1:$D$100,4,FALSE)</f>
        <v>%</v>
      </c>
      <c r="O409" s="204" t="s">
        <v>1182</v>
      </c>
      <c r="P409" s="204" t="s">
        <v>1183</v>
      </c>
      <c r="Q409" s="5" t="s">
        <v>653</v>
      </c>
    </row>
    <row r="410" spans="1:17" ht="15">
      <c r="A410" s="207" t="s">
        <v>693</v>
      </c>
      <c r="B410" s="209" t="s">
        <v>697</v>
      </c>
      <c r="C410" s="204" t="s">
        <v>714</v>
      </c>
      <c r="D410" s="205">
        <v>3.9944890000000002</v>
      </c>
      <c r="E410" s="205">
        <v>8.6972500000000004</v>
      </c>
      <c r="F410" s="204" t="s">
        <v>214</v>
      </c>
      <c r="G410" s="204" t="s">
        <v>715</v>
      </c>
      <c r="H410" s="204" t="s">
        <v>170</v>
      </c>
      <c r="I410" s="206" t="str">
        <f t="shared" si="6"/>
        <v>EUI_EQ_I045</v>
      </c>
      <c r="J410" s="204" t="s">
        <v>743</v>
      </c>
      <c r="K410" s="204" t="s">
        <v>692</v>
      </c>
      <c r="L410" s="5" t="str">
        <f>VLOOKUP($K410,'Property names'!$A$1:$D$100,2,FALSE)</f>
        <v>The electrical potential in a battery, indicating its charge level.</v>
      </c>
      <c r="M410" s="5" t="str">
        <f>VLOOKUP($K410,'Property names'!$A$1:$D$100,3,FALSE)</f>
        <v>Millivolts</v>
      </c>
      <c r="N410" s="5" t="str">
        <f>VLOOKUP($K410,'Property names'!$A$1:$D$100,4,FALSE)</f>
        <v>mV</v>
      </c>
      <c r="O410" s="204" t="s">
        <v>1184</v>
      </c>
      <c r="P410" s="204" t="s">
        <v>1185</v>
      </c>
      <c r="Q410" s="5" t="s">
        <v>653</v>
      </c>
    </row>
    <row r="411" spans="1:17" ht="15">
      <c r="A411" s="204" t="s">
        <v>693</v>
      </c>
      <c r="B411" s="209" t="s">
        <v>697</v>
      </c>
      <c r="C411" s="204" t="s">
        <v>714</v>
      </c>
      <c r="D411" s="205">
        <v>3.9944890000000002</v>
      </c>
      <c r="E411" s="205">
        <v>8.6972500000000004</v>
      </c>
      <c r="F411" s="204" t="s">
        <v>216</v>
      </c>
      <c r="G411" s="204" t="s">
        <v>715</v>
      </c>
      <c r="H411" s="204" t="s">
        <v>170</v>
      </c>
      <c r="I411" s="206" t="str">
        <f t="shared" si="6"/>
        <v>EUI_EQ_I046</v>
      </c>
      <c r="J411" s="204" t="s">
        <v>716</v>
      </c>
      <c r="K411" s="5" t="s">
        <v>716</v>
      </c>
      <c r="L411" s="5" t="str">
        <f>VLOOKUP($K411,'Property names'!$A$1:$D$100,2,FALSE)</f>
        <v>UTC epoch time when the data were collected</v>
      </c>
      <c r="M411" s="5" t="str">
        <f>VLOOKUP($K411,'Property names'!$A$1:$D$100,3,FALSE)</f>
        <v>Seconds</v>
      </c>
      <c r="N411" s="5" t="str">
        <f>VLOOKUP($K411,'Property names'!$A$1:$D$100,4,FALSE)</f>
        <v>s</v>
      </c>
      <c r="O411" s="204" t="s">
        <v>1186</v>
      </c>
      <c r="P411" s="204" t="s">
        <v>1187</v>
      </c>
      <c r="Q411" s="5" t="s">
        <v>653</v>
      </c>
    </row>
    <row r="412" spans="1:17" ht="15">
      <c r="A412" s="204" t="s">
        <v>693</v>
      </c>
      <c r="B412" s="209" t="s">
        <v>697</v>
      </c>
      <c r="C412" s="204" t="s">
        <v>714</v>
      </c>
      <c r="D412" s="205">
        <v>3.9944890000000002</v>
      </c>
      <c r="E412" s="205">
        <v>8.6972500000000004</v>
      </c>
      <c r="F412" s="204" t="s">
        <v>216</v>
      </c>
      <c r="G412" s="204" t="s">
        <v>715</v>
      </c>
      <c r="H412" s="204" t="s">
        <v>170</v>
      </c>
      <c r="I412" s="206" t="str">
        <f t="shared" si="6"/>
        <v>EUI_EQ_I046</v>
      </c>
      <c r="J412" s="204" t="s">
        <v>719</v>
      </c>
      <c r="K412" s="5" t="s">
        <v>719</v>
      </c>
      <c r="L412" s="5" t="str">
        <f>VLOOKUP($K412,'Property names'!$A$1:$D$100,2,FALSE)</f>
        <v>Normalized Difference Vegetation Index</v>
      </c>
      <c r="M412" s="5" t="str">
        <f>VLOOKUP($K412,'Property names'!$A$1:$D$100,3,FALSE)</f>
        <v>-</v>
      </c>
      <c r="N412" s="5" t="str">
        <f>VLOOKUP($K412,'Property names'!$A$1:$D$100,4,FALSE)</f>
        <v>-</v>
      </c>
      <c r="O412" s="204" t="s">
        <v>1188</v>
      </c>
      <c r="P412" s="204" t="s">
        <v>1189</v>
      </c>
      <c r="Q412" s="5" t="s">
        <v>653</v>
      </c>
    </row>
    <row r="413" spans="1:17" ht="15">
      <c r="A413" s="204" t="s">
        <v>693</v>
      </c>
      <c r="B413" s="209" t="s">
        <v>697</v>
      </c>
      <c r="C413" s="204" t="s">
        <v>714</v>
      </c>
      <c r="D413" s="205">
        <v>3.9944890000000002</v>
      </c>
      <c r="E413" s="205">
        <v>8.6972500000000004</v>
      </c>
      <c r="F413" s="204" t="s">
        <v>216</v>
      </c>
      <c r="G413" s="204" t="s">
        <v>715</v>
      </c>
      <c r="H413" s="204" t="s">
        <v>170</v>
      </c>
      <c r="I413" s="206" t="str">
        <f t="shared" si="6"/>
        <v>EUI_EQ_I046</v>
      </c>
      <c r="J413" s="204" t="s">
        <v>722</v>
      </c>
      <c r="K413" s="5" t="s">
        <v>723</v>
      </c>
      <c r="L413" s="5" t="str">
        <f>VLOOKUP($K413,'Property names'!$A$1:$D$100,2,FALSE)</f>
        <v>Differential measurement of trunk radial growth</v>
      </c>
      <c r="M413" s="5" t="str">
        <f>VLOOKUP($K413,'Property names'!$A$1:$D$100,3,FALSE)</f>
        <v>Millimeters</v>
      </c>
      <c r="N413" s="5" t="str">
        <f>VLOOKUP($K413,'Property names'!$A$1:$D$100,4,FALSE)</f>
        <v>mm</v>
      </c>
      <c r="O413" s="204" t="s">
        <v>1190</v>
      </c>
      <c r="P413" s="204" t="s">
        <v>1191</v>
      </c>
      <c r="Q413" s="5" t="s">
        <v>653</v>
      </c>
    </row>
    <row r="414" spans="1:17" ht="15">
      <c r="A414" s="204" t="s">
        <v>693</v>
      </c>
      <c r="B414" s="209" t="s">
        <v>697</v>
      </c>
      <c r="C414" s="204" t="s">
        <v>714</v>
      </c>
      <c r="D414" s="205">
        <v>3.9944890000000002</v>
      </c>
      <c r="E414" s="205">
        <v>8.6972500000000004</v>
      </c>
      <c r="F414" s="204" t="s">
        <v>216</v>
      </c>
      <c r="G414" s="204" t="s">
        <v>715</v>
      </c>
      <c r="H414" s="204" t="s">
        <v>170</v>
      </c>
      <c r="I414" s="206" t="str">
        <f t="shared" si="6"/>
        <v>EUI_EQ_I046</v>
      </c>
      <c r="J414" s="204" t="s">
        <v>726</v>
      </c>
      <c r="K414" s="5" t="s">
        <v>727</v>
      </c>
      <c r="L414" s="5" t="str">
        <f>VLOOKUP($K414,'Property names'!$A$1:$D$100,2,FALSE)</f>
        <v>Sap velocity</v>
      </c>
      <c r="M414" s="5" t="str">
        <f>VLOOKUP($K414,'Property names'!$A$1:$D$100,3,FALSE)</f>
        <v>Centimeter per Second</v>
      </c>
      <c r="N414" s="5" t="str">
        <f>VLOOKUP($K414,'Property names'!$A$1:$D$100,4,FALSE)</f>
        <v>cm/h</v>
      </c>
      <c r="O414" s="204" t="s">
        <v>1192</v>
      </c>
      <c r="P414" s="204" t="s">
        <v>1193</v>
      </c>
      <c r="Q414" s="5" t="s">
        <v>653</v>
      </c>
    </row>
    <row r="415" spans="1:17" ht="15">
      <c r="A415" s="204" t="s">
        <v>693</v>
      </c>
      <c r="B415" s="209" t="s">
        <v>697</v>
      </c>
      <c r="C415" s="204" t="s">
        <v>714</v>
      </c>
      <c r="D415" s="205">
        <v>3.9944890000000002</v>
      </c>
      <c r="E415" s="205">
        <v>8.6972500000000004</v>
      </c>
      <c r="F415" s="204" t="s">
        <v>216</v>
      </c>
      <c r="G415" s="204" t="s">
        <v>715</v>
      </c>
      <c r="H415" s="204" t="s">
        <v>170</v>
      </c>
      <c r="I415" s="206" t="str">
        <f t="shared" si="6"/>
        <v>EUI_EQ_I046</v>
      </c>
      <c r="J415" s="204" t="s">
        <v>730</v>
      </c>
      <c r="K415" s="5" t="s">
        <v>730</v>
      </c>
      <c r="L415" s="5" t="str">
        <f>VLOOKUP($K415,'Property names'!$A$1:$D$100,2,FALSE)</f>
        <v>Rotation over X axis</v>
      </c>
      <c r="M415" s="5" t="str">
        <f>VLOOKUP($K415,'Property names'!$A$1:$D$100,3,FALSE)</f>
        <v>Degrees</v>
      </c>
      <c r="N415" s="5" t="str">
        <f>VLOOKUP($K415,'Property names'!$A$1:$D$100,4,FALSE)</f>
        <v>°</v>
      </c>
      <c r="O415" s="204" t="s">
        <v>1194</v>
      </c>
      <c r="P415" s="204" t="s">
        <v>1195</v>
      </c>
      <c r="Q415" s="5" t="s">
        <v>653</v>
      </c>
    </row>
    <row r="416" spans="1:17" ht="15">
      <c r="A416" s="204" t="s">
        <v>693</v>
      </c>
      <c r="B416" s="209" t="s">
        <v>697</v>
      </c>
      <c r="C416" s="204" t="s">
        <v>714</v>
      </c>
      <c r="D416" s="205">
        <v>3.9944890000000002</v>
      </c>
      <c r="E416" s="205">
        <v>8.6972500000000004</v>
      </c>
      <c r="F416" s="204" t="s">
        <v>216</v>
      </c>
      <c r="G416" s="204" t="s">
        <v>715</v>
      </c>
      <c r="H416" s="204" t="s">
        <v>170</v>
      </c>
      <c r="I416" s="206" t="str">
        <f t="shared" si="6"/>
        <v>EUI_EQ_I046</v>
      </c>
      <c r="J416" s="204" t="s">
        <v>733</v>
      </c>
      <c r="K416" s="5" t="s">
        <v>733</v>
      </c>
      <c r="L416" s="5" t="str">
        <f>VLOOKUP($K416,'Property names'!$A$1:$D$100,2,FALSE)</f>
        <v>Rotation over Y axis</v>
      </c>
      <c r="M416" s="5" t="str">
        <f>VLOOKUP($K416,'Property names'!$A$1:$D$100,3,FALSE)</f>
        <v>Degrees</v>
      </c>
      <c r="N416" s="5" t="str">
        <f>VLOOKUP($K416,'Property names'!$A$1:$D$100,4,FALSE)</f>
        <v>°</v>
      </c>
      <c r="O416" s="204" t="s">
        <v>1196</v>
      </c>
      <c r="P416" s="204" t="s">
        <v>1197</v>
      </c>
      <c r="Q416" s="5" t="s">
        <v>653</v>
      </c>
    </row>
    <row r="417" spans="1:17" ht="15">
      <c r="A417" s="204" t="s">
        <v>693</v>
      </c>
      <c r="B417" s="209" t="s">
        <v>697</v>
      </c>
      <c r="C417" s="204" t="s">
        <v>714</v>
      </c>
      <c r="D417" s="205">
        <v>3.9944890000000002</v>
      </c>
      <c r="E417" s="205">
        <v>8.6972500000000004</v>
      </c>
      <c r="F417" s="204" t="s">
        <v>216</v>
      </c>
      <c r="G417" s="204" t="s">
        <v>715</v>
      </c>
      <c r="H417" s="204" t="s">
        <v>170</v>
      </c>
      <c r="I417" s="206" t="str">
        <f t="shared" si="6"/>
        <v>EUI_EQ_I046</v>
      </c>
      <c r="J417" s="204" t="s">
        <v>736</v>
      </c>
      <c r="K417" s="5" t="s">
        <v>736</v>
      </c>
      <c r="L417" s="5" t="str">
        <f>VLOOKUP($K417,'Property names'!$A$1:$D$100,2,FALSE)</f>
        <v>Rotation over Z axis</v>
      </c>
      <c r="M417" s="5" t="str">
        <f>VLOOKUP($K417,'Property names'!$A$1:$D$100,3,FALSE)</f>
        <v>Degrees</v>
      </c>
      <c r="N417" s="5" t="str">
        <f>VLOOKUP($K417,'Property names'!$A$1:$D$100,4,FALSE)</f>
        <v>°</v>
      </c>
      <c r="O417" s="204" t="s">
        <v>1198</v>
      </c>
      <c r="P417" s="204" t="s">
        <v>1199</v>
      </c>
      <c r="Q417" s="5" t="s">
        <v>653</v>
      </c>
    </row>
    <row r="418" spans="1:17" ht="15">
      <c r="A418" s="204" t="s">
        <v>693</v>
      </c>
      <c r="B418" s="209" t="s">
        <v>697</v>
      </c>
      <c r="C418" s="204" t="s">
        <v>714</v>
      </c>
      <c r="D418" s="205">
        <v>3.9944890000000002</v>
      </c>
      <c r="E418" s="205">
        <v>8.6972500000000004</v>
      </c>
      <c r="F418" s="204" t="s">
        <v>216</v>
      </c>
      <c r="G418" s="204" t="s">
        <v>715</v>
      </c>
      <c r="H418" s="204" t="s">
        <v>170</v>
      </c>
      <c r="I418" s="206" t="str">
        <f t="shared" si="6"/>
        <v>EUI_EQ_I046</v>
      </c>
      <c r="J418" s="204" t="s">
        <v>679</v>
      </c>
      <c r="K418" s="204" t="s">
        <v>652</v>
      </c>
      <c r="L418" s="5" t="str">
        <f>VLOOKUP($K418,'Property names'!$A$1:$D$100,2,FALSE)</f>
        <v>The measure of the hotness or coldness of the air.</v>
      </c>
      <c r="M418" s="5" t="str">
        <f>VLOOKUP($K418,'Property names'!$A$1:$D$100,3,FALSE)</f>
        <v>Degrees Celsius</v>
      </c>
      <c r="N418" s="5" t="str">
        <f>VLOOKUP($K418,'Property names'!$A$1:$D$100,4,FALSE)</f>
        <v>ºC</v>
      </c>
      <c r="O418" s="204" t="s">
        <v>1200</v>
      </c>
      <c r="P418" s="204" t="s">
        <v>1201</v>
      </c>
      <c r="Q418" s="5" t="s">
        <v>653</v>
      </c>
    </row>
    <row r="419" spans="1:17" ht="15">
      <c r="A419" s="204" t="s">
        <v>693</v>
      </c>
      <c r="B419" s="209" t="s">
        <v>697</v>
      </c>
      <c r="C419" s="204" t="s">
        <v>714</v>
      </c>
      <c r="D419" s="205">
        <v>3.9944890000000002</v>
      </c>
      <c r="E419" s="205">
        <v>8.6972500000000004</v>
      </c>
      <c r="F419" s="204" t="s">
        <v>216</v>
      </c>
      <c r="G419" s="204" t="s">
        <v>715</v>
      </c>
      <c r="H419" s="204" t="s">
        <v>170</v>
      </c>
      <c r="I419" s="206" t="str">
        <f t="shared" si="6"/>
        <v>EUI_EQ_I046</v>
      </c>
      <c r="J419" s="204" t="s">
        <v>654</v>
      </c>
      <c r="K419" s="204" t="s">
        <v>655</v>
      </c>
      <c r="L419" s="5" t="str">
        <f>VLOOKUP($K419,'Property names'!$A$1:$D$100,2,FALSE)</f>
        <v>The amount of moisture or water vapor present in the air, often expressed as a percentage of the maximum amount the air could hold at a given temperature.</v>
      </c>
      <c r="M419" s="5" t="str">
        <f>VLOOKUP($K419,'Property names'!$A$1:$D$100,3,FALSE)</f>
        <v>Percentage</v>
      </c>
      <c r="N419" s="5" t="str">
        <f>VLOOKUP($K419,'Property names'!$A$1:$D$100,4,FALSE)</f>
        <v>%</v>
      </c>
      <c r="O419" s="204" t="s">
        <v>1202</v>
      </c>
      <c r="P419" s="204" t="s">
        <v>1203</v>
      </c>
      <c r="Q419" s="5" t="s">
        <v>653</v>
      </c>
    </row>
    <row r="420" spans="1:17" ht="15">
      <c r="A420" s="207" t="s">
        <v>693</v>
      </c>
      <c r="B420" s="209" t="s">
        <v>697</v>
      </c>
      <c r="C420" s="204" t="s">
        <v>714</v>
      </c>
      <c r="D420" s="205">
        <v>3.9944890000000002</v>
      </c>
      <c r="E420" s="205">
        <v>8.6972500000000004</v>
      </c>
      <c r="F420" s="204" t="s">
        <v>216</v>
      </c>
      <c r="G420" s="204" t="s">
        <v>715</v>
      </c>
      <c r="H420" s="204" t="s">
        <v>170</v>
      </c>
      <c r="I420" s="206" t="str">
        <f t="shared" si="6"/>
        <v>EUI_EQ_I046</v>
      </c>
      <c r="J420" s="204" t="s">
        <v>743</v>
      </c>
      <c r="K420" s="204" t="s">
        <v>692</v>
      </c>
      <c r="L420" s="5" t="str">
        <f>VLOOKUP($K420,'Property names'!$A$1:$D$100,2,FALSE)</f>
        <v>The electrical potential in a battery, indicating its charge level.</v>
      </c>
      <c r="M420" s="5" t="str">
        <f>VLOOKUP($K420,'Property names'!$A$1:$D$100,3,FALSE)</f>
        <v>Millivolts</v>
      </c>
      <c r="N420" s="5" t="str">
        <f>VLOOKUP($K420,'Property names'!$A$1:$D$100,4,FALSE)</f>
        <v>mV</v>
      </c>
      <c r="O420" s="204" t="s">
        <v>1204</v>
      </c>
      <c r="P420" s="204" t="s">
        <v>1205</v>
      </c>
      <c r="Q420" s="5" t="s">
        <v>653</v>
      </c>
    </row>
    <row r="421" spans="1:17" ht="12.75">
      <c r="A421" s="5" t="s">
        <v>402</v>
      </c>
      <c r="B421" s="5" t="s">
        <v>1206</v>
      </c>
      <c r="C421" s="5" t="s">
        <v>1207</v>
      </c>
      <c r="D421" s="5">
        <v>34.061762000000002</v>
      </c>
      <c r="E421" s="5">
        <v>36.145623000000001</v>
      </c>
      <c r="F421" s="5" t="s">
        <v>1206</v>
      </c>
      <c r="G421" s="5" t="s">
        <v>1208</v>
      </c>
      <c r="H421" s="5" t="s">
        <v>1209</v>
      </c>
      <c r="I421" s="5" t="s">
        <v>1210</v>
      </c>
      <c r="J421" s="5" t="s">
        <v>1211</v>
      </c>
      <c r="K421" s="5" t="s">
        <v>1212</v>
      </c>
      <c r="L421" s="5" t="str">
        <f>VLOOKUP($K421,'Property names'!$A$1:$D$100,2,FALSE)</f>
        <v>The difference between the amount of moisture in the air and the maximum amount of moisture the air can hold at a given temperature.</v>
      </c>
      <c r="M421" s="5" t="str">
        <f>VLOOKUP($K421,'Property names'!$A$1:$D$100,3,FALSE)</f>
        <v>Kilopascal</v>
      </c>
      <c r="N421" s="5" t="str">
        <f>VLOOKUP($K421,'Property names'!$A$1:$D$100,4,FALSE)</f>
        <v>kPa</v>
      </c>
      <c r="O421" s="5" t="str">
        <f t="shared" ref="O421:O469" si="7">SUBSTITUTE(CONCATENATE(B421,"_",F421,"_",J421)," ","_")</f>
        <v>00204EB1_00204EB1_VPD_min</v>
      </c>
      <c r="P421" s="5" t="str">
        <f t="shared" ref="P421:P469" si="8">CONCATENATE("The datastream containing mesures of field ",B421," by sensor ",F421," which measures ",K421,".")</f>
        <v>The datastream containing mesures of field 00204EB1 by sensor 00204EB1 which measures VPD.</v>
      </c>
      <c r="Q421" s="5" t="s">
        <v>653</v>
      </c>
    </row>
    <row r="422" spans="1:17" ht="12.75">
      <c r="A422" s="5" t="s">
        <v>402</v>
      </c>
      <c r="B422" s="5" t="s">
        <v>1206</v>
      </c>
      <c r="C422" s="5" t="s">
        <v>1207</v>
      </c>
      <c r="D422" s="5">
        <v>34.061762000000002</v>
      </c>
      <c r="E422" s="5">
        <v>36.145623000000001</v>
      </c>
      <c r="F422" s="5" t="s">
        <v>1206</v>
      </c>
      <c r="G422" s="5" t="s">
        <v>1208</v>
      </c>
      <c r="H422" s="5" t="s">
        <v>1209</v>
      </c>
      <c r="I422" s="5" t="s">
        <v>1210</v>
      </c>
      <c r="J422" s="5" t="s">
        <v>1213</v>
      </c>
      <c r="K422" s="5" t="s">
        <v>1214</v>
      </c>
      <c r="L422" s="5" t="str">
        <f>VLOOKUP($K422,'Property names'!$A$1:$D$100,2,FALSE)</f>
        <v>The force exerted by the weight of the air above a given point on Earth's surface, which can vary with changes in weather and altitude.</v>
      </c>
      <c r="M422" s="5" t="str">
        <f>VLOOKUP($K422,'Property names'!$A$1:$D$100,3,FALSE)</f>
        <v>Kilopascal</v>
      </c>
      <c r="N422" s="5" t="str">
        <f>VLOOKUP($K422,'Property names'!$A$1:$D$100,4,FALSE)</f>
        <v>kPa</v>
      </c>
      <c r="O422" s="5" t="str">
        <f t="shared" si="7"/>
        <v>00204EB1_00204EB1_Air_pressure_avg</v>
      </c>
      <c r="P422" s="5" t="str">
        <f t="shared" si="8"/>
        <v>The datastream containing mesures of field 00204EB1 by sensor 00204EB1 which measures Atmospheric Pressure.</v>
      </c>
      <c r="Q422" s="5" t="s">
        <v>653</v>
      </c>
    </row>
    <row r="423" spans="1:17" ht="12.75">
      <c r="A423" s="5" t="s">
        <v>402</v>
      </c>
      <c r="B423" s="5" t="s">
        <v>1206</v>
      </c>
      <c r="C423" s="5" t="s">
        <v>1207</v>
      </c>
      <c r="D423" s="5">
        <v>34.061762000000002</v>
      </c>
      <c r="E423" s="5">
        <v>36.145623000000001</v>
      </c>
      <c r="F423" s="5" t="s">
        <v>1206</v>
      </c>
      <c r="G423" s="5" t="s">
        <v>1208</v>
      </c>
      <c r="H423" s="5" t="s">
        <v>1209</v>
      </c>
      <c r="I423" s="5" t="s">
        <v>1210</v>
      </c>
      <c r="J423" s="5" t="s">
        <v>1215</v>
      </c>
      <c r="K423" s="5" t="s">
        <v>1214</v>
      </c>
      <c r="L423" s="5" t="str">
        <f>VLOOKUP($K423,'Property names'!$A$1:$D$100,2,FALSE)</f>
        <v>The force exerted by the weight of the air above a given point on Earth's surface, which can vary with changes in weather and altitude.</v>
      </c>
      <c r="M423" s="5" t="str">
        <f>VLOOKUP($K423,'Property names'!$A$1:$D$100,3,FALSE)</f>
        <v>Kilopascal</v>
      </c>
      <c r="N423" s="5" t="str">
        <f>VLOOKUP($K423,'Property names'!$A$1:$D$100,4,FALSE)</f>
        <v>kPa</v>
      </c>
      <c r="O423" s="5" t="str">
        <f t="shared" si="7"/>
        <v>00204EB1_00204EB1_Air_pressure_max</v>
      </c>
      <c r="P423" s="5" t="str">
        <f t="shared" si="8"/>
        <v>The datastream containing mesures of field 00204EB1 by sensor 00204EB1 which measures Atmospheric Pressure.</v>
      </c>
      <c r="Q423" s="5" t="s">
        <v>653</v>
      </c>
    </row>
    <row r="424" spans="1:17" ht="12.75">
      <c r="A424" s="5" t="s">
        <v>402</v>
      </c>
      <c r="B424" s="5" t="s">
        <v>1206</v>
      </c>
      <c r="C424" s="5" t="s">
        <v>1207</v>
      </c>
      <c r="D424" s="5">
        <v>34.061762000000002</v>
      </c>
      <c r="E424" s="5">
        <v>36.145623000000001</v>
      </c>
      <c r="F424" s="5" t="s">
        <v>1206</v>
      </c>
      <c r="G424" s="5" t="s">
        <v>1208</v>
      </c>
      <c r="H424" s="5" t="s">
        <v>1209</v>
      </c>
      <c r="I424" s="5" t="s">
        <v>1210</v>
      </c>
      <c r="J424" s="5" t="s">
        <v>1216</v>
      </c>
      <c r="K424" s="5" t="s">
        <v>1214</v>
      </c>
      <c r="L424" s="5" t="str">
        <f>VLOOKUP($K424,'Property names'!$A$1:$D$100,2,FALSE)</f>
        <v>The force exerted by the weight of the air above a given point on Earth's surface, which can vary with changes in weather and altitude.</v>
      </c>
      <c r="M424" s="5" t="str">
        <f>VLOOKUP($K424,'Property names'!$A$1:$D$100,3,FALSE)</f>
        <v>Kilopascal</v>
      </c>
      <c r="N424" s="5" t="str">
        <f>VLOOKUP($K424,'Property names'!$A$1:$D$100,4,FALSE)</f>
        <v>kPa</v>
      </c>
      <c r="O424" s="5" t="str">
        <f t="shared" si="7"/>
        <v>00204EB1_00204EB1_Air_pressure_min</v>
      </c>
      <c r="P424" s="5" t="str">
        <f t="shared" si="8"/>
        <v>The datastream containing mesures of field 00204EB1 by sensor 00204EB1 which measures Atmospheric Pressure.</v>
      </c>
      <c r="Q424" s="5" t="s">
        <v>653</v>
      </c>
    </row>
    <row r="425" spans="1:17" ht="12.75">
      <c r="A425" s="5" t="s">
        <v>402</v>
      </c>
      <c r="B425" s="5" t="s">
        <v>1206</v>
      </c>
      <c r="C425" s="5" t="s">
        <v>1207</v>
      </c>
      <c r="D425" s="5">
        <v>34.061762000000002</v>
      </c>
      <c r="E425" s="5">
        <v>36.145623000000001</v>
      </c>
      <c r="F425" s="5" t="s">
        <v>1206</v>
      </c>
      <c r="G425" s="5" t="s">
        <v>1208</v>
      </c>
      <c r="H425" s="5" t="s">
        <v>1209</v>
      </c>
      <c r="I425" s="5" t="s">
        <v>1210</v>
      </c>
      <c r="J425" s="5" t="s">
        <v>1217</v>
      </c>
      <c r="K425" s="5" t="s">
        <v>692</v>
      </c>
      <c r="L425" s="5" t="str">
        <f>VLOOKUP($K425,'Property names'!$A$1:$D$100,2,FALSE)</f>
        <v>The electrical potential in a battery, indicating its charge level.</v>
      </c>
      <c r="M425" s="5" t="str">
        <f>VLOOKUP($K425,'Property names'!$A$1:$D$100,3,FALSE)</f>
        <v>Millivolts</v>
      </c>
      <c r="N425" s="5" t="str">
        <f>VLOOKUP($K425,'Property names'!$A$1:$D$100,4,FALSE)</f>
        <v>mV</v>
      </c>
      <c r="O425" s="5" t="str">
        <f t="shared" si="7"/>
        <v>00204EB1_00204EB1_5TE_Battery_voltage_last</v>
      </c>
      <c r="P425" s="5" t="str">
        <f t="shared" si="8"/>
        <v>The datastream containing mesures of field 00204EB1 by sensor 00204EB1 which measures Battery Voltage.</v>
      </c>
      <c r="Q425" s="5" t="s">
        <v>653</v>
      </c>
    </row>
    <row r="426" spans="1:17" ht="12.75">
      <c r="A426" s="5" t="s">
        <v>402</v>
      </c>
      <c r="B426" s="5" t="s">
        <v>1206</v>
      </c>
      <c r="C426" s="5" t="s">
        <v>1207</v>
      </c>
      <c r="D426" s="5">
        <v>34.061762000000002</v>
      </c>
      <c r="E426" s="5">
        <v>36.145623000000001</v>
      </c>
      <c r="F426" s="5" t="s">
        <v>1206</v>
      </c>
      <c r="G426" s="5" t="s">
        <v>1208</v>
      </c>
      <c r="H426" s="5" t="s">
        <v>1209</v>
      </c>
      <c r="I426" s="5" t="s">
        <v>1210</v>
      </c>
      <c r="J426" s="5" t="s">
        <v>1218</v>
      </c>
      <c r="K426" s="5" t="s">
        <v>692</v>
      </c>
      <c r="L426" s="5" t="str">
        <f>VLOOKUP($K426,'Property names'!$A$1:$D$100,2,FALSE)</f>
        <v>The electrical potential in a battery, indicating its charge level.</v>
      </c>
      <c r="M426" s="5" t="str">
        <f>VLOOKUP($K426,'Property names'!$A$1:$D$100,3,FALSE)</f>
        <v>Millivolts</v>
      </c>
      <c r="N426" s="5" t="str">
        <f>VLOOKUP($K426,'Property names'!$A$1:$D$100,4,FALSE)</f>
        <v>mV</v>
      </c>
      <c r="O426" s="5" t="str">
        <f t="shared" si="7"/>
        <v>00204EB1_00204EB1_PI54a_(VWC)_avg</v>
      </c>
      <c r="P426" s="5" t="str">
        <f t="shared" si="8"/>
        <v>The datastream containing mesures of field 00204EB1 by sensor 00204EB1 which measures Battery Voltage.</v>
      </c>
      <c r="Q426" s="5" t="s">
        <v>653</v>
      </c>
    </row>
    <row r="427" spans="1:17" ht="12.75">
      <c r="A427" s="5" t="s">
        <v>402</v>
      </c>
      <c r="B427" s="5" t="s">
        <v>1206</v>
      </c>
      <c r="C427" s="5" t="s">
        <v>1207</v>
      </c>
      <c r="D427" s="5">
        <v>34.061762000000002</v>
      </c>
      <c r="E427" s="5">
        <v>36.145623000000001</v>
      </c>
      <c r="F427" s="5" t="s">
        <v>1206</v>
      </c>
      <c r="G427" s="5" t="s">
        <v>1208</v>
      </c>
      <c r="H427" s="5" t="s">
        <v>1209</v>
      </c>
      <c r="I427" s="5" t="s">
        <v>1210</v>
      </c>
      <c r="J427" s="5" t="s">
        <v>1219</v>
      </c>
      <c r="K427" s="5" t="s">
        <v>690</v>
      </c>
      <c r="L427" s="5" t="str">
        <f>VLOOKUP($K427,'Property names'!$A$1:$D$100,2,FALSE)</f>
        <v>A warning in case of water leak detected</v>
      </c>
      <c r="M427" s="5" t="str">
        <f>VLOOKUP($K427,'Property names'!$A$1:$D$100,3,FALSE)</f>
        <v>True / False</v>
      </c>
      <c r="N427" s="5" t="str">
        <f>VLOOKUP($K427,'Property names'!$A$1:$D$100,4,FALSE)</f>
        <v>N/A</v>
      </c>
      <c r="O427" s="5" t="str">
        <f t="shared" si="7"/>
        <v>00204EB1_00204EB1_Watermark_1_avg</v>
      </c>
      <c r="P427" s="5" t="str">
        <f t="shared" si="8"/>
        <v>The datastream containing mesures of field 00204EB1 by sensor 00204EB1 which measures Leak warning.</v>
      </c>
      <c r="Q427" s="5" t="s">
        <v>653</v>
      </c>
    </row>
    <row r="428" spans="1:17" ht="12.75">
      <c r="A428" s="5" t="s">
        <v>402</v>
      </c>
      <c r="B428" s="5" t="s">
        <v>1206</v>
      </c>
      <c r="C428" s="5" t="s">
        <v>1207</v>
      </c>
      <c r="D428" s="5">
        <v>34.061762000000002</v>
      </c>
      <c r="E428" s="5">
        <v>36.145623000000001</v>
      </c>
      <c r="F428" s="5" t="s">
        <v>1206</v>
      </c>
      <c r="G428" s="5" t="s">
        <v>1208</v>
      </c>
      <c r="H428" s="5" t="s">
        <v>1209</v>
      </c>
      <c r="I428" s="5" t="s">
        <v>1210</v>
      </c>
      <c r="J428" s="5" t="s">
        <v>1220</v>
      </c>
      <c r="K428" s="5" t="s">
        <v>690</v>
      </c>
      <c r="L428" s="5" t="str">
        <f>VLOOKUP($K428,'Property names'!$A$1:$D$100,2,FALSE)</f>
        <v>A warning in case of water leak detected</v>
      </c>
      <c r="M428" s="5" t="str">
        <f>VLOOKUP($K428,'Property names'!$A$1:$D$100,3,FALSE)</f>
        <v>True / False</v>
      </c>
      <c r="N428" s="5" t="str">
        <f>VLOOKUP($K428,'Property names'!$A$1:$D$100,4,FALSE)</f>
        <v>N/A</v>
      </c>
      <c r="O428" s="5" t="str">
        <f t="shared" si="7"/>
        <v>00204EB1_00204EB1_Watermark_2_avg</v>
      </c>
      <c r="P428" s="5" t="str">
        <f t="shared" si="8"/>
        <v>The datastream containing mesures of field 00204EB1 by sensor 00204EB1 which measures Leak warning.</v>
      </c>
      <c r="Q428" s="5" t="s">
        <v>653</v>
      </c>
    </row>
    <row r="429" spans="1:17" ht="12.75">
      <c r="A429" s="5" t="s">
        <v>402</v>
      </c>
      <c r="B429" s="5" t="s">
        <v>1206</v>
      </c>
      <c r="C429" s="5" t="s">
        <v>1207</v>
      </c>
      <c r="D429" s="5">
        <v>34.061762000000002</v>
      </c>
      <c r="E429" s="5">
        <v>36.145623000000001</v>
      </c>
      <c r="F429" s="5" t="s">
        <v>1206</v>
      </c>
      <c r="G429" s="5" t="s">
        <v>1208</v>
      </c>
      <c r="H429" s="5" t="s">
        <v>1209</v>
      </c>
      <c r="I429" s="5" t="s">
        <v>1210</v>
      </c>
      <c r="J429" s="5" t="s">
        <v>1221</v>
      </c>
      <c r="K429" s="5" t="s">
        <v>652</v>
      </c>
      <c r="L429" s="5" t="str">
        <f>VLOOKUP($K429,'Property names'!$A$1:$D$100,2,FALSE)</f>
        <v>The measure of the hotness or coldness of the air.</v>
      </c>
      <c r="M429" s="5" t="str">
        <f>VLOOKUP($K429,'Property names'!$A$1:$D$100,3,FALSE)</f>
        <v>Degrees Celsius</v>
      </c>
      <c r="N429" s="5" t="str">
        <f>VLOOKUP($K429,'Property names'!$A$1:$D$100,4,FALSE)</f>
        <v>ºC</v>
      </c>
      <c r="O429" s="5" t="str">
        <f t="shared" si="7"/>
        <v>00204EB1_00204EB1_Wetbulb_temperature_avg</v>
      </c>
      <c r="P429" s="5" t="str">
        <f t="shared" si="8"/>
        <v>The datastream containing mesures of field 00204EB1 by sensor 00204EB1 which measures Air Temperature.</v>
      </c>
      <c r="Q429" s="5" t="s">
        <v>653</v>
      </c>
    </row>
    <row r="430" spans="1:17" ht="12.75">
      <c r="A430" s="5" t="s">
        <v>402</v>
      </c>
      <c r="B430" s="5" t="s">
        <v>1206</v>
      </c>
      <c r="C430" s="5" t="s">
        <v>1207</v>
      </c>
      <c r="D430" s="5">
        <v>34.061762000000002</v>
      </c>
      <c r="E430" s="5">
        <v>36.145623000000001</v>
      </c>
      <c r="F430" s="5" t="s">
        <v>1206</v>
      </c>
      <c r="G430" s="5" t="s">
        <v>1208</v>
      </c>
      <c r="H430" s="5" t="s">
        <v>1209</v>
      </c>
      <c r="I430" s="5" t="s">
        <v>1210</v>
      </c>
      <c r="J430" s="5" t="s">
        <v>1222</v>
      </c>
      <c r="K430" s="5" t="s">
        <v>652</v>
      </c>
      <c r="L430" s="5" t="str">
        <f>VLOOKUP($K430,'Property names'!$A$1:$D$100,2,FALSE)</f>
        <v>The measure of the hotness or coldness of the air.</v>
      </c>
      <c r="M430" s="5" t="str">
        <f>VLOOKUP($K430,'Property names'!$A$1:$D$100,3,FALSE)</f>
        <v>Degrees Celsius</v>
      </c>
      <c r="N430" s="5" t="str">
        <f>VLOOKUP($K430,'Property names'!$A$1:$D$100,4,FALSE)</f>
        <v>ºC</v>
      </c>
      <c r="O430" s="5" t="str">
        <f t="shared" si="7"/>
        <v>00204EB1_00204EB1_Wetbulb_temperature_max</v>
      </c>
      <c r="P430" s="5" t="str">
        <f t="shared" si="8"/>
        <v>The datastream containing mesures of field 00204EB1 by sensor 00204EB1 which measures Air Temperature.</v>
      </c>
      <c r="Q430" s="5" t="s">
        <v>653</v>
      </c>
    </row>
    <row r="431" spans="1:17" ht="12.75">
      <c r="A431" s="5" t="s">
        <v>402</v>
      </c>
      <c r="B431" s="5" t="s">
        <v>1206</v>
      </c>
      <c r="C431" s="5" t="s">
        <v>1207</v>
      </c>
      <c r="D431" s="5">
        <v>34.061762000000002</v>
      </c>
      <c r="E431" s="5">
        <v>36.145623000000001</v>
      </c>
      <c r="F431" s="5" t="s">
        <v>1206</v>
      </c>
      <c r="G431" s="5" t="s">
        <v>1208</v>
      </c>
      <c r="H431" s="5" t="s">
        <v>1209</v>
      </c>
      <c r="I431" s="5" t="s">
        <v>1210</v>
      </c>
      <c r="J431" s="5" t="s">
        <v>1223</v>
      </c>
      <c r="K431" s="5" t="s">
        <v>652</v>
      </c>
      <c r="L431" s="5" t="str">
        <f>VLOOKUP($K431,'Property names'!$A$1:$D$100,2,FALSE)</f>
        <v>The measure of the hotness or coldness of the air.</v>
      </c>
      <c r="M431" s="5" t="str">
        <f>VLOOKUP($K431,'Property names'!$A$1:$D$100,3,FALSE)</f>
        <v>Degrees Celsius</v>
      </c>
      <c r="N431" s="5" t="str">
        <f>VLOOKUP($K431,'Property names'!$A$1:$D$100,4,FALSE)</f>
        <v>ºC</v>
      </c>
      <c r="O431" s="5" t="str">
        <f t="shared" si="7"/>
        <v>00204EB1_00204EB1_Wetbulb_temperature_min</v>
      </c>
      <c r="P431" s="5" t="str">
        <f t="shared" si="8"/>
        <v>The datastream containing mesures of field 00204EB1 by sensor 00204EB1 which measures Air Temperature.</v>
      </c>
      <c r="Q431" s="5" t="s">
        <v>653</v>
      </c>
    </row>
    <row r="432" spans="1:17" ht="12.75">
      <c r="A432" s="5" t="s">
        <v>402</v>
      </c>
      <c r="B432" s="5" t="s">
        <v>1206</v>
      </c>
      <c r="C432" s="5" t="s">
        <v>1207</v>
      </c>
      <c r="D432" s="5">
        <v>34.061762000000002</v>
      </c>
      <c r="E432" s="5">
        <v>36.145623000000001</v>
      </c>
      <c r="F432" s="5" t="s">
        <v>1206</v>
      </c>
      <c r="G432" s="5" t="s">
        <v>1208</v>
      </c>
      <c r="H432" s="5" t="s">
        <v>1209</v>
      </c>
      <c r="I432" s="5" t="s">
        <v>1210</v>
      </c>
      <c r="J432" s="5" t="s">
        <v>1224</v>
      </c>
      <c r="K432" s="5" t="s">
        <v>652</v>
      </c>
      <c r="L432" s="5" t="str">
        <f>VLOOKUP($K432,'Property names'!$A$1:$D$100,2,FALSE)</f>
        <v>The measure of the hotness or coldness of the air.</v>
      </c>
      <c r="M432" s="5" t="str">
        <f>VLOOKUP($K432,'Property names'!$A$1:$D$100,3,FALSE)</f>
        <v>Degrees Celsius</v>
      </c>
      <c r="N432" s="5" t="str">
        <f>VLOOKUP($K432,'Property names'!$A$1:$D$100,4,FALSE)</f>
        <v>ºC</v>
      </c>
      <c r="O432" s="5" t="str">
        <f t="shared" si="7"/>
        <v>00204EB1_00204EB1_Drybulb_temperature_avg</v>
      </c>
      <c r="P432" s="5" t="str">
        <f t="shared" si="8"/>
        <v>The datastream containing mesures of field 00204EB1 by sensor 00204EB1 which measures Air Temperature.</v>
      </c>
      <c r="Q432" s="5" t="s">
        <v>653</v>
      </c>
    </row>
    <row r="433" spans="1:17" ht="12.75">
      <c r="A433" s="5" t="s">
        <v>402</v>
      </c>
      <c r="B433" s="5" t="s">
        <v>1206</v>
      </c>
      <c r="C433" s="5" t="s">
        <v>1207</v>
      </c>
      <c r="D433" s="5">
        <v>34.061762000000002</v>
      </c>
      <c r="E433" s="5">
        <v>36.145623000000001</v>
      </c>
      <c r="F433" s="5" t="s">
        <v>1206</v>
      </c>
      <c r="G433" s="5" t="s">
        <v>1208</v>
      </c>
      <c r="H433" s="5" t="s">
        <v>1209</v>
      </c>
      <c r="I433" s="5" t="s">
        <v>1210</v>
      </c>
      <c r="J433" s="5" t="s">
        <v>1225</v>
      </c>
      <c r="K433" s="5" t="s">
        <v>652</v>
      </c>
      <c r="L433" s="5" t="str">
        <f>VLOOKUP($K433,'Property names'!$A$1:$D$100,2,FALSE)</f>
        <v>The measure of the hotness or coldness of the air.</v>
      </c>
      <c r="M433" s="5" t="str">
        <f>VLOOKUP($K433,'Property names'!$A$1:$D$100,3,FALSE)</f>
        <v>Degrees Celsius</v>
      </c>
      <c r="N433" s="5" t="str">
        <f>VLOOKUP($K433,'Property names'!$A$1:$D$100,4,FALSE)</f>
        <v>ºC</v>
      </c>
      <c r="O433" s="5" t="str">
        <f t="shared" si="7"/>
        <v>00204EB1_00204EB1_Drybulb_temperature_max</v>
      </c>
      <c r="P433" s="5" t="str">
        <f t="shared" si="8"/>
        <v>The datastream containing mesures of field 00204EB1 by sensor 00204EB1 which measures Air Temperature.</v>
      </c>
      <c r="Q433" s="5" t="s">
        <v>653</v>
      </c>
    </row>
    <row r="434" spans="1:17" ht="12.75">
      <c r="A434" s="5" t="s">
        <v>402</v>
      </c>
      <c r="B434" s="5" t="s">
        <v>1206</v>
      </c>
      <c r="C434" s="5" t="s">
        <v>1207</v>
      </c>
      <c r="D434" s="5">
        <v>34.061762000000002</v>
      </c>
      <c r="E434" s="5">
        <v>36.145623000000001</v>
      </c>
      <c r="F434" s="5" t="s">
        <v>1206</v>
      </c>
      <c r="G434" s="5" t="s">
        <v>1208</v>
      </c>
      <c r="H434" s="5" t="s">
        <v>1209</v>
      </c>
      <c r="I434" s="5" t="s">
        <v>1210</v>
      </c>
      <c r="J434" s="5" t="s">
        <v>1226</v>
      </c>
      <c r="K434" s="5" t="s">
        <v>652</v>
      </c>
      <c r="L434" s="5" t="str">
        <f>VLOOKUP($K434,'Property names'!$A$1:$D$100,2,FALSE)</f>
        <v>The measure of the hotness or coldness of the air.</v>
      </c>
      <c r="M434" s="5" t="str">
        <f>VLOOKUP($K434,'Property names'!$A$1:$D$100,3,FALSE)</f>
        <v>Degrees Celsius</v>
      </c>
      <c r="N434" s="5" t="str">
        <f>VLOOKUP($K434,'Property names'!$A$1:$D$100,4,FALSE)</f>
        <v>ºC</v>
      </c>
      <c r="O434" s="5" t="str">
        <f t="shared" si="7"/>
        <v>00204EB1_00204EB1_Drybulb_temperature_min</v>
      </c>
      <c r="P434" s="5" t="str">
        <f t="shared" si="8"/>
        <v>The datastream containing mesures of field 00204EB1 by sensor 00204EB1 which measures Air Temperature.</v>
      </c>
      <c r="Q434" s="5" t="s">
        <v>653</v>
      </c>
    </row>
    <row r="435" spans="1:17" ht="12.75">
      <c r="A435" s="5" t="s">
        <v>402</v>
      </c>
      <c r="B435" s="5" t="s">
        <v>1206</v>
      </c>
      <c r="C435" s="5" t="s">
        <v>1207</v>
      </c>
      <c r="D435" s="5">
        <v>34.061762000000002</v>
      </c>
      <c r="E435" s="5">
        <v>36.145623000000001</v>
      </c>
      <c r="F435" s="5" t="s">
        <v>1206</v>
      </c>
      <c r="G435" s="5" t="s">
        <v>1208</v>
      </c>
      <c r="H435" s="5" t="s">
        <v>1209</v>
      </c>
      <c r="I435" s="5" t="s">
        <v>1210</v>
      </c>
      <c r="J435" s="5" t="s">
        <v>1227</v>
      </c>
      <c r="K435" s="5" t="s">
        <v>1228</v>
      </c>
      <c r="L435" s="5" t="str">
        <f>VLOOKUP($K435,'Property names'!$A$1:$D$100,2,FALSE)</f>
        <v>The measure of the amount of water evaporated from a standardized reference surface, often used in agriculture for irrigation management.</v>
      </c>
      <c r="M435" s="5" t="str">
        <f>VLOOKUP($K435,'Property names'!$A$1:$D$100,3,FALSE)</f>
        <v>Millimeters per day</v>
      </c>
      <c r="N435" s="5" t="str">
        <f>VLOOKUP($K435,'Property names'!$A$1:$D$100,4,FALSE)</f>
        <v>mm/day</v>
      </c>
      <c r="O435" s="5" t="str">
        <f t="shared" si="7"/>
        <v>00204EB1_00204EB1_ET0</v>
      </c>
      <c r="P435" s="5" t="str">
        <f t="shared" si="8"/>
        <v>The datastream containing mesures of field 00204EB1 by sensor 00204EB1 which measures Reference evapotranspiration.</v>
      </c>
      <c r="Q435" s="5" t="s">
        <v>653</v>
      </c>
    </row>
    <row r="436" spans="1:17" ht="12.75">
      <c r="A436" s="5" t="s">
        <v>402</v>
      </c>
      <c r="B436" s="5" t="s">
        <v>1206</v>
      </c>
      <c r="C436" s="5" t="s">
        <v>1207</v>
      </c>
      <c r="D436" s="5">
        <v>34.061762000000002</v>
      </c>
      <c r="E436" s="5">
        <v>36.145623000000001</v>
      </c>
      <c r="F436" s="5" t="s">
        <v>1206</v>
      </c>
      <c r="G436" s="5" t="s">
        <v>1208</v>
      </c>
      <c r="H436" s="5" t="s">
        <v>1209</v>
      </c>
      <c r="I436" s="5" t="s">
        <v>1210</v>
      </c>
      <c r="J436" s="5" t="s">
        <v>1229</v>
      </c>
      <c r="K436" s="5" t="s">
        <v>1230</v>
      </c>
      <c r="L436" s="5" t="str">
        <f>VLOOKUP($K436,'Property names'!$A$1:$D$100,2,FALSE)</f>
        <v>The compass direction from which the wind is blowing.</v>
      </c>
      <c r="M436" s="5" t="str">
        <f>VLOOKUP($K436,'Property names'!$A$1:$D$100,3,FALSE)</f>
        <v>Degrees</v>
      </c>
      <c r="N436" s="5" t="str">
        <f>VLOOKUP($K436,'Property names'!$A$1:$D$100,4,FALSE)</f>
        <v>º</v>
      </c>
      <c r="O436" s="5" t="str">
        <f t="shared" si="7"/>
        <v>00204EB1_00204EB1_Wind_orientation</v>
      </c>
      <c r="P436" s="5" t="str">
        <f t="shared" si="8"/>
        <v>The datastream containing mesures of field 00204EB1 by sensor 00204EB1 which measures Wind Direction.</v>
      </c>
      <c r="Q436" s="5" t="s">
        <v>653</v>
      </c>
    </row>
    <row r="437" spans="1:17" ht="12.75">
      <c r="A437" s="5" t="s">
        <v>402</v>
      </c>
      <c r="B437" s="5" t="s">
        <v>1206</v>
      </c>
      <c r="C437" s="5" t="s">
        <v>1207</v>
      </c>
      <c r="D437" s="5">
        <v>34.061762000000002</v>
      </c>
      <c r="E437" s="5">
        <v>36.145623000000001</v>
      </c>
      <c r="F437" s="5" t="s">
        <v>1206</v>
      </c>
      <c r="G437" s="5" t="s">
        <v>1208</v>
      </c>
      <c r="H437" s="5" t="s">
        <v>1209</v>
      </c>
      <c r="I437" s="5" t="s">
        <v>1210</v>
      </c>
      <c r="J437" s="5" t="s">
        <v>1231</v>
      </c>
      <c r="K437" s="5" t="s">
        <v>1231</v>
      </c>
      <c r="L437" s="5" t="str">
        <f>VLOOKUP($K437,'Property names'!$A$1:$D$100,2,FALSE)</f>
        <v>The point in time at the middle of the night, commonly defined as 12:00 AM.</v>
      </c>
      <c r="M437" s="5" t="str">
        <f>VLOOKUP($K437,'Property names'!$A$1:$D$100,3,FALSE)</f>
        <v>-</v>
      </c>
      <c r="N437" s="5" t="str">
        <f>VLOOKUP($K437,'Property names'!$A$1:$D$100,4,FALSE)</f>
        <v>-</v>
      </c>
      <c r="O437" s="5" t="str">
        <f t="shared" si="7"/>
        <v>00204EB1_00204EB1_Midnight</v>
      </c>
      <c r="P437" s="5" t="str">
        <f t="shared" si="8"/>
        <v>The datastream containing mesures of field 00204EB1 by sensor 00204EB1 which measures Midnight.</v>
      </c>
      <c r="Q437" s="5" t="s">
        <v>653</v>
      </c>
    </row>
    <row r="438" spans="1:17" ht="12.75">
      <c r="A438" s="5" t="s">
        <v>402</v>
      </c>
      <c r="B438" s="5" t="s">
        <v>1232</v>
      </c>
      <c r="C438" s="5" t="s">
        <v>1207</v>
      </c>
      <c r="D438" s="5">
        <v>33.815888000000001</v>
      </c>
      <c r="E438" s="5">
        <v>35.910629999999998</v>
      </c>
      <c r="F438" s="5" t="s">
        <v>1232</v>
      </c>
      <c r="G438" s="5" t="s">
        <v>1208</v>
      </c>
      <c r="H438" s="5" t="s">
        <v>1209</v>
      </c>
      <c r="I438" s="5" t="s">
        <v>1210</v>
      </c>
      <c r="J438" s="5" t="s">
        <v>1233</v>
      </c>
      <c r="K438" s="5" t="s">
        <v>1234</v>
      </c>
      <c r="L438" s="5" t="str">
        <f>VLOOKUP($K438,'Property names'!$A$1:$D$100,2,FALSE)</f>
        <v>Any form of water, liquid or solid, falling from the sky, such as rain, snow, or sleet.</v>
      </c>
      <c r="M438" s="5" t="str">
        <f>VLOOKUP($K438,'Property names'!$A$1:$D$100,3,FALSE)</f>
        <v>Millimeters</v>
      </c>
      <c r="N438" s="5" t="str">
        <f>VLOOKUP($K438,'Property names'!$A$1:$D$100,4,FALSE)</f>
        <v>mm</v>
      </c>
      <c r="O438" s="5" t="str">
        <f t="shared" si="7"/>
        <v>000008D6_000008D6_Precipitation_sum</v>
      </c>
      <c r="P438" s="5" t="str">
        <f t="shared" si="8"/>
        <v>The datastream containing mesures of field 000008D6 by sensor 000008D6 which measures Precipitation.</v>
      </c>
      <c r="Q438" s="5" t="s">
        <v>653</v>
      </c>
    </row>
    <row r="439" spans="1:17" ht="12.75">
      <c r="A439" s="5" t="s">
        <v>402</v>
      </c>
      <c r="B439" s="5" t="s">
        <v>1232</v>
      </c>
      <c r="C439" s="5" t="s">
        <v>1207</v>
      </c>
      <c r="D439" s="5">
        <v>33.815888000000001</v>
      </c>
      <c r="E439" s="5">
        <v>35.910629999999998</v>
      </c>
      <c r="F439" s="5" t="s">
        <v>1232</v>
      </c>
      <c r="G439" s="5" t="s">
        <v>1208</v>
      </c>
      <c r="H439" s="5" t="s">
        <v>1209</v>
      </c>
      <c r="I439" s="5" t="s">
        <v>1210</v>
      </c>
      <c r="J439" s="5" t="s">
        <v>1235</v>
      </c>
      <c r="K439" s="5" t="s">
        <v>665</v>
      </c>
      <c r="L439" s="5" t="str">
        <f>VLOOKUP($K439,'Property names'!$A$1:$D$100,2,FALSE)</f>
        <v>The percentage of battery level associated to the specific sensor.</v>
      </c>
      <c r="M439" s="5" t="str">
        <f>VLOOKUP($K439,'Property names'!$A$1:$D$100,3,FALSE)</f>
        <v>Percentage</v>
      </c>
      <c r="N439" s="5" t="str">
        <f>VLOOKUP($K439,'Property names'!$A$1:$D$100,4,FALSE)</f>
        <v>%</v>
      </c>
      <c r="O439" s="5" t="str">
        <f t="shared" si="7"/>
        <v>000008D6_000008D6_Battery_last</v>
      </c>
      <c r="P439" s="5" t="str">
        <f t="shared" si="8"/>
        <v>The datastream containing mesures of field 000008D6 by sensor 000008D6 which measures Battery Level.</v>
      </c>
      <c r="Q439" s="5" t="s">
        <v>653</v>
      </c>
    </row>
    <row r="440" spans="1:17" ht="12.75">
      <c r="A440" s="5" t="s">
        <v>402</v>
      </c>
      <c r="B440" s="5" t="s">
        <v>1232</v>
      </c>
      <c r="C440" s="5" t="s">
        <v>1207</v>
      </c>
      <c r="D440" s="5">
        <v>33.815888000000001</v>
      </c>
      <c r="E440" s="5">
        <v>35.910629999999998</v>
      </c>
      <c r="F440" s="5" t="s">
        <v>1232</v>
      </c>
      <c r="G440" s="5" t="s">
        <v>1208</v>
      </c>
      <c r="H440" s="5" t="s">
        <v>1209</v>
      </c>
      <c r="I440" s="5" t="s">
        <v>1210</v>
      </c>
      <c r="J440" s="5" t="s">
        <v>1236</v>
      </c>
      <c r="K440" s="5" t="s">
        <v>713</v>
      </c>
      <c r="L440" s="5" t="str">
        <f>VLOOKUP($K440,'Property names'!$A$1:$D$100,2,FALSE)</f>
        <v>The presence of moisture on the surface of plant leaves, often indicating favorable conditions for disease development.</v>
      </c>
      <c r="M440" s="5" t="str">
        <f>VLOOKUP($K440,'Property names'!$A$1:$D$100,3,FALSE)</f>
        <v>-</v>
      </c>
      <c r="N440" s="5" t="str">
        <f>VLOOKUP($K440,'Property names'!$A$1:$D$100,4,FALSE)</f>
        <v>-</v>
      </c>
      <c r="O440" s="5" t="str">
        <f t="shared" si="7"/>
        <v>000008D6_000008D6_Leaf_Wetness_time</v>
      </c>
      <c r="P440" s="5" t="str">
        <f t="shared" si="8"/>
        <v>The datastream containing mesures of field 000008D6 by sensor 000008D6 which measures Leaf Wetness.</v>
      </c>
      <c r="Q440" s="5" t="s">
        <v>653</v>
      </c>
    </row>
    <row r="441" spans="1:17" ht="12.75">
      <c r="A441" s="5" t="s">
        <v>402</v>
      </c>
      <c r="B441" s="5" t="s">
        <v>1232</v>
      </c>
      <c r="C441" s="5" t="s">
        <v>1207</v>
      </c>
      <c r="D441" s="5">
        <v>33.815888000000001</v>
      </c>
      <c r="E441" s="5">
        <v>35.910629999999998</v>
      </c>
      <c r="F441" s="5" t="s">
        <v>1232</v>
      </c>
      <c r="G441" s="5" t="s">
        <v>1208</v>
      </c>
      <c r="H441" s="5" t="s">
        <v>1209</v>
      </c>
      <c r="I441" s="5" t="s">
        <v>1210</v>
      </c>
      <c r="J441" s="5" t="s">
        <v>1237</v>
      </c>
      <c r="K441" s="5" t="s">
        <v>652</v>
      </c>
      <c r="L441" s="5" t="str">
        <f>VLOOKUP($K441,'Property names'!$A$1:$D$100,2,FALSE)</f>
        <v>The measure of the hotness or coldness of the air.</v>
      </c>
      <c r="M441" s="5" t="str">
        <f>VLOOKUP($K441,'Property names'!$A$1:$D$100,3,FALSE)</f>
        <v>Degrees Celsius</v>
      </c>
      <c r="N441" s="5" t="str">
        <f>VLOOKUP($K441,'Property names'!$A$1:$D$100,4,FALSE)</f>
        <v>ºC</v>
      </c>
      <c r="O441" s="5" t="str">
        <f t="shared" si="7"/>
        <v>000008D6_000008D6_HC_Air_temperature_avg</v>
      </c>
      <c r="P441" s="5" t="str">
        <f t="shared" si="8"/>
        <v>The datastream containing mesures of field 000008D6 by sensor 000008D6 which measures Air Temperature.</v>
      </c>
      <c r="Q441" s="5" t="s">
        <v>653</v>
      </c>
    </row>
    <row r="442" spans="1:17" ht="12.75">
      <c r="A442" s="5" t="s">
        <v>402</v>
      </c>
      <c r="B442" s="5" t="s">
        <v>1232</v>
      </c>
      <c r="C442" s="5" t="s">
        <v>1207</v>
      </c>
      <c r="D442" s="5">
        <v>33.815888000000001</v>
      </c>
      <c r="E442" s="5">
        <v>35.910629999999998</v>
      </c>
      <c r="F442" s="5" t="s">
        <v>1232</v>
      </c>
      <c r="G442" s="5" t="s">
        <v>1208</v>
      </c>
      <c r="H442" s="5" t="s">
        <v>1209</v>
      </c>
      <c r="I442" s="5" t="s">
        <v>1210</v>
      </c>
      <c r="J442" s="5" t="s">
        <v>1238</v>
      </c>
      <c r="K442" s="5" t="s">
        <v>652</v>
      </c>
      <c r="L442" s="5" t="str">
        <f>VLOOKUP($K442,'Property names'!$A$1:$D$100,2,FALSE)</f>
        <v>The measure of the hotness or coldness of the air.</v>
      </c>
      <c r="M442" s="5" t="str">
        <f>VLOOKUP($K442,'Property names'!$A$1:$D$100,3,FALSE)</f>
        <v>Degrees Celsius</v>
      </c>
      <c r="N442" s="5" t="str">
        <f>VLOOKUP($K442,'Property names'!$A$1:$D$100,4,FALSE)</f>
        <v>ºC</v>
      </c>
      <c r="O442" s="5" t="str">
        <f t="shared" si="7"/>
        <v>000008D6_000008D6_HC_Air_temperature_max</v>
      </c>
      <c r="P442" s="5" t="str">
        <f t="shared" si="8"/>
        <v>The datastream containing mesures of field 000008D6 by sensor 000008D6 which measures Air Temperature.</v>
      </c>
      <c r="Q442" s="5" t="s">
        <v>653</v>
      </c>
    </row>
    <row r="443" spans="1:17" ht="12.75">
      <c r="A443" s="5" t="s">
        <v>402</v>
      </c>
      <c r="B443" s="5" t="s">
        <v>1232</v>
      </c>
      <c r="C443" s="5" t="s">
        <v>1207</v>
      </c>
      <c r="D443" s="5">
        <v>33.815888000000001</v>
      </c>
      <c r="E443" s="5">
        <v>35.910629999999998</v>
      </c>
      <c r="F443" s="5" t="s">
        <v>1232</v>
      </c>
      <c r="G443" s="5" t="s">
        <v>1208</v>
      </c>
      <c r="H443" s="5" t="s">
        <v>1209</v>
      </c>
      <c r="I443" s="5" t="s">
        <v>1210</v>
      </c>
      <c r="J443" s="5" t="s">
        <v>1239</v>
      </c>
      <c r="K443" s="5" t="s">
        <v>652</v>
      </c>
      <c r="L443" s="5" t="str">
        <f>VLOOKUP($K443,'Property names'!$A$1:$D$100,2,FALSE)</f>
        <v>The measure of the hotness or coldness of the air.</v>
      </c>
      <c r="M443" s="5" t="str">
        <f>VLOOKUP($K443,'Property names'!$A$1:$D$100,3,FALSE)</f>
        <v>Degrees Celsius</v>
      </c>
      <c r="N443" s="5" t="str">
        <f>VLOOKUP($K443,'Property names'!$A$1:$D$100,4,FALSE)</f>
        <v>ºC</v>
      </c>
      <c r="O443" s="5" t="str">
        <f t="shared" si="7"/>
        <v>000008D6_000008D6_HC_Air_temperature_min</v>
      </c>
      <c r="P443" s="5" t="str">
        <f t="shared" si="8"/>
        <v>The datastream containing mesures of field 000008D6 by sensor 000008D6 which measures Air Temperature.</v>
      </c>
      <c r="Q443" s="5" t="s">
        <v>653</v>
      </c>
    </row>
    <row r="444" spans="1:17" ht="12.75">
      <c r="A444" s="5" t="s">
        <v>402</v>
      </c>
      <c r="B444" s="5" t="s">
        <v>1232</v>
      </c>
      <c r="C444" s="5" t="s">
        <v>1207</v>
      </c>
      <c r="D444" s="5">
        <v>33.815888000000001</v>
      </c>
      <c r="E444" s="5">
        <v>35.910629999999998</v>
      </c>
      <c r="F444" s="5" t="s">
        <v>1232</v>
      </c>
      <c r="G444" s="5" t="s">
        <v>1208</v>
      </c>
      <c r="H444" s="5" t="s">
        <v>1209</v>
      </c>
      <c r="I444" s="5" t="s">
        <v>1210</v>
      </c>
      <c r="J444" s="5" t="s">
        <v>1240</v>
      </c>
      <c r="K444" s="5" t="s">
        <v>655</v>
      </c>
      <c r="L444" s="5" t="str">
        <f>VLOOKUP($K444,'Property names'!$A$1:$D$100,2,FALSE)</f>
        <v>The amount of moisture or water vapor present in the air, often expressed as a percentage of the maximum amount the air could hold at a given temperature.</v>
      </c>
      <c r="M444" s="5" t="str">
        <f>VLOOKUP($K444,'Property names'!$A$1:$D$100,3,FALSE)</f>
        <v>Percentage</v>
      </c>
      <c r="N444" s="5" t="str">
        <f>VLOOKUP($K444,'Property names'!$A$1:$D$100,4,FALSE)</f>
        <v>%</v>
      </c>
      <c r="O444" s="5" t="str">
        <f t="shared" si="7"/>
        <v>000008D6_000008D6_HC_Relative_humidity_avg</v>
      </c>
      <c r="P444" s="5" t="str">
        <f t="shared" si="8"/>
        <v>The datastream containing mesures of field 000008D6 by sensor 000008D6 which measures Air Humidity.</v>
      </c>
      <c r="Q444" s="5" t="s">
        <v>653</v>
      </c>
    </row>
    <row r="445" spans="1:17" ht="12.75">
      <c r="A445" s="5" t="s">
        <v>402</v>
      </c>
      <c r="B445" s="5" t="s">
        <v>1232</v>
      </c>
      <c r="C445" s="5" t="s">
        <v>1207</v>
      </c>
      <c r="D445" s="5">
        <v>33.815888000000001</v>
      </c>
      <c r="E445" s="5">
        <v>35.910629999999998</v>
      </c>
      <c r="F445" s="5" t="s">
        <v>1232</v>
      </c>
      <c r="G445" s="5" t="s">
        <v>1208</v>
      </c>
      <c r="H445" s="5" t="s">
        <v>1209</v>
      </c>
      <c r="I445" s="5" t="s">
        <v>1210</v>
      </c>
      <c r="J445" s="5" t="s">
        <v>1241</v>
      </c>
      <c r="K445" s="5" t="s">
        <v>655</v>
      </c>
      <c r="L445" s="5" t="str">
        <f>VLOOKUP($K445,'Property names'!$A$1:$D$100,2,FALSE)</f>
        <v>The amount of moisture or water vapor present in the air, often expressed as a percentage of the maximum amount the air could hold at a given temperature.</v>
      </c>
      <c r="M445" s="5" t="str">
        <f>VLOOKUP($K445,'Property names'!$A$1:$D$100,3,FALSE)</f>
        <v>Percentage</v>
      </c>
      <c r="N445" s="5" t="str">
        <f>VLOOKUP($K445,'Property names'!$A$1:$D$100,4,FALSE)</f>
        <v>%</v>
      </c>
      <c r="O445" s="5" t="str">
        <f t="shared" si="7"/>
        <v>000008D6_000008D6_HC_Relative_humidity_max</v>
      </c>
      <c r="P445" s="5" t="str">
        <f t="shared" si="8"/>
        <v>The datastream containing mesures of field 000008D6 by sensor 000008D6 which measures Air Humidity.</v>
      </c>
      <c r="Q445" s="5" t="s">
        <v>653</v>
      </c>
    </row>
    <row r="446" spans="1:17" ht="12.75">
      <c r="A446" s="5" t="s">
        <v>402</v>
      </c>
      <c r="B446" s="5" t="s">
        <v>1232</v>
      </c>
      <c r="C446" s="5" t="s">
        <v>1207</v>
      </c>
      <c r="D446" s="5">
        <v>33.815888000000001</v>
      </c>
      <c r="E446" s="5">
        <v>35.910629999999998</v>
      </c>
      <c r="F446" s="5" t="s">
        <v>1232</v>
      </c>
      <c r="G446" s="5" t="s">
        <v>1208</v>
      </c>
      <c r="H446" s="5" t="s">
        <v>1209</v>
      </c>
      <c r="I446" s="5" t="s">
        <v>1210</v>
      </c>
      <c r="J446" s="5" t="s">
        <v>1242</v>
      </c>
      <c r="K446" s="5" t="s">
        <v>655</v>
      </c>
      <c r="L446" s="5" t="str">
        <f>VLOOKUP($K446,'Property names'!$A$1:$D$100,2,FALSE)</f>
        <v>The amount of moisture or water vapor present in the air, often expressed as a percentage of the maximum amount the air could hold at a given temperature.</v>
      </c>
      <c r="M446" s="5" t="str">
        <f>VLOOKUP($K446,'Property names'!$A$1:$D$100,3,FALSE)</f>
        <v>Percentage</v>
      </c>
      <c r="N446" s="5" t="str">
        <f>VLOOKUP($K446,'Property names'!$A$1:$D$100,4,FALSE)</f>
        <v>%</v>
      </c>
      <c r="O446" s="5" t="str">
        <f t="shared" si="7"/>
        <v>000008D6_000008D6_HC_Relative_humidity_min</v>
      </c>
      <c r="P446" s="5" t="str">
        <f t="shared" si="8"/>
        <v>The datastream containing mesures of field 000008D6 by sensor 000008D6 which measures Air Humidity.</v>
      </c>
      <c r="Q446" s="5" t="s">
        <v>653</v>
      </c>
    </row>
    <row r="447" spans="1:17" ht="12.75">
      <c r="A447" s="5" t="s">
        <v>402</v>
      </c>
      <c r="B447" s="5" t="s">
        <v>1232</v>
      </c>
      <c r="C447" s="5" t="s">
        <v>1207</v>
      </c>
      <c r="D447" s="5">
        <v>33.815888000000001</v>
      </c>
      <c r="E447" s="5">
        <v>35.910629999999998</v>
      </c>
      <c r="F447" s="5" t="s">
        <v>1232</v>
      </c>
      <c r="G447" s="5" t="s">
        <v>1208</v>
      </c>
      <c r="H447" s="5" t="s">
        <v>1209</v>
      </c>
      <c r="I447" s="5" t="s">
        <v>1210</v>
      </c>
      <c r="J447" s="5" t="s">
        <v>1243</v>
      </c>
      <c r="K447" s="5" t="s">
        <v>1244</v>
      </c>
      <c r="L447" s="5" t="str">
        <f>VLOOKUP($K447,'Property names'!$A$1:$D$100,2,FALSE)</f>
        <v>The temperature at which air becomes saturated with moisture, leading to the formation of dew or condensation.</v>
      </c>
      <c r="M447" s="5" t="str">
        <f>VLOOKUP($K447,'Property names'!$A$1:$D$100,3,FALSE)</f>
        <v>Degrees Celsius</v>
      </c>
      <c r="N447" s="5" t="str">
        <f>VLOOKUP($K447,'Property names'!$A$1:$D$100,4,FALSE)</f>
        <v>ºC</v>
      </c>
      <c r="O447" s="5" t="str">
        <f t="shared" si="7"/>
        <v>000008D6_000008D6_Dew_Point_avg</v>
      </c>
      <c r="P447" s="5" t="str">
        <f t="shared" si="8"/>
        <v>The datastream containing mesures of field 000008D6 by sensor 000008D6 which measures Dew Point.</v>
      </c>
      <c r="Q447" s="5" t="s">
        <v>653</v>
      </c>
    </row>
    <row r="448" spans="1:17" ht="12.75">
      <c r="A448" s="5" t="s">
        <v>402</v>
      </c>
      <c r="B448" s="5" t="s">
        <v>1232</v>
      </c>
      <c r="C448" s="5" t="s">
        <v>1207</v>
      </c>
      <c r="D448" s="5">
        <v>33.815888000000001</v>
      </c>
      <c r="E448" s="5">
        <v>35.910629999999998</v>
      </c>
      <c r="F448" s="5" t="s">
        <v>1232</v>
      </c>
      <c r="G448" s="5" t="s">
        <v>1208</v>
      </c>
      <c r="H448" s="5" t="s">
        <v>1209</v>
      </c>
      <c r="I448" s="5" t="s">
        <v>1210</v>
      </c>
      <c r="J448" s="5" t="s">
        <v>1245</v>
      </c>
      <c r="K448" s="5" t="s">
        <v>1244</v>
      </c>
      <c r="L448" s="5" t="str">
        <f>VLOOKUP($K448,'Property names'!$A$1:$D$100,2,FALSE)</f>
        <v>The temperature at which air becomes saturated with moisture, leading to the formation of dew or condensation.</v>
      </c>
      <c r="M448" s="5" t="str">
        <f>VLOOKUP($K448,'Property names'!$A$1:$D$100,3,FALSE)</f>
        <v>Degrees Celsius</v>
      </c>
      <c r="N448" s="5" t="str">
        <f>VLOOKUP($K448,'Property names'!$A$1:$D$100,4,FALSE)</f>
        <v>ºC</v>
      </c>
      <c r="O448" s="5" t="str">
        <f t="shared" si="7"/>
        <v>000008D6_000008D6_Dew_Point_min</v>
      </c>
      <c r="P448" s="5" t="str">
        <f t="shared" si="8"/>
        <v>The datastream containing mesures of field 000008D6 by sensor 000008D6 which measures Dew Point.</v>
      </c>
      <c r="Q448" s="5" t="s">
        <v>653</v>
      </c>
    </row>
    <row r="449" spans="1:17" ht="12.75">
      <c r="A449" s="5" t="s">
        <v>402</v>
      </c>
      <c r="B449" s="5" t="s">
        <v>1232</v>
      </c>
      <c r="C449" s="5" t="s">
        <v>1207</v>
      </c>
      <c r="D449" s="5">
        <v>33.815888000000001</v>
      </c>
      <c r="E449" s="5">
        <v>35.910629999999998</v>
      </c>
      <c r="F449" s="5" t="s">
        <v>1232</v>
      </c>
      <c r="G449" s="5" t="s">
        <v>1208</v>
      </c>
      <c r="H449" s="5" t="s">
        <v>1209</v>
      </c>
      <c r="I449" s="5" t="s">
        <v>1210</v>
      </c>
      <c r="J449" s="5" t="s">
        <v>1246</v>
      </c>
      <c r="K449" s="5" t="s">
        <v>1247</v>
      </c>
      <c r="L449" s="5" t="str">
        <f>VLOOKUP($K449,'Property names'!$A$1:$D$100,2,FALSE)</f>
        <v>Device used to measure the surface tension of a liquid, typically by observing the height to which the liquid rises in a fine tube against the force of gravity.</v>
      </c>
      <c r="M449" s="5" t="str">
        <f>VLOOKUP($K449,'Property names'!$A$1:$D$100,3,FALSE)</f>
        <v>Newtons per meter</v>
      </c>
      <c r="N449" s="5" t="str">
        <f>VLOOKUP($K449,'Property names'!$A$1:$D$100,4,FALSE)</f>
        <v>N/m</v>
      </c>
      <c r="O449" s="5" t="str">
        <f t="shared" si="7"/>
        <v>000008D6_000008D6_Tensiometer_avg</v>
      </c>
      <c r="P449" s="5" t="str">
        <f t="shared" si="8"/>
        <v>The datastream containing mesures of field 000008D6 by sensor 000008D6 which measures Tensiometer.</v>
      </c>
      <c r="Q449" s="5" t="s">
        <v>653</v>
      </c>
    </row>
    <row r="450" spans="1:17" ht="12.75">
      <c r="A450" s="5" t="s">
        <v>402</v>
      </c>
      <c r="B450" s="5" t="s">
        <v>1232</v>
      </c>
      <c r="C450" s="5" t="s">
        <v>1207</v>
      </c>
      <c r="D450" s="5">
        <v>33.815888000000001</v>
      </c>
      <c r="E450" s="5">
        <v>35.910629999999998</v>
      </c>
      <c r="F450" s="5" t="s">
        <v>1232</v>
      </c>
      <c r="G450" s="5" t="s">
        <v>1208</v>
      </c>
      <c r="H450" s="5" t="s">
        <v>1209</v>
      </c>
      <c r="I450" s="5" t="s">
        <v>1210</v>
      </c>
      <c r="J450" s="5" t="s">
        <v>1248</v>
      </c>
      <c r="K450" s="5" t="s">
        <v>1247</v>
      </c>
      <c r="L450" s="5" t="str">
        <f>VLOOKUP($K450,'Property names'!$A$1:$D$100,2,FALSE)</f>
        <v>Device used to measure the surface tension of a liquid, typically by observing the height to which the liquid rises in a fine tube against the force of gravity.</v>
      </c>
      <c r="M450" s="5" t="str">
        <f>VLOOKUP($K450,'Property names'!$A$1:$D$100,3,FALSE)</f>
        <v>Newtons per meter</v>
      </c>
      <c r="N450" s="5" t="str">
        <f>VLOOKUP($K450,'Property names'!$A$1:$D$100,4,FALSE)</f>
        <v>N/m</v>
      </c>
      <c r="O450" s="5" t="str">
        <f t="shared" si="7"/>
        <v>000008D6_000008D6_Tensiometer_max</v>
      </c>
      <c r="P450" s="5" t="str">
        <f t="shared" si="8"/>
        <v>The datastream containing mesures of field 000008D6 by sensor 000008D6 which measures Tensiometer.</v>
      </c>
      <c r="Q450" s="5" t="s">
        <v>653</v>
      </c>
    </row>
    <row r="451" spans="1:17" ht="12.75">
      <c r="A451" s="5" t="s">
        <v>402</v>
      </c>
      <c r="B451" s="5" t="s">
        <v>1232</v>
      </c>
      <c r="C451" s="5" t="s">
        <v>1207</v>
      </c>
      <c r="D451" s="5">
        <v>33.815888000000001</v>
      </c>
      <c r="E451" s="5">
        <v>35.910629999999998</v>
      </c>
      <c r="F451" s="5" t="s">
        <v>1232</v>
      </c>
      <c r="G451" s="5" t="s">
        <v>1208</v>
      </c>
      <c r="H451" s="5" t="s">
        <v>1209</v>
      </c>
      <c r="I451" s="5" t="s">
        <v>1210</v>
      </c>
      <c r="J451" s="5" t="s">
        <v>1249</v>
      </c>
      <c r="K451" s="5" t="s">
        <v>1247</v>
      </c>
      <c r="L451" s="5" t="str">
        <f>VLOOKUP($K451,'Property names'!$A$1:$D$100,2,FALSE)</f>
        <v>Device used to measure the surface tension of a liquid, typically by observing the height to which the liquid rises in a fine tube against the force of gravity.</v>
      </c>
      <c r="M451" s="5" t="str">
        <f>VLOOKUP($K451,'Property names'!$A$1:$D$100,3,FALSE)</f>
        <v>Newtons per meter</v>
      </c>
      <c r="N451" s="5" t="str">
        <f>VLOOKUP($K451,'Property names'!$A$1:$D$100,4,FALSE)</f>
        <v>N/m</v>
      </c>
      <c r="O451" s="5" t="str">
        <f t="shared" si="7"/>
        <v>000008D6_000008D6_Tensiometer_min</v>
      </c>
      <c r="P451" s="5" t="str">
        <f t="shared" si="8"/>
        <v>The datastream containing mesures of field 000008D6 by sensor 000008D6 which measures Tensiometer.</v>
      </c>
      <c r="Q451" s="5" t="s">
        <v>653</v>
      </c>
    </row>
    <row r="452" spans="1:17" ht="12.75">
      <c r="A452" s="5" t="s">
        <v>402</v>
      </c>
      <c r="B452" s="5" t="s">
        <v>1232</v>
      </c>
      <c r="C452" s="5" t="s">
        <v>1207</v>
      </c>
      <c r="D452" s="5">
        <v>33.815888000000001</v>
      </c>
      <c r="E452" s="5">
        <v>35.910629999999998</v>
      </c>
      <c r="F452" s="5" t="s">
        <v>1232</v>
      </c>
      <c r="G452" s="5" t="s">
        <v>1208</v>
      </c>
      <c r="H452" s="5" t="s">
        <v>1209</v>
      </c>
      <c r="I452" s="5" t="s">
        <v>1210</v>
      </c>
      <c r="J452" s="5" t="s">
        <v>1250</v>
      </c>
      <c r="K452" s="5" t="s">
        <v>690</v>
      </c>
      <c r="L452" s="5" t="str">
        <f>VLOOKUP($K452,'Property names'!$A$1:$D$100,2,FALSE)</f>
        <v>A warning in case of water leak detected</v>
      </c>
      <c r="M452" s="5" t="str">
        <f>VLOOKUP($K452,'Property names'!$A$1:$D$100,3,FALSE)</f>
        <v>True / False</v>
      </c>
      <c r="N452" s="5" t="str">
        <f>VLOOKUP($K452,'Property names'!$A$1:$D$100,4,FALSE)</f>
        <v>N/A</v>
      </c>
      <c r="O452" s="5" t="str">
        <f t="shared" si="7"/>
        <v>000008D6_000008D6_Watermark_avg</v>
      </c>
      <c r="P452" s="5" t="str">
        <f t="shared" si="8"/>
        <v>The datastream containing mesures of field 000008D6 by sensor 000008D6 which measures Leak warning.</v>
      </c>
      <c r="Q452" s="5" t="s">
        <v>653</v>
      </c>
    </row>
    <row r="453" spans="1:17" ht="12.75">
      <c r="A453" s="5" t="s">
        <v>402</v>
      </c>
      <c r="B453" s="5" t="s">
        <v>1232</v>
      </c>
      <c r="C453" s="5" t="s">
        <v>1207</v>
      </c>
      <c r="D453" s="5">
        <v>33.815888000000001</v>
      </c>
      <c r="E453" s="5">
        <v>35.910629999999998</v>
      </c>
      <c r="F453" s="5" t="s">
        <v>1232</v>
      </c>
      <c r="G453" s="5" t="s">
        <v>1208</v>
      </c>
      <c r="H453" s="5" t="s">
        <v>1209</v>
      </c>
      <c r="I453" s="5" t="s">
        <v>1210</v>
      </c>
      <c r="J453" s="5" t="s">
        <v>1231</v>
      </c>
      <c r="K453" s="5" t="s">
        <v>1231</v>
      </c>
      <c r="L453" s="5" t="str">
        <f>VLOOKUP($K453,'Property names'!$A$1:$D$100,2,FALSE)</f>
        <v>The point in time at the middle of the night, commonly defined as 12:00 AM.</v>
      </c>
      <c r="M453" s="5" t="str">
        <f>VLOOKUP($K453,'Property names'!$A$1:$D$100,3,FALSE)</f>
        <v>-</v>
      </c>
      <c r="N453" s="5" t="str">
        <f>VLOOKUP($K453,'Property names'!$A$1:$D$100,4,FALSE)</f>
        <v>-</v>
      </c>
      <c r="O453" s="5" t="str">
        <f t="shared" si="7"/>
        <v>000008D6_000008D6_Midnight</v>
      </c>
      <c r="P453" s="5" t="str">
        <f t="shared" si="8"/>
        <v>The datastream containing mesures of field 000008D6 by sensor 000008D6 which measures Midnight.</v>
      </c>
      <c r="Q453" s="5" t="s">
        <v>653</v>
      </c>
    </row>
    <row r="454" spans="1:17" ht="12.75">
      <c r="A454" s="5" t="s">
        <v>402</v>
      </c>
      <c r="B454" s="195" t="s">
        <v>1251</v>
      </c>
      <c r="C454" s="5" t="s">
        <v>1207</v>
      </c>
      <c r="D454" s="5">
        <v>34.154980000000002</v>
      </c>
      <c r="E454" s="5">
        <v>36.085245</v>
      </c>
      <c r="F454" s="195" t="s">
        <v>1251</v>
      </c>
      <c r="G454" s="5" t="s">
        <v>1208</v>
      </c>
      <c r="H454" s="5" t="s">
        <v>1209</v>
      </c>
      <c r="I454" s="5" t="s">
        <v>1210</v>
      </c>
      <c r="J454" s="5" t="s">
        <v>1233</v>
      </c>
      <c r="K454" s="5" t="s">
        <v>1234</v>
      </c>
      <c r="L454" s="5" t="str">
        <f>VLOOKUP($K454,'Property names'!$A$1:$D$100,2,FALSE)</f>
        <v>Any form of water, liquid or solid, falling from the sky, such as rain, snow, or sleet.</v>
      </c>
      <c r="M454" s="5" t="str">
        <f>VLOOKUP($K454,'Property names'!$A$1:$D$100,3,FALSE)</f>
        <v>Millimeters</v>
      </c>
      <c r="N454" s="5" t="str">
        <f>VLOOKUP($K454,'Property names'!$A$1:$D$100,4,FALSE)</f>
        <v>mm</v>
      </c>
      <c r="O454" s="5" t="str">
        <f t="shared" si="7"/>
        <v>000008E5_000008E5_Precipitation_sum</v>
      </c>
      <c r="P454" s="5" t="str">
        <f t="shared" si="8"/>
        <v>The datastream containing mesures of field 000008E5 by sensor 000008E5 which measures Precipitation.</v>
      </c>
      <c r="Q454" s="5" t="s">
        <v>653</v>
      </c>
    </row>
    <row r="455" spans="1:17" ht="12.75">
      <c r="A455" s="5" t="s">
        <v>402</v>
      </c>
      <c r="B455" s="195" t="s">
        <v>1251</v>
      </c>
      <c r="C455" s="5" t="s">
        <v>1207</v>
      </c>
      <c r="D455" s="5">
        <v>34.154980000000002</v>
      </c>
      <c r="E455" s="5">
        <v>36.085245</v>
      </c>
      <c r="F455" s="195" t="s">
        <v>1251</v>
      </c>
      <c r="G455" s="5" t="s">
        <v>1208</v>
      </c>
      <c r="H455" s="5" t="s">
        <v>1209</v>
      </c>
      <c r="I455" s="5" t="s">
        <v>1210</v>
      </c>
      <c r="J455" s="5" t="s">
        <v>1235</v>
      </c>
      <c r="K455" s="5" t="s">
        <v>665</v>
      </c>
      <c r="L455" s="5" t="str">
        <f>VLOOKUP($K455,'Property names'!$A$1:$D$100,2,FALSE)</f>
        <v>The percentage of battery level associated to the specific sensor.</v>
      </c>
      <c r="M455" s="5" t="str">
        <f>VLOOKUP($K455,'Property names'!$A$1:$D$100,3,FALSE)</f>
        <v>Percentage</v>
      </c>
      <c r="N455" s="5" t="str">
        <f>VLOOKUP($K455,'Property names'!$A$1:$D$100,4,FALSE)</f>
        <v>%</v>
      </c>
      <c r="O455" s="5" t="str">
        <f t="shared" si="7"/>
        <v>000008E5_000008E5_Battery_last</v>
      </c>
      <c r="P455" s="5" t="str">
        <f t="shared" si="8"/>
        <v>The datastream containing mesures of field 000008E5 by sensor 000008E5 which measures Battery Level.</v>
      </c>
      <c r="Q455" s="5" t="s">
        <v>653</v>
      </c>
    </row>
    <row r="456" spans="1:17" ht="12.75">
      <c r="A456" s="5" t="s">
        <v>402</v>
      </c>
      <c r="B456" s="195" t="s">
        <v>1251</v>
      </c>
      <c r="C456" s="5" t="s">
        <v>1207</v>
      </c>
      <c r="D456" s="5">
        <v>34.154980000000002</v>
      </c>
      <c r="E456" s="5">
        <v>36.085245</v>
      </c>
      <c r="F456" s="195" t="s">
        <v>1251</v>
      </c>
      <c r="G456" s="5" t="s">
        <v>1208</v>
      </c>
      <c r="H456" s="5" t="s">
        <v>1209</v>
      </c>
      <c r="I456" s="5" t="s">
        <v>1210</v>
      </c>
      <c r="J456" s="5" t="s">
        <v>1236</v>
      </c>
      <c r="K456" s="5" t="s">
        <v>713</v>
      </c>
      <c r="L456" s="5" t="str">
        <f>VLOOKUP($K456,'Property names'!$A$1:$D$100,2,FALSE)</f>
        <v>The presence of moisture on the surface of plant leaves, often indicating favorable conditions for disease development.</v>
      </c>
      <c r="M456" s="5" t="str">
        <f>VLOOKUP($K456,'Property names'!$A$1:$D$100,3,FALSE)</f>
        <v>-</v>
      </c>
      <c r="N456" s="5" t="str">
        <f>VLOOKUP($K456,'Property names'!$A$1:$D$100,4,FALSE)</f>
        <v>-</v>
      </c>
      <c r="O456" s="5" t="str">
        <f t="shared" si="7"/>
        <v>000008E5_000008E5_Leaf_Wetness_time</v>
      </c>
      <c r="P456" s="5" t="str">
        <f t="shared" si="8"/>
        <v>The datastream containing mesures of field 000008E5 by sensor 000008E5 which measures Leaf Wetness.</v>
      </c>
      <c r="Q456" s="5" t="s">
        <v>653</v>
      </c>
    </row>
    <row r="457" spans="1:17" ht="12.75">
      <c r="A457" s="5" t="s">
        <v>402</v>
      </c>
      <c r="B457" s="195" t="s">
        <v>1251</v>
      </c>
      <c r="C457" s="5" t="s">
        <v>1207</v>
      </c>
      <c r="D457" s="5">
        <v>34.154980000000002</v>
      </c>
      <c r="E457" s="5">
        <v>36.085245</v>
      </c>
      <c r="F457" s="195" t="s">
        <v>1251</v>
      </c>
      <c r="G457" s="5" t="s">
        <v>1208</v>
      </c>
      <c r="H457" s="5" t="s">
        <v>1209</v>
      </c>
      <c r="I457" s="5" t="s">
        <v>1210</v>
      </c>
      <c r="J457" s="5" t="s">
        <v>1237</v>
      </c>
      <c r="K457" s="5" t="s">
        <v>652</v>
      </c>
      <c r="L457" s="5" t="str">
        <f>VLOOKUP($K457,'Property names'!$A$1:$D$100,2,FALSE)</f>
        <v>The measure of the hotness or coldness of the air.</v>
      </c>
      <c r="M457" s="5" t="str">
        <f>VLOOKUP($K457,'Property names'!$A$1:$D$100,3,FALSE)</f>
        <v>Degrees Celsius</v>
      </c>
      <c r="N457" s="5" t="str">
        <f>VLOOKUP($K457,'Property names'!$A$1:$D$100,4,FALSE)</f>
        <v>ºC</v>
      </c>
      <c r="O457" s="5" t="str">
        <f t="shared" si="7"/>
        <v>000008E5_000008E5_HC_Air_temperature_avg</v>
      </c>
      <c r="P457" s="5" t="str">
        <f t="shared" si="8"/>
        <v>The datastream containing mesures of field 000008E5 by sensor 000008E5 which measures Air Temperature.</v>
      </c>
      <c r="Q457" s="5" t="s">
        <v>653</v>
      </c>
    </row>
    <row r="458" spans="1:17" ht="12.75">
      <c r="A458" s="5" t="s">
        <v>402</v>
      </c>
      <c r="B458" s="195" t="s">
        <v>1251</v>
      </c>
      <c r="C458" s="5" t="s">
        <v>1207</v>
      </c>
      <c r="D458" s="5">
        <v>34.154980000000002</v>
      </c>
      <c r="E458" s="5">
        <v>36.085245</v>
      </c>
      <c r="F458" s="195" t="s">
        <v>1251</v>
      </c>
      <c r="G458" s="5" t="s">
        <v>1208</v>
      </c>
      <c r="H458" s="5" t="s">
        <v>1209</v>
      </c>
      <c r="I458" s="5" t="s">
        <v>1210</v>
      </c>
      <c r="J458" s="5" t="s">
        <v>1238</v>
      </c>
      <c r="K458" s="5" t="s">
        <v>652</v>
      </c>
      <c r="L458" s="5" t="str">
        <f>VLOOKUP($K458,'Property names'!$A$1:$D$100,2,FALSE)</f>
        <v>The measure of the hotness or coldness of the air.</v>
      </c>
      <c r="M458" s="5" t="str">
        <f>VLOOKUP($K458,'Property names'!$A$1:$D$100,3,FALSE)</f>
        <v>Degrees Celsius</v>
      </c>
      <c r="N458" s="5" t="str">
        <f>VLOOKUP($K458,'Property names'!$A$1:$D$100,4,FALSE)</f>
        <v>ºC</v>
      </c>
      <c r="O458" s="5" t="str">
        <f t="shared" si="7"/>
        <v>000008E5_000008E5_HC_Air_temperature_max</v>
      </c>
      <c r="P458" s="5" t="str">
        <f t="shared" si="8"/>
        <v>The datastream containing mesures of field 000008E5 by sensor 000008E5 which measures Air Temperature.</v>
      </c>
      <c r="Q458" s="5" t="s">
        <v>653</v>
      </c>
    </row>
    <row r="459" spans="1:17" ht="12.75">
      <c r="A459" s="5" t="s">
        <v>402</v>
      </c>
      <c r="B459" s="195" t="s">
        <v>1251</v>
      </c>
      <c r="C459" s="5" t="s">
        <v>1207</v>
      </c>
      <c r="D459" s="5">
        <v>34.154980000000002</v>
      </c>
      <c r="E459" s="5">
        <v>36.085245</v>
      </c>
      <c r="F459" s="195" t="s">
        <v>1251</v>
      </c>
      <c r="G459" s="5" t="s">
        <v>1208</v>
      </c>
      <c r="H459" s="5" t="s">
        <v>1209</v>
      </c>
      <c r="I459" s="5" t="s">
        <v>1210</v>
      </c>
      <c r="J459" s="5" t="s">
        <v>1239</v>
      </c>
      <c r="K459" s="5" t="s">
        <v>652</v>
      </c>
      <c r="L459" s="5" t="str">
        <f>VLOOKUP($K459,'Property names'!$A$1:$D$100,2,FALSE)</f>
        <v>The measure of the hotness or coldness of the air.</v>
      </c>
      <c r="M459" s="5" t="str">
        <f>VLOOKUP($K459,'Property names'!$A$1:$D$100,3,FALSE)</f>
        <v>Degrees Celsius</v>
      </c>
      <c r="N459" s="5" t="str">
        <f>VLOOKUP($K459,'Property names'!$A$1:$D$100,4,FALSE)</f>
        <v>ºC</v>
      </c>
      <c r="O459" s="5" t="str">
        <f t="shared" si="7"/>
        <v>000008E5_000008E5_HC_Air_temperature_min</v>
      </c>
      <c r="P459" s="5" t="str">
        <f t="shared" si="8"/>
        <v>The datastream containing mesures of field 000008E5 by sensor 000008E5 which measures Air Temperature.</v>
      </c>
      <c r="Q459" s="5" t="s">
        <v>653</v>
      </c>
    </row>
    <row r="460" spans="1:17" ht="12.75">
      <c r="A460" s="5" t="s">
        <v>402</v>
      </c>
      <c r="B460" s="195" t="s">
        <v>1251</v>
      </c>
      <c r="C460" s="5" t="s">
        <v>1207</v>
      </c>
      <c r="D460" s="5">
        <v>34.154980000000002</v>
      </c>
      <c r="E460" s="5">
        <v>36.085245</v>
      </c>
      <c r="F460" s="195" t="s">
        <v>1251</v>
      </c>
      <c r="G460" s="5" t="s">
        <v>1208</v>
      </c>
      <c r="H460" s="5" t="s">
        <v>1209</v>
      </c>
      <c r="I460" s="5" t="s">
        <v>1210</v>
      </c>
      <c r="J460" s="5" t="s">
        <v>1240</v>
      </c>
      <c r="K460" s="5" t="s">
        <v>655</v>
      </c>
      <c r="L460" s="5" t="str">
        <f>VLOOKUP($K460,'Property names'!$A$1:$D$100,2,FALSE)</f>
        <v>The amount of moisture or water vapor present in the air, often expressed as a percentage of the maximum amount the air could hold at a given temperature.</v>
      </c>
      <c r="M460" s="5" t="str">
        <f>VLOOKUP($K460,'Property names'!$A$1:$D$100,3,FALSE)</f>
        <v>Percentage</v>
      </c>
      <c r="N460" s="5" t="str">
        <f>VLOOKUP($K460,'Property names'!$A$1:$D$100,4,FALSE)</f>
        <v>%</v>
      </c>
      <c r="O460" s="5" t="str">
        <f t="shared" si="7"/>
        <v>000008E5_000008E5_HC_Relative_humidity_avg</v>
      </c>
      <c r="P460" s="5" t="str">
        <f t="shared" si="8"/>
        <v>The datastream containing mesures of field 000008E5 by sensor 000008E5 which measures Air Humidity.</v>
      </c>
      <c r="Q460" s="5" t="s">
        <v>653</v>
      </c>
    </row>
    <row r="461" spans="1:17" ht="12.75">
      <c r="A461" s="5" t="s">
        <v>402</v>
      </c>
      <c r="B461" s="195" t="s">
        <v>1251</v>
      </c>
      <c r="C461" s="5" t="s">
        <v>1207</v>
      </c>
      <c r="D461" s="5">
        <v>34.154980000000002</v>
      </c>
      <c r="E461" s="5">
        <v>36.085245</v>
      </c>
      <c r="F461" s="195" t="s">
        <v>1251</v>
      </c>
      <c r="G461" s="5" t="s">
        <v>1208</v>
      </c>
      <c r="H461" s="5" t="s">
        <v>1209</v>
      </c>
      <c r="I461" s="5" t="s">
        <v>1210</v>
      </c>
      <c r="J461" s="5" t="s">
        <v>1241</v>
      </c>
      <c r="K461" s="5" t="s">
        <v>655</v>
      </c>
      <c r="L461" s="5" t="str">
        <f>VLOOKUP($K461,'Property names'!$A$1:$D$100,2,FALSE)</f>
        <v>The amount of moisture or water vapor present in the air, often expressed as a percentage of the maximum amount the air could hold at a given temperature.</v>
      </c>
      <c r="M461" s="5" t="str">
        <f>VLOOKUP($K461,'Property names'!$A$1:$D$100,3,FALSE)</f>
        <v>Percentage</v>
      </c>
      <c r="N461" s="5" t="str">
        <f>VLOOKUP($K461,'Property names'!$A$1:$D$100,4,FALSE)</f>
        <v>%</v>
      </c>
      <c r="O461" s="5" t="str">
        <f t="shared" si="7"/>
        <v>000008E5_000008E5_HC_Relative_humidity_max</v>
      </c>
      <c r="P461" s="5" t="str">
        <f t="shared" si="8"/>
        <v>The datastream containing mesures of field 000008E5 by sensor 000008E5 which measures Air Humidity.</v>
      </c>
      <c r="Q461" s="5" t="s">
        <v>653</v>
      </c>
    </row>
    <row r="462" spans="1:17" ht="12.75">
      <c r="A462" s="5" t="s">
        <v>402</v>
      </c>
      <c r="B462" s="195" t="s">
        <v>1251</v>
      </c>
      <c r="C462" s="5" t="s">
        <v>1207</v>
      </c>
      <c r="D462" s="5">
        <v>34.154980000000002</v>
      </c>
      <c r="E462" s="5">
        <v>36.085245</v>
      </c>
      <c r="F462" s="195" t="s">
        <v>1251</v>
      </c>
      <c r="G462" s="5" t="s">
        <v>1208</v>
      </c>
      <c r="H462" s="5" t="s">
        <v>1209</v>
      </c>
      <c r="I462" s="5" t="s">
        <v>1210</v>
      </c>
      <c r="J462" s="5" t="s">
        <v>1242</v>
      </c>
      <c r="K462" s="5" t="s">
        <v>655</v>
      </c>
      <c r="L462" s="5" t="str">
        <f>VLOOKUP($K462,'Property names'!$A$1:$D$100,2,FALSE)</f>
        <v>The amount of moisture or water vapor present in the air, often expressed as a percentage of the maximum amount the air could hold at a given temperature.</v>
      </c>
      <c r="M462" s="5" t="str">
        <f>VLOOKUP($K462,'Property names'!$A$1:$D$100,3,FALSE)</f>
        <v>Percentage</v>
      </c>
      <c r="N462" s="5" t="str">
        <f>VLOOKUP($K462,'Property names'!$A$1:$D$100,4,FALSE)</f>
        <v>%</v>
      </c>
      <c r="O462" s="5" t="str">
        <f t="shared" si="7"/>
        <v>000008E5_000008E5_HC_Relative_humidity_min</v>
      </c>
      <c r="P462" s="5" t="str">
        <f t="shared" si="8"/>
        <v>The datastream containing mesures of field 000008E5 by sensor 000008E5 which measures Air Humidity.</v>
      </c>
      <c r="Q462" s="5" t="s">
        <v>653</v>
      </c>
    </row>
    <row r="463" spans="1:17" ht="12.75">
      <c r="A463" s="5" t="s">
        <v>402</v>
      </c>
      <c r="B463" s="195" t="s">
        <v>1251</v>
      </c>
      <c r="C463" s="5" t="s">
        <v>1207</v>
      </c>
      <c r="D463" s="5">
        <v>34.154980000000002</v>
      </c>
      <c r="E463" s="5">
        <v>36.085245</v>
      </c>
      <c r="F463" s="195" t="s">
        <v>1251</v>
      </c>
      <c r="G463" s="5" t="s">
        <v>1208</v>
      </c>
      <c r="H463" s="5" t="s">
        <v>1209</v>
      </c>
      <c r="I463" s="5" t="s">
        <v>1210</v>
      </c>
      <c r="J463" s="5" t="s">
        <v>1243</v>
      </c>
      <c r="K463" s="5" t="s">
        <v>1244</v>
      </c>
      <c r="L463" s="5" t="str">
        <f>VLOOKUP($K463,'Property names'!$A$1:$D$100,2,FALSE)</f>
        <v>The temperature at which air becomes saturated with moisture, leading to the formation of dew or condensation.</v>
      </c>
      <c r="M463" s="5" t="str">
        <f>VLOOKUP($K463,'Property names'!$A$1:$D$100,3,FALSE)</f>
        <v>Degrees Celsius</v>
      </c>
      <c r="N463" s="5" t="str">
        <f>VLOOKUP($K463,'Property names'!$A$1:$D$100,4,FALSE)</f>
        <v>ºC</v>
      </c>
      <c r="O463" s="5" t="str">
        <f t="shared" si="7"/>
        <v>000008E5_000008E5_Dew_Point_avg</v>
      </c>
      <c r="P463" s="5" t="str">
        <f t="shared" si="8"/>
        <v>The datastream containing mesures of field 000008E5 by sensor 000008E5 which measures Dew Point.</v>
      </c>
      <c r="Q463" s="5" t="s">
        <v>653</v>
      </c>
    </row>
    <row r="464" spans="1:17" ht="12.75">
      <c r="A464" s="5" t="s">
        <v>402</v>
      </c>
      <c r="B464" s="195" t="s">
        <v>1251</v>
      </c>
      <c r="C464" s="5" t="s">
        <v>1207</v>
      </c>
      <c r="D464" s="5">
        <v>34.154980000000002</v>
      </c>
      <c r="E464" s="5">
        <v>36.085245</v>
      </c>
      <c r="F464" s="195" t="s">
        <v>1251</v>
      </c>
      <c r="G464" s="5" t="s">
        <v>1208</v>
      </c>
      <c r="H464" s="5" t="s">
        <v>1209</v>
      </c>
      <c r="I464" s="5" t="s">
        <v>1210</v>
      </c>
      <c r="J464" s="5" t="s">
        <v>1245</v>
      </c>
      <c r="K464" s="5" t="s">
        <v>1244</v>
      </c>
      <c r="L464" s="5" t="str">
        <f>VLOOKUP($K464,'Property names'!$A$1:$D$100,2,FALSE)</f>
        <v>The temperature at which air becomes saturated with moisture, leading to the formation of dew or condensation.</v>
      </c>
      <c r="M464" s="5" t="str">
        <f>VLOOKUP($K464,'Property names'!$A$1:$D$100,3,FALSE)</f>
        <v>Degrees Celsius</v>
      </c>
      <c r="N464" s="5" t="str">
        <f>VLOOKUP($K464,'Property names'!$A$1:$D$100,4,FALSE)</f>
        <v>ºC</v>
      </c>
      <c r="O464" s="5" t="str">
        <f t="shared" si="7"/>
        <v>000008E5_000008E5_Dew_Point_min</v>
      </c>
      <c r="P464" s="5" t="str">
        <f t="shared" si="8"/>
        <v>The datastream containing mesures of field 000008E5 by sensor 000008E5 which measures Dew Point.</v>
      </c>
      <c r="Q464" s="5" t="s">
        <v>653</v>
      </c>
    </row>
    <row r="465" spans="1:17" ht="12.75">
      <c r="A465" s="5" t="s">
        <v>402</v>
      </c>
      <c r="B465" s="195" t="s">
        <v>1251</v>
      </c>
      <c r="C465" s="5" t="s">
        <v>1207</v>
      </c>
      <c r="D465" s="5">
        <v>34.154980000000002</v>
      </c>
      <c r="E465" s="5">
        <v>36.085245</v>
      </c>
      <c r="F465" s="195" t="s">
        <v>1251</v>
      </c>
      <c r="G465" s="5" t="s">
        <v>1208</v>
      </c>
      <c r="H465" s="5" t="s">
        <v>1209</v>
      </c>
      <c r="I465" s="5" t="s">
        <v>1210</v>
      </c>
      <c r="J465" s="5" t="s">
        <v>1246</v>
      </c>
      <c r="K465" s="5" t="s">
        <v>1247</v>
      </c>
      <c r="L465" s="5" t="str">
        <f>VLOOKUP($K465,'Property names'!$A$1:$D$100,2,FALSE)</f>
        <v>Device used to measure the surface tension of a liquid, typically by observing the height to which the liquid rises in a fine tube against the force of gravity.</v>
      </c>
      <c r="M465" s="5" t="str">
        <f>VLOOKUP($K465,'Property names'!$A$1:$D$100,3,FALSE)</f>
        <v>Newtons per meter</v>
      </c>
      <c r="N465" s="5" t="str">
        <f>VLOOKUP($K465,'Property names'!$A$1:$D$100,4,FALSE)</f>
        <v>N/m</v>
      </c>
      <c r="O465" s="5" t="str">
        <f t="shared" si="7"/>
        <v>000008E5_000008E5_Tensiometer_avg</v>
      </c>
      <c r="P465" s="5" t="str">
        <f t="shared" si="8"/>
        <v>The datastream containing mesures of field 000008E5 by sensor 000008E5 which measures Tensiometer.</v>
      </c>
      <c r="Q465" s="5" t="s">
        <v>653</v>
      </c>
    </row>
    <row r="466" spans="1:17" ht="12.75">
      <c r="A466" s="5" t="s">
        <v>402</v>
      </c>
      <c r="B466" s="195" t="s">
        <v>1251</v>
      </c>
      <c r="C466" s="5" t="s">
        <v>1207</v>
      </c>
      <c r="D466" s="5">
        <v>34.154980000000002</v>
      </c>
      <c r="E466" s="5">
        <v>36.085245</v>
      </c>
      <c r="F466" s="195" t="s">
        <v>1251</v>
      </c>
      <c r="G466" s="5" t="s">
        <v>1208</v>
      </c>
      <c r="H466" s="5" t="s">
        <v>1209</v>
      </c>
      <c r="I466" s="5" t="s">
        <v>1210</v>
      </c>
      <c r="J466" s="5" t="s">
        <v>1248</v>
      </c>
      <c r="K466" s="5" t="s">
        <v>1247</v>
      </c>
      <c r="L466" s="5" t="str">
        <f>VLOOKUP($K466,'Property names'!$A$1:$D$100,2,FALSE)</f>
        <v>Device used to measure the surface tension of a liquid, typically by observing the height to which the liquid rises in a fine tube against the force of gravity.</v>
      </c>
      <c r="M466" s="5" t="str">
        <f>VLOOKUP($K466,'Property names'!$A$1:$D$100,3,FALSE)</f>
        <v>Newtons per meter</v>
      </c>
      <c r="N466" s="5" t="str">
        <f>VLOOKUP($K466,'Property names'!$A$1:$D$100,4,FALSE)</f>
        <v>N/m</v>
      </c>
      <c r="O466" s="5" t="str">
        <f t="shared" si="7"/>
        <v>000008E5_000008E5_Tensiometer_max</v>
      </c>
      <c r="P466" s="5" t="str">
        <f t="shared" si="8"/>
        <v>The datastream containing mesures of field 000008E5 by sensor 000008E5 which measures Tensiometer.</v>
      </c>
      <c r="Q466" s="5" t="s">
        <v>653</v>
      </c>
    </row>
    <row r="467" spans="1:17" ht="12.75">
      <c r="A467" s="5" t="s">
        <v>402</v>
      </c>
      <c r="B467" s="195" t="s">
        <v>1251</v>
      </c>
      <c r="C467" s="5" t="s">
        <v>1207</v>
      </c>
      <c r="D467" s="5">
        <v>34.154980000000002</v>
      </c>
      <c r="E467" s="5">
        <v>36.085245</v>
      </c>
      <c r="F467" s="195" t="s">
        <v>1251</v>
      </c>
      <c r="G467" s="5" t="s">
        <v>1208</v>
      </c>
      <c r="H467" s="5" t="s">
        <v>1209</v>
      </c>
      <c r="I467" s="5" t="s">
        <v>1210</v>
      </c>
      <c r="J467" s="5" t="s">
        <v>1249</v>
      </c>
      <c r="K467" s="5" t="s">
        <v>1247</v>
      </c>
      <c r="L467" s="5" t="str">
        <f>VLOOKUP($K467,'Property names'!$A$1:$D$100,2,FALSE)</f>
        <v>Device used to measure the surface tension of a liquid, typically by observing the height to which the liquid rises in a fine tube against the force of gravity.</v>
      </c>
      <c r="M467" s="5" t="str">
        <f>VLOOKUP($K467,'Property names'!$A$1:$D$100,3,FALSE)</f>
        <v>Newtons per meter</v>
      </c>
      <c r="N467" s="5" t="str">
        <f>VLOOKUP($K467,'Property names'!$A$1:$D$100,4,FALSE)</f>
        <v>N/m</v>
      </c>
      <c r="O467" s="5" t="str">
        <f t="shared" si="7"/>
        <v>000008E5_000008E5_Tensiometer_min</v>
      </c>
      <c r="P467" s="5" t="str">
        <f t="shared" si="8"/>
        <v>The datastream containing mesures of field 000008E5 by sensor 000008E5 which measures Tensiometer.</v>
      </c>
      <c r="Q467" s="5" t="s">
        <v>653</v>
      </c>
    </row>
    <row r="468" spans="1:17" ht="12.75">
      <c r="A468" s="5" t="s">
        <v>402</v>
      </c>
      <c r="B468" s="195" t="s">
        <v>1251</v>
      </c>
      <c r="C468" s="5" t="s">
        <v>1207</v>
      </c>
      <c r="D468" s="5">
        <v>34.154980000000002</v>
      </c>
      <c r="E468" s="5">
        <v>36.085245</v>
      </c>
      <c r="F468" s="195" t="s">
        <v>1251</v>
      </c>
      <c r="G468" s="5" t="s">
        <v>1208</v>
      </c>
      <c r="H468" s="5" t="s">
        <v>1209</v>
      </c>
      <c r="I468" s="5" t="s">
        <v>1210</v>
      </c>
      <c r="J468" s="5" t="s">
        <v>1250</v>
      </c>
      <c r="K468" s="5" t="s">
        <v>690</v>
      </c>
      <c r="L468" s="5" t="str">
        <f>VLOOKUP($K468,'Property names'!$A$1:$D$100,2,FALSE)</f>
        <v>A warning in case of water leak detected</v>
      </c>
      <c r="M468" s="5" t="str">
        <f>VLOOKUP($K468,'Property names'!$A$1:$D$100,3,FALSE)</f>
        <v>True / False</v>
      </c>
      <c r="N468" s="5" t="str">
        <f>VLOOKUP($K468,'Property names'!$A$1:$D$100,4,FALSE)</f>
        <v>N/A</v>
      </c>
      <c r="O468" s="5" t="str">
        <f t="shared" si="7"/>
        <v>000008E5_000008E5_Watermark_avg</v>
      </c>
      <c r="P468" s="5" t="str">
        <f t="shared" si="8"/>
        <v>The datastream containing mesures of field 000008E5 by sensor 000008E5 which measures Leak warning.</v>
      </c>
      <c r="Q468" s="5" t="s">
        <v>653</v>
      </c>
    </row>
    <row r="469" spans="1:17" ht="12.75">
      <c r="A469" s="5" t="s">
        <v>402</v>
      </c>
      <c r="B469" s="195" t="s">
        <v>1251</v>
      </c>
      <c r="C469" s="5" t="s">
        <v>1207</v>
      </c>
      <c r="D469" s="5">
        <v>34.154980000000002</v>
      </c>
      <c r="E469" s="5">
        <v>36.085245</v>
      </c>
      <c r="F469" s="195" t="s">
        <v>1251</v>
      </c>
      <c r="G469" s="5" t="s">
        <v>1208</v>
      </c>
      <c r="H469" s="5" t="s">
        <v>1209</v>
      </c>
      <c r="I469" s="5" t="s">
        <v>1210</v>
      </c>
      <c r="J469" s="5" t="s">
        <v>1231</v>
      </c>
      <c r="K469" s="5" t="s">
        <v>1231</v>
      </c>
      <c r="L469" s="5" t="str">
        <f>VLOOKUP($K469,'Property names'!$A$1:$D$100,2,FALSE)</f>
        <v>The point in time at the middle of the night, commonly defined as 12:00 AM.</v>
      </c>
      <c r="M469" s="5" t="str">
        <f>VLOOKUP($K469,'Property names'!$A$1:$D$100,3,FALSE)</f>
        <v>-</v>
      </c>
      <c r="N469" s="5" t="str">
        <f>VLOOKUP($K469,'Property names'!$A$1:$D$100,4,FALSE)</f>
        <v>-</v>
      </c>
      <c r="O469" s="5" t="str">
        <f t="shared" si="7"/>
        <v>000008E5_000008E5_Midnight</v>
      </c>
      <c r="P469" s="5" t="str">
        <f t="shared" si="8"/>
        <v>The datastream containing mesures of field 000008E5 by sensor 000008E5 which measures Midnight.</v>
      </c>
      <c r="Q469" s="5" t="s">
        <v>653</v>
      </c>
    </row>
    <row r="470" spans="1:17" ht="12.75">
      <c r="A470" s="5" t="s">
        <v>248</v>
      </c>
      <c r="B470" s="5" t="s">
        <v>1252</v>
      </c>
      <c r="C470" s="5" t="s">
        <v>1253</v>
      </c>
      <c r="D470" s="5">
        <v>31.840202000000001</v>
      </c>
      <c r="E470" s="5">
        <v>35.638401000000002</v>
      </c>
      <c r="F470" s="5" t="s">
        <v>258</v>
      </c>
      <c r="G470" s="5" t="s">
        <v>1254</v>
      </c>
      <c r="H470" s="5" t="s">
        <v>260</v>
      </c>
      <c r="I470" s="5" t="s">
        <v>264</v>
      </c>
      <c r="J470" s="5" t="s">
        <v>1255</v>
      </c>
      <c r="K470" s="5" t="s">
        <v>1256</v>
      </c>
      <c r="L470" s="5" t="str">
        <f>VLOOKUP($K470,'Property names'!$A$1:$D$100,2,FALSE)</f>
        <v>The continuous movement of water in a particular direction.</v>
      </c>
      <c r="M470" s="5" t="str">
        <f>VLOOKUP($K470,'Property names'!$A$1:$D$100,3,FALSE)</f>
        <v>Cubic meters per hour</v>
      </c>
      <c r="N470" s="5" t="str">
        <f>VLOOKUP($K470,'Property names'!$A$1:$D$100,4,FALSE)</f>
        <v>m^3/h</v>
      </c>
      <c r="O470" s="5" t="str">
        <f t="shared" ref="O470:O522" si="9">SUBSTITUTE(CONCATENATE(B470,"_",F470,"_",J470)," ","_")</f>
        <v>Khalil_Al-Edwan_J001_water_flow</v>
      </c>
      <c r="P470" s="5" t="str">
        <f t="shared" ref="P470:P522" si="10">CONCATENATE("The datastream containing mesures of field ",B470," by sensor ",F470," which measures ",K470,".")</f>
        <v>The datastream containing mesures of field Khalil Al-Edwan by sensor J001 which measures Water flow m^3/h.</v>
      </c>
      <c r="Q470" s="5" t="s">
        <v>653</v>
      </c>
    </row>
    <row r="471" spans="1:17" ht="12.75">
      <c r="A471" s="5" t="s">
        <v>248</v>
      </c>
      <c r="B471" s="5" t="s">
        <v>1252</v>
      </c>
      <c r="C471" s="5" t="s">
        <v>1253</v>
      </c>
      <c r="D471" s="5">
        <v>31.840202000000001</v>
      </c>
      <c r="E471" s="5">
        <v>35.638401000000002</v>
      </c>
      <c r="F471" s="5" t="s">
        <v>258</v>
      </c>
      <c r="G471" s="5" t="s">
        <v>1254</v>
      </c>
      <c r="H471" s="5" t="s">
        <v>260</v>
      </c>
      <c r="I471" s="5" t="s">
        <v>264</v>
      </c>
      <c r="J471" s="5" t="s">
        <v>703</v>
      </c>
      <c r="K471" s="5" t="s">
        <v>705</v>
      </c>
      <c r="L471" s="5" t="str">
        <f>VLOOKUP($K471,'Property names'!$A$1:$D$100,2,FALSE)</f>
        <v>Incremental counting of water passed by the flowmeter</v>
      </c>
      <c r="M471" s="5" t="str">
        <f>VLOOKUP($K471,'Property names'!$A$1:$D$100,3,FALSE)</f>
        <v>Cubic meters</v>
      </c>
      <c r="N471" s="5" t="str">
        <f>VLOOKUP($K471,'Property names'!$A$1:$D$100,4,FALSE)</f>
        <v>m^3</v>
      </c>
      <c r="O471" s="5" t="str">
        <f t="shared" si="9"/>
        <v>Khalil_Al-Edwan_J001_water_count</v>
      </c>
      <c r="P471" s="5" t="str">
        <f t="shared" si="10"/>
        <v>The datastream containing mesures of field Khalil Al-Edwan by sensor J001 which measures Water count m^3.</v>
      </c>
      <c r="Q471" s="5" t="s">
        <v>653</v>
      </c>
    </row>
    <row r="472" spans="1:17" ht="12.75">
      <c r="A472" s="5" t="s">
        <v>248</v>
      </c>
      <c r="B472" s="5" t="s">
        <v>1252</v>
      </c>
      <c r="C472" s="5" t="s">
        <v>1253</v>
      </c>
      <c r="D472" s="5">
        <v>31.840202000000001</v>
      </c>
      <c r="E472" s="5">
        <v>35.638401000000002</v>
      </c>
      <c r="F472" s="5" t="s">
        <v>268</v>
      </c>
      <c r="G472" s="5" t="s">
        <v>1257</v>
      </c>
      <c r="H472" s="5" t="s">
        <v>270</v>
      </c>
      <c r="I472" s="5" t="s">
        <v>273</v>
      </c>
      <c r="J472" s="5" t="s">
        <v>1258</v>
      </c>
      <c r="K472" s="5" t="s">
        <v>660</v>
      </c>
      <c r="L472" s="5" t="str">
        <f>VLOOKUP($K472,'Property names'!$A$1:$D$100,2,FALSE)</f>
        <v>The amount of moisture present in the soil, often expressed as a percentage of the maximum amount the soil could hold at a given temperature.</v>
      </c>
      <c r="M472" s="5" t="str">
        <f>VLOOKUP($K472,'Property names'!$A$1:$D$100,3,FALSE)</f>
        <v>Percentage</v>
      </c>
      <c r="N472" s="5" t="str">
        <f>VLOOKUP($K472,'Property names'!$A$1:$D$100,4,FALSE)</f>
        <v>%</v>
      </c>
      <c r="O472" s="5" t="str">
        <f t="shared" si="9"/>
        <v>Khalil_Al-Edwan_J002_soil_moisture_10</v>
      </c>
      <c r="P472" s="5" t="str">
        <f t="shared" si="10"/>
        <v>The datastream containing mesures of field Khalil Al-Edwan by sensor J002 which measures Soil Moisture.</v>
      </c>
      <c r="Q472" s="5" t="s">
        <v>653</v>
      </c>
    </row>
    <row r="473" spans="1:17" ht="12.75">
      <c r="A473" s="5" t="s">
        <v>248</v>
      </c>
      <c r="B473" s="5" t="s">
        <v>1252</v>
      </c>
      <c r="C473" s="5" t="s">
        <v>1253</v>
      </c>
      <c r="D473" s="5">
        <v>31.840202000000001</v>
      </c>
      <c r="E473" s="5">
        <v>35.638401000000002</v>
      </c>
      <c r="F473" s="5" t="s">
        <v>268</v>
      </c>
      <c r="G473" s="5" t="s">
        <v>1257</v>
      </c>
      <c r="H473" s="5" t="s">
        <v>270</v>
      </c>
      <c r="I473" s="5" t="s">
        <v>273</v>
      </c>
      <c r="J473" s="5" t="s">
        <v>1259</v>
      </c>
      <c r="K473" s="5" t="s">
        <v>660</v>
      </c>
      <c r="L473" s="5" t="str">
        <f>VLOOKUP($K473,'Property names'!$A$1:$D$100,2,FALSE)</f>
        <v>The amount of moisture present in the soil, often expressed as a percentage of the maximum amount the soil could hold at a given temperature.</v>
      </c>
      <c r="M473" s="5" t="str">
        <f>VLOOKUP($K473,'Property names'!$A$1:$D$100,3,FALSE)</f>
        <v>Percentage</v>
      </c>
      <c r="N473" s="5" t="str">
        <f>VLOOKUP($K473,'Property names'!$A$1:$D$100,4,FALSE)</f>
        <v>%</v>
      </c>
      <c r="O473" s="5" t="str">
        <f t="shared" si="9"/>
        <v>Khalil_Al-Edwan_J002_soil_moisture_20</v>
      </c>
      <c r="P473" s="5" t="str">
        <f t="shared" si="10"/>
        <v>The datastream containing mesures of field Khalil Al-Edwan by sensor J002 which measures Soil Moisture.</v>
      </c>
      <c r="Q473" s="5" t="s">
        <v>653</v>
      </c>
    </row>
    <row r="474" spans="1:17" ht="12.75">
      <c r="A474" s="5" t="s">
        <v>248</v>
      </c>
      <c r="B474" s="5" t="s">
        <v>1252</v>
      </c>
      <c r="C474" s="5" t="s">
        <v>1253</v>
      </c>
      <c r="D474" s="5">
        <v>31.840202000000001</v>
      </c>
      <c r="E474" s="5">
        <v>35.638401000000002</v>
      </c>
      <c r="F474" s="5" t="s">
        <v>268</v>
      </c>
      <c r="G474" s="5" t="s">
        <v>1257</v>
      </c>
      <c r="H474" s="5" t="s">
        <v>270</v>
      </c>
      <c r="I474" s="5" t="s">
        <v>273</v>
      </c>
      <c r="J474" s="5" t="s">
        <v>1260</v>
      </c>
      <c r="K474" s="5" t="s">
        <v>660</v>
      </c>
      <c r="L474" s="5" t="str">
        <f>VLOOKUP($K474,'Property names'!$A$1:$D$100,2,FALSE)</f>
        <v>The amount of moisture present in the soil, often expressed as a percentage of the maximum amount the soil could hold at a given temperature.</v>
      </c>
      <c r="M474" s="5" t="str">
        <f>VLOOKUP($K474,'Property names'!$A$1:$D$100,3,FALSE)</f>
        <v>Percentage</v>
      </c>
      <c r="N474" s="5" t="str">
        <f>VLOOKUP($K474,'Property names'!$A$1:$D$100,4,FALSE)</f>
        <v>%</v>
      </c>
      <c r="O474" s="5" t="str">
        <f t="shared" si="9"/>
        <v>Khalil_Al-Edwan_J002_soil_moisture_30</v>
      </c>
      <c r="P474" s="5" t="str">
        <f t="shared" si="10"/>
        <v>The datastream containing mesures of field Khalil Al-Edwan by sensor J002 which measures Soil Moisture.</v>
      </c>
      <c r="Q474" s="5" t="s">
        <v>653</v>
      </c>
    </row>
    <row r="475" spans="1:17" ht="12.75">
      <c r="A475" s="5" t="s">
        <v>248</v>
      </c>
      <c r="B475" s="5" t="s">
        <v>1252</v>
      </c>
      <c r="C475" s="5" t="s">
        <v>1253</v>
      </c>
      <c r="D475" s="5">
        <v>31.840202000000001</v>
      </c>
      <c r="E475" s="5">
        <v>35.638401000000002</v>
      </c>
      <c r="F475" s="5" t="s">
        <v>268</v>
      </c>
      <c r="G475" s="5" t="s">
        <v>1257</v>
      </c>
      <c r="H475" s="5" t="s">
        <v>270</v>
      </c>
      <c r="I475" s="5" t="s">
        <v>273</v>
      </c>
      <c r="J475" s="5" t="s">
        <v>1261</v>
      </c>
      <c r="K475" s="5" t="s">
        <v>660</v>
      </c>
      <c r="L475" s="5" t="str">
        <f>VLOOKUP($K475,'Property names'!$A$1:$D$100,2,FALSE)</f>
        <v>The amount of moisture present in the soil, often expressed as a percentage of the maximum amount the soil could hold at a given temperature.</v>
      </c>
      <c r="M475" s="5" t="str">
        <f>VLOOKUP($K475,'Property names'!$A$1:$D$100,3,FALSE)</f>
        <v>Percentage</v>
      </c>
      <c r="N475" s="5" t="str">
        <f>VLOOKUP($K475,'Property names'!$A$1:$D$100,4,FALSE)</f>
        <v>%</v>
      </c>
      <c r="O475" s="5" t="str">
        <f t="shared" si="9"/>
        <v>Khalil_Al-Edwan_J002_soil_moisture_45</v>
      </c>
      <c r="P475" s="5" t="str">
        <f t="shared" si="10"/>
        <v>The datastream containing mesures of field Khalil Al-Edwan by sensor J002 which measures Soil Moisture.</v>
      </c>
      <c r="Q475" s="5" t="s">
        <v>653</v>
      </c>
    </row>
    <row r="476" spans="1:17" ht="12.75">
      <c r="A476" s="5" t="s">
        <v>248</v>
      </c>
      <c r="B476" s="5" t="s">
        <v>1252</v>
      </c>
      <c r="C476" s="5" t="s">
        <v>1253</v>
      </c>
      <c r="D476" s="5">
        <v>31.840202000000001</v>
      </c>
      <c r="E476" s="5">
        <v>35.638401000000002</v>
      </c>
      <c r="F476" s="5" t="s">
        <v>268</v>
      </c>
      <c r="G476" s="5" t="s">
        <v>1257</v>
      </c>
      <c r="H476" s="5" t="s">
        <v>270</v>
      </c>
      <c r="I476" s="5" t="s">
        <v>273</v>
      </c>
      <c r="J476" s="5" t="s">
        <v>1262</v>
      </c>
      <c r="K476" s="5" t="s">
        <v>660</v>
      </c>
      <c r="L476" s="5" t="str">
        <f>VLOOKUP($K476,'Property names'!$A$1:$D$100,2,FALSE)</f>
        <v>The amount of moisture present in the soil, often expressed as a percentage of the maximum amount the soil could hold at a given temperature.</v>
      </c>
      <c r="M476" s="5" t="str">
        <f>VLOOKUP($K476,'Property names'!$A$1:$D$100,3,FALSE)</f>
        <v>Percentage</v>
      </c>
      <c r="N476" s="5" t="str">
        <f>VLOOKUP($K476,'Property names'!$A$1:$D$100,4,FALSE)</f>
        <v>%</v>
      </c>
      <c r="O476" s="5" t="str">
        <f t="shared" si="9"/>
        <v>Khalil_Al-Edwan_J002_soil_moisture_60</v>
      </c>
      <c r="P476" s="5" t="str">
        <f t="shared" si="10"/>
        <v>The datastream containing mesures of field Khalil Al-Edwan by sensor J002 which measures Soil Moisture.</v>
      </c>
      <c r="Q476" s="5" t="s">
        <v>653</v>
      </c>
    </row>
    <row r="477" spans="1:17" ht="12.75">
      <c r="A477" s="5" t="s">
        <v>248</v>
      </c>
      <c r="B477" s="5" t="s">
        <v>1252</v>
      </c>
      <c r="C477" s="5" t="s">
        <v>1253</v>
      </c>
      <c r="D477" s="5">
        <v>31.840202000000001</v>
      </c>
      <c r="E477" s="5">
        <v>35.638401000000002</v>
      </c>
      <c r="F477" s="5" t="s">
        <v>268</v>
      </c>
      <c r="G477" s="5" t="s">
        <v>1257</v>
      </c>
      <c r="H477" s="5" t="s">
        <v>270</v>
      </c>
      <c r="I477" s="5" t="s">
        <v>273</v>
      </c>
      <c r="J477" s="5" t="s">
        <v>1263</v>
      </c>
      <c r="K477" s="5" t="s">
        <v>660</v>
      </c>
      <c r="L477" s="5" t="str">
        <f>VLOOKUP($K477,'Property names'!$A$1:$D$100,2,FALSE)</f>
        <v>The amount of moisture present in the soil, often expressed as a percentage of the maximum amount the soil could hold at a given temperature.</v>
      </c>
      <c r="M477" s="5" t="str">
        <f>VLOOKUP($K477,'Property names'!$A$1:$D$100,3,FALSE)</f>
        <v>Percentage</v>
      </c>
      <c r="N477" s="5" t="str">
        <f>VLOOKUP($K477,'Property names'!$A$1:$D$100,4,FALSE)</f>
        <v>%</v>
      </c>
      <c r="O477" s="5" t="str">
        <f t="shared" si="9"/>
        <v>Khalil_Al-Edwan_J002_soil_moisture_90</v>
      </c>
      <c r="P477" s="5" t="str">
        <f t="shared" si="10"/>
        <v>The datastream containing mesures of field Khalil Al-Edwan by sensor J002 which measures Soil Moisture.</v>
      </c>
      <c r="Q477" s="5" t="s">
        <v>653</v>
      </c>
    </row>
    <row r="478" spans="1:17" ht="12.75">
      <c r="A478" s="5" t="s">
        <v>248</v>
      </c>
      <c r="B478" s="5" t="s">
        <v>1252</v>
      </c>
      <c r="C478" s="5" t="s">
        <v>1253</v>
      </c>
      <c r="D478" s="5">
        <v>31.840202000000001</v>
      </c>
      <c r="E478" s="5">
        <v>35.638401000000002</v>
      </c>
      <c r="F478" s="5" t="s">
        <v>268</v>
      </c>
      <c r="G478" s="5" t="s">
        <v>1257</v>
      </c>
      <c r="H478" s="5" t="s">
        <v>270</v>
      </c>
      <c r="I478" s="5" t="s">
        <v>273</v>
      </c>
      <c r="J478" s="5" t="s">
        <v>1264</v>
      </c>
      <c r="K478" s="5" t="s">
        <v>662</v>
      </c>
      <c r="L478" s="5" t="str">
        <f>VLOOKUP($K478,'Property names'!$A$1:$D$100,2,FALSE)</f>
        <v>The measure of temperature of the soil.</v>
      </c>
      <c r="M478" s="5" t="str">
        <f>VLOOKUP($K478,'Property names'!$A$1:$D$100,3,FALSE)</f>
        <v>Degrees Celsius</v>
      </c>
      <c r="N478" s="5" t="str">
        <f>VLOOKUP($K478,'Property names'!$A$1:$D$100,4,FALSE)</f>
        <v>ºC</v>
      </c>
      <c r="O478" s="5" t="str">
        <f t="shared" si="9"/>
        <v>Khalil_Al-Edwan_J002_soil_temperature_25</v>
      </c>
      <c r="P478" s="5" t="str">
        <f t="shared" si="10"/>
        <v>The datastream containing mesures of field Khalil Al-Edwan by sensor J002 which measures Soil Temperature.</v>
      </c>
      <c r="Q478" s="5" t="s">
        <v>653</v>
      </c>
    </row>
    <row r="479" spans="1:17" ht="12.75">
      <c r="A479" s="5" t="s">
        <v>248</v>
      </c>
      <c r="B479" s="5" t="s">
        <v>1252</v>
      </c>
      <c r="C479" s="5" t="s">
        <v>1253</v>
      </c>
      <c r="D479" s="5">
        <v>31.840202000000001</v>
      </c>
      <c r="E479" s="5">
        <v>35.638401000000002</v>
      </c>
      <c r="F479" s="5" t="s">
        <v>277</v>
      </c>
      <c r="G479" s="5" t="s">
        <v>1265</v>
      </c>
      <c r="H479" s="5" t="s">
        <v>279</v>
      </c>
      <c r="I479" s="5" t="s">
        <v>1266</v>
      </c>
      <c r="J479" s="5" t="s">
        <v>1267</v>
      </c>
      <c r="K479" s="5" t="s">
        <v>1268</v>
      </c>
      <c r="L479" s="5" t="str">
        <f>VLOOKUP($K479,'Property names'!$A$1:$D$100,2,FALSE)</f>
        <v>Measure of the acidity or alkalinity of a solution.</v>
      </c>
      <c r="M479" s="5" t="str">
        <f>VLOOKUP($K479,'Property names'!$A$1:$D$100,3,FALSE)</f>
        <v>-</v>
      </c>
      <c r="N479" s="5" t="str">
        <f>VLOOKUP($K479,'Property names'!$A$1:$D$100,4,FALSE)</f>
        <v>-</v>
      </c>
      <c r="O479" s="5" t="str">
        <f t="shared" si="9"/>
        <v>Khalil_Al-Edwan_J003_ph</v>
      </c>
      <c r="P479" s="5" t="str">
        <f t="shared" si="10"/>
        <v>The datastream containing mesures of field Khalil Al-Edwan by sensor J003 which measures pH.</v>
      </c>
      <c r="Q479" s="5" t="s">
        <v>1269</v>
      </c>
    </row>
    <row r="480" spans="1:17" ht="12.75">
      <c r="A480" s="5" t="s">
        <v>248</v>
      </c>
      <c r="B480" s="5" t="s">
        <v>1252</v>
      </c>
      <c r="C480" s="5" t="s">
        <v>1253</v>
      </c>
      <c r="D480" s="5">
        <v>31.840202000000001</v>
      </c>
      <c r="E480" s="5">
        <v>35.638401000000002</v>
      </c>
      <c r="F480" s="5" t="s">
        <v>277</v>
      </c>
      <c r="G480" s="5" t="s">
        <v>1265</v>
      </c>
      <c r="H480" s="5" t="s">
        <v>279</v>
      </c>
      <c r="I480" s="5" t="s">
        <v>1266</v>
      </c>
      <c r="J480" s="5" t="s">
        <v>1270</v>
      </c>
      <c r="K480" s="5" t="s">
        <v>1271</v>
      </c>
      <c r="L480" s="5" t="str">
        <f>VLOOKUP($K480,'Property names'!$A$1:$D$100,2,FALSE)</f>
        <v>Measure of the ability of a solution to conduct electricity.</v>
      </c>
      <c r="M480" s="5" t="str">
        <f>VLOOKUP($K480,'Property names'!$A$1:$D$100,3,FALSE)</f>
        <v>Microsiemens per centimeter</v>
      </c>
      <c r="N480" s="5" t="str">
        <f>VLOOKUP($K480,'Property names'!$A$1:$D$100,4,FALSE)</f>
        <v>μS/cm</v>
      </c>
      <c r="O480" s="5" t="str">
        <f t="shared" si="9"/>
        <v>Khalil_Al-Edwan_J003_ec</v>
      </c>
      <c r="P480" s="5" t="str">
        <f t="shared" si="10"/>
        <v>The datastream containing mesures of field Khalil Al-Edwan by sensor J003 which measures Electric Conductivity.</v>
      </c>
      <c r="Q480" s="5" t="s">
        <v>1269</v>
      </c>
    </row>
    <row r="481" spans="1:17" ht="12.75">
      <c r="A481" s="5" t="s">
        <v>248</v>
      </c>
      <c r="B481" s="5" t="s">
        <v>1252</v>
      </c>
      <c r="C481" s="5" t="s">
        <v>1253</v>
      </c>
      <c r="D481" s="5">
        <v>31.840202000000001</v>
      </c>
      <c r="E481" s="5">
        <v>35.638401000000002</v>
      </c>
      <c r="F481" s="5" t="s">
        <v>277</v>
      </c>
      <c r="G481" s="5" t="s">
        <v>1265</v>
      </c>
      <c r="H481" s="5" t="s">
        <v>279</v>
      </c>
      <c r="I481" s="5" t="s">
        <v>1266</v>
      </c>
      <c r="J481" s="5" t="s">
        <v>1272</v>
      </c>
      <c r="K481" s="5" t="s">
        <v>1273</v>
      </c>
      <c r="L481" s="5" t="str">
        <f>VLOOKUP($K481,'Property names'!$A$1:$D$100,2,FALSE)</f>
        <v>Concentration of ammonia.</v>
      </c>
      <c r="M481" s="5" t="str">
        <f>VLOOKUP($K481,'Property names'!$A$1:$D$100,3,FALSE)</f>
        <v>Milligrams per liter</v>
      </c>
      <c r="N481" s="5" t="str">
        <f>VLOOKUP($K481,'Property names'!$A$1:$D$100,4,FALSE)</f>
        <v>mg/L</v>
      </c>
      <c r="O481" s="5" t="str">
        <f t="shared" si="9"/>
        <v>Khalil_Al-Edwan_J003_nh3</v>
      </c>
      <c r="P481" s="5" t="str">
        <f t="shared" si="10"/>
        <v>The datastream containing mesures of field Khalil Al-Edwan by sensor J003 which measures NH3 / Ammonia.</v>
      </c>
      <c r="Q481" s="5" t="s">
        <v>1269</v>
      </c>
    </row>
    <row r="482" spans="1:17" ht="12.75">
      <c r="A482" s="5" t="s">
        <v>248</v>
      </c>
      <c r="B482" s="5" t="s">
        <v>1252</v>
      </c>
      <c r="C482" s="5" t="s">
        <v>1253</v>
      </c>
      <c r="D482" s="5">
        <v>31.840202000000001</v>
      </c>
      <c r="E482" s="5">
        <v>35.638401000000002</v>
      </c>
      <c r="F482" s="5" t="s">
        <v>277</v>
      </c>
      <c r="G482" s="5" t="s">
        <v>1265</v>
      </c>
      <c r="H482" s="5" t="s">
        <v>279</v>
      </c>
      <c r="I482" s="5" t="s">
        <v>1266</v>
      </c>
      <c r="J482" s="5" t="s">
        <v>1274</v>
      </c>
      <c r="K482" s="5" t="s">
        <v>1275</v>
      </c>
      <c r="L482" s="5" t="str">
        <f>VLOOKUP($K482,'Property names'!$A$1:$D$100,2,FALSE)</f>
        <v>Concentration of nitrogen.</v>
      </c>
      <c r="M482" s="5" t="str">
        <f>VLOOKUP($K482,'Property names'!$A$1:$D$100,3,FALSE)</f>
        <v>Milligrams per liter</v>
      </c>
      <c r="N482" s="5" t="str">
        <f>VLOOKUP($K482,'Property names'!$A$1:$D$100,4,FALSE)</f>
        <v>mg/L</v>
      </c>
      <c r="O482" s="5" t="str">
        <f t="shared" si="9"/>
        <v>Khalil_Al-Edwan_J003_no4</v>
      </c>
      <c r="P482" s="5" t="str">
        <f t="shared" si="10"/>
        <v>The datastream containing mesures of field Khalil Al-Edwan by sensor J003 which measures NO4 / Nitrate.</v>
      </c>
      <c r="Q482" s="5" t="s">
        <v>1269</v>
      </c>
    </row>
    <row r="483" spans="1:17" ht="12.75">
      <c r="A483" s="5" t="s">
        <v>248</v>
      </c>
      <c r="B483" s="5" t="s">
        <v>1252</v>
      </c>
      <c r="C483" s="5" t="s">
        <v>1253</v>
      </c>
      <c r="D483" s="5">
        <v>31.840202000000001</v>
      </c>
      <c r="E483" s="5">
        <v>35.638401000000002</v>
      </c>
      <c r="F483" s="5" t="s">
        <v>277</v>
      </c>
      <c r="G483" s="5" t="s">
        <v>1265</v>
      </c>
      <c r="H483" s="5" t="s">
        <v>279</v>
      </c>
      <c r="I483" s="5" t="s">
        <v>1266</v>
      </c>
      <c r="J483" s="5" t="s">
        <v>1276</v>
      </c>
      <c r="K483" s="5" t="s">
        <v>1277</v>
      </c>
      <c r="L483" s="5" t="str">
        <f>VLOOKUP($K483,'Property names'!$A$1:$D$100,2,FALSE)</f>
        <v>The measure of the hotness or coldness of something.</v>
      </c>
      <c r="M483" s="5" t="str">
        <f>VLOOKUP($K483,'Property names'!$A$1:$D$100,3,FALSE)</f>
        <v>Degrees Celsius</v>
      </c>
      <c r="N483" s="5" t="str">
        <f>VLOOKUP($K483,'Property names'!$A$1:$D$100,4,FALSE)</f>
        <v>ºC</v>
      </c>
      <c r="O483" s="5" t="str">
        <f t="shared" si="9"/>
        <v>Khalil_Al-Edwan_J003_temperature</v>
      </c>
      <c r="P483" s="5" t="str">
        <f t="shared" si="10"/>
        <v>The datastream containing mesures of field Khalil Al-Edwan by sensor J003 which measures Temperature.</v>
      </c>
      <c r="Q483" s="5" t="s">
        <v>1269</v>
      </c>
    </row>
    <row r="484" spans="1:17" ht="12.75">
      <c r="A484" s="5" t="s">
        <v>248</v>
      </c>
      <c r="B484" s="5" t="s">
        <v>1252</v>
      </c>
      <c r="C484" s="5" t="s">
        <v>1253</v>
      </c>
      <c r="D484" s="5">
        <v>31.840202000000001</v>
      </c>
      <c r="E484" s="5">
        <v>35.638401000000002</v>
      </c>
      <c r="F484" s="5" t="s">
        <v>289</v>
      </c>
      <c r="G484" s="5" t="s">
        <v>1278</v>
      </c>
      <c r="H484" s="5" t="s">
        <v>291</v>
      </c>
      <c r="I484" s="5" t="s">
        <v>294</v>
      </c>
      <c r="J484" s="5" t="s">
        <v>1279</v>
      </c>
      <c r="K484" s="5" t="s">
        <v>1280</v>
      </c>
      <c r="L484" s="66" t="s">
        <v>1281</v>
      </c>
      <c r="M484" s="5" t="s">
        <v>1282</v>
      </c>
      <c r="N484" s="5" t="s">
        <v>1283</v>
      </c>
      <c r="O484" s="5" t="str">
        <f t="shared" si="9"/>
        <v>Khalil_Al-Edwan_J018_water_level</v>
      </c>
      <c r="P484" s="5" t="str">
        <f t="shared" si="10"/>
        <v>The datastream containing mesures of field Khalil Al-Edwan by sensor J018 which measures Water level cm.</v>
      </c>
      <c r="Q484" s="5" t="s">
        <v>1269</v>
      </c>
    </row>
    <row r="485" spans="1:17" ht="12.75">
      <c r="A485" s="5" t="s">
        <v>248</v>
      </c>
      <c r="B485" s="5" t="s">
        <v>1284</v>
      </c>
      <c r="C485" s="5" t="s">
        <v>1253</v>
      </c>
      <c r="D485" s="5">
        <v>32.240135000000002</v>
      </c>
      <c r="E485" s="5">
        <v>35.613776999999999</v>
      </c>
      <c r="F485" s="5" t="s">
        <v>305</v>
      </c>
      <c r="G485" s="5" t="s">
        <v>1254</v>
      </c>
      <c r="H485" s="5" t="s">
        <v>260</v>
      </c>
      <c r="I485" s="5" t="s">
        <v>307</v>
      </c>
      <c r="J485" s="5" t="s">
        <v>1255</v>
      </c>
      <c r="K485" s="5" t="s">
        <v>1256</v>
      </c>
      <c r="L485" s="5" t="str">
        <f>VLOOKUP($K485,'Property names'!$A$1:$D$100,2,FALSE)</f>
        <v>The continuous movement of water in a particular direction.</v>
      </c>
      <c r="M485" s="5" t="str">
        <f>VLOOKUP($K485,'Property names'!$A$1:$D$100,3,FALSE)</f>
        <v>Cubic meters per hour</v>
      </c>
      <c r="N485" s="5" t="str">
        <f>VLOOKUP($K485,'Property names'!$A$1:$D$100,4,FALSE)</f>
        <v>m^3/h</v>
      </c>
      <c r="O485" s="5" t="str">
        <f t="shared" si="9"/>
        <v>Mahmoud_Al-Rajbi_J004_water_flow</v>
      </c>
      <c r="P485" s="5" t="str">
        <f t="shared" si="10"/>
        <v>The datastream containing mesures of field Mahmoud Al-Rajbi by sensor J004 which measures Water flow m^3/h.</v>
      </c>
      <c r="Q485" s="5" t="s">
        <v>653</v>
      </c>
    </row>
    <row r="486" spans="1:17" ht="12.75">
      <c r="A486" s="5" t="s">
        <v>248</v>
      </c>
      <c r="B486" s="5" t="s">
        <v>1284</v>
      </c>
      <c r="C486" s="5" t="s">
        <v>1253</v>
      </c>
      <c r="D486" s="5">
        <v>32.240135000000002</v>
      </c>
      <c r="E486" s="5">
        <v>35.613776999999999</v>
      </c>
      <c r="F486" s="5" t="s">
        <v>305</v>
      </c>
      <c r="G486" s="5" t="s">
        <v>1254</v>
      </c>
      <c r="H486" s="5" t="s">
        <v>260</v>
      </c>
      <c r="I486" s="5" t="s">
        <v>307</v>
      </c>
      <c r="J486" s="5" t="s">
        <v>703</v>
      </c>
      <c r="K486" s="5" t="s">
        <v>705</v>
      </c>
      <c r="L486" s="5" t="str">
        <f>VLOOKUP($K486,'Property names'!$A$1:$D$100,2,FALSE)</f>
        <v>Incremental counting of water passed by the flowmeter</v>
      </c>
      <c r="M486" s="5" t="str">
        <f>VLOOKUP($K486,'Property names'!$A$1:$D$100,3,FALSE)</f>
        <v>Cubic meters</v>
      </c>
      <c r="N486" s="5" t="str">
        <f>VLOOKUP($K486,'Property names'!$A$1:$D$100,4,FALSE)</f>
        <v>m^3</v>
      </c>
      <c r="O486" s="5" t="str">
        <f t="shared" si="9"/>
        <v>Mahmoud_Al-Rajbi_J004_water_count</v>
      </c>
      <c r="P486" s="5" t="str">
        <f t="shared" si="10"/>
        <v>The datastream containing mesures of field Mahmoud Al-Rajbi by sensor J004 which measures Water count m^3.</v>
      </c>
      <c r="Q486" s="5" t="s">
        <v>653</v>
      </c>
    </row>
    <row r="487" spans="1:17" ht="12.75">
      <c r="A487" s="5" t="s">
        <v>248</v>
      </c>
      <c r="B487" s="5" t="s">
        <v>1284</v>
      </c>
      <c r="C487" s="5" t="s">
        <v>1253</v>
      </c>
      <c r="D487" s="5">
        <v>32.240135000000002</v>
      </c>
      <c r="E487" s="5">
        <v>35.613776999999999</v>
      </c>
      <c r="F487" s="5" t="s">
        <v>308</v>
      </c>
      <c r="G487" s="5" t="s">
        <v>1257</v>
      </c>
      <c r="H487" s="5" t="s">
        <v>270</v>
      </c>
      <c r="I487" s="5" t="s">
        <v>310</v>
      </c>
      <c r="J487" s="5" t="s">
        <v>1258</v>
      </c>
      <c r="K487" s="5" t="s">
        <v>660</v>
      </c>
      <c r="L487" s="5" t="str">
        <f>VLOOKUP($K487,'Property names'!$A$1:$D$100,2,FALSE)</f>
        <v>The amount of moisture present in the soil, often expressed as a percentage of the maximum amount the soil could hold at a given temperature.</v>
      </c>
      <c r="M487" s="5" t="str">
        <f>VLOOKUP($K487,'Property names'!$A$1:$D$100,3,FALSE)</f>
        <v>Percentage</v>
      </c>
      <c r="N487" s="5" t="str">
        <f>VLOOKUP($K487,'Property names'!$A$1:$D$100,4,FALSE)</f>
        <v>%</v>
      </c>
      <c r="O487" s="5" t="str">
        <f t="shared" si="9"/>
        <v>Mahmoud_Al-Rajbi_J005_soil_moisture_10</v>
      </c>
      <c r="P487" s="5" t="str">
        <f t="shared" si="10"/>
        <v>The datastream containing mesures of field Mahmoud Al-Rajbi by sensor J005 which measures Soil Moisture.</v>
      </c>
      <c r="Q487" s="5" t="s">
        <v>653</v>
      </c>
    </row>
    <row r="488" spans="1:17" ht="12.75">
      <c r="A488" s="5" t="s">
        <v>248</v>
      </c>
      <c r="B488" s="5" t="s">
        <v>1284</v>
      </c>
      <c r="C488" s="5" t="s">
        <v>1253</v>
      </c>
      <c r="D488" s="5">
        <v>32.240135000000002</v>
      </c>
      <c r="E488" s="5">
        <v>35.613776999999999</v>
      </c>
      <c r="F488" s="5" t="s">
        <v>308</v>
      </c>
      <c r="G488" s="5" t="s">
        <v>1257</v>
      </c>
      <c r="H488" s="5" t="s">
        <v>270</v>
      </c>
      <c r="I488" s="5" t="s">
        <v>310</v>
      </c>
      <c r="J488" s="5" t="s">
        <v>1259</v>
      </c>
      <c r="K488" s="5" t="s">
        <v>660</v>
      </c>
      <c r="L488" s="5" t="str">
        <f>VLOOKUP($K488,'Property names'!$A$1:$D$100,2,FALSE)</f>
        <v>The amount of moisture present in the soil, often expressed as a percentage of the maximum amount the soil could hold at a given temperature.</v>
      </c>
      <c r="M488" s="5" t="str">
        <f>VLOOKUP($K488,'Property names'!$A$1:$D$100,3,FALSE)</f>
        <v>Percentage</v>
      </c>
      <c r="N488" s="5" t="str">
        <f>VLOOKUP($K488,'Property names'!$A$1:$D$100,4,FALSE)</f>
        <v>%</v>
      </c>
      <c r="O488" s="5" t="str">
        <f t="shared" si="9"/>
        <v>Mahmoud_Al-Rajbi_J005_soil_moisture_20</v>
      </c>
      <c r="P488" s="5" t="str">
        <f t="shared" si="10"/>
        <v>The datastream containing mesures of field Mahmoud Al-Rajbi by sensor J005 which measures Soil Moisture.</v>
      </c>
      <c r="Q488" s="5" t="s">
        <v>653</v>
      </c>
    </row>
    <row r="489" spans="1:17" ht="12.75">
      <c r="A489" s="5" t="s">
        <v>248</v>
      </c>
      <c r="B489" s="5" t="s">
        <v>1284</v>
      </c>
      <c r="C489" s="5" t="s">
        <v>1253</v>
      </c>
      <c r="D489" s="5">
        <v>32.240135000000002</v>
      </c>
      <c r="E489" s="5">
        <v>35.613776999999999</v>
      </c>
      <c r="F489" s="5" t="s">
        <v>308</v>
      </c>
      <c r="G489" s="5" t="s">
        <v>1257</v>
      </c>
      <c r="H489" s="5" t="s">
        <v>270</v>
      </c>
      <c r="I489" s="5" t="s">
        <v>310</v>
      </c>
      <c r="J489" s="5" t="s">
        <v>1260</v>
      </c>
      <c r="K489" s="5" t="s">
        <v>660</v>
      </c>
      <c r="L489" s="5" t="str">
        <f>VLOOKUP($K489,'Property names'!$A$1:$D$100,2,FALSE)</f>
        <v>The amount of moisture present in the soil, often expressed as a percentage of the maximum amount the soil could hold at a given temperature.</v>
      </c>
      <c r="M489" s="5" t="str">
        <f>VLOOKUP($K489,'Property names'!$A$1:$D$100,3,FALSE)</f>
        <v>Percentage</v>
      </c>
      <c r="N489" s="5" t="str">
        <f>VLOOKUP($K489,'Property names'!$A$1:$D$100,4,FALSE)</f>
        <v>%</v>
      </c>
      <c r="O489" s="5" t="str">
        <f t="shared" si="9"/>
        <v>Mahmoud_Al-Rajbi_J005_soil_moisture_30</v>
      </c>
      <c r="P489" s="5" t="str">
        <f t="shared" si="10"/>
        <v>The datastream containing mesures of field Mahmoud Al-Rajbi by sensor J005 which measures Soil Moisture.</v>
      </c>
      <c r="Q489" s="5" t="s">
        <v>653</v>
      </c>
    </row>
    <row r="490" spans="1:17" ht="12.75">
      <c r="A490" s="5" t="s">
        <v>248</v>
      </c>
      <c r="B490" s="5" t="s">
        <v>1284</v>
      </c>
      <c r="C490" s="5" t="s">
        <v>1253</v>
      </c>
      <c r="D490" s="5">
        <v>32.240135000000002</v>
      </c>
      <c r="E490" s="5">
        <v>35.613776999999999</v>
      </c>
      <c r="F490" s="5" t="s">
        <v>308</v>
      </c>
      <c r="G490" s="5" t="s">
        <v>1257</v>
      </c>
      <c r="H490" s="5" t="s">
        <v>270</v>
      </c>
      <c r="I490" s="5" t="s">
        <v>310</v>
      </c>
      <c r="J490" s="5" t="s">
        <v>1261</v>
      </c>
      <c r="K490" s="5" t="s">
        <v>660</v>
      </c>
      <c r="L490" s="5" t="str">
        <f>VLOOKUP($K490,'Property names'!$A$1:$D$100,2,FALSE)</f>
        <v>The amount of moisture present in the soil, often expressed as a percentage of the maximum amount the soil could hold at a given temperature.</v>
      </c>
      <c r="M490" s="5" t="str">
        <f>VLOOKUP($K490,'Property names'!$A$1:$D$100,3,FALSE)</f>
        <v>Percentage</v>
      </c>
      <c r="N490" s="5" t="str">
        <f>VLOOKUP($K490,'Property names'!$A$1:$D$100,4,FALSE)</f>
        <v>%</v>
      </c>
      <c r="O490" s="5" t="str">
        <f t="shared" si="9"/>
        <v>Mahmoud_Al-Rajbi_J005_soil_moisture_45</v>
      </c>
      <c r="P490" s="5" t="str">
        <f t="shared" si="10"/>
        <v>The datastream containing mesures of field Mahmoud Al-Rajbi by sensor J005 which measures Soil Moisture.</v>
      </c>
      <c r="Q490" s="5" t="s">
        <v>653</v>
      </c>
    </row>
    <row r="491" spans="1:17" ht="12.75">
      <c r="A491" s="5" t="s">
        <v>248</v>
      </c>
      <c r="B491" s="5" t="s">
        <v>1284</v>
      </c>
      <c r="C491" s="5" t="s">
        <v>1253</v>
      </c>
      <c r="D491" s="5">
        <v>32.240135000000002</v>
      </c>
      <c r="E491" s="5">
        <v>35.613776999999999</v>
      </c>
      <c r="F491" s="5" t="s">
        <v>308</v>
      </c>
      <c r="G491" s="5" t="s">
        <v>1257</v>
      </c>
      <c r="H491" s="5" t="s">
        <v>270</v>
      </c>
      <c r="I491" s="5" t="s">
        <v>310</v>
      </c>
      <c r="J491" s="5" t="s">
        <v>1262</v>
      </c>
      <c r="K491" s="5" t="s">
        <v>660</v>
      </c>
      <c r="L491" s="5" t="str">
        <f>VLOOKUP($K491,'Property names'!$A$1:$D$100,2,FALSE)</f>
        <v>The amount of moisture present in the soil, often expressed as a percentage of the maximum amount the soil could hold at a given temperature.</v>
      </c>
      <c r="M491" s="5" t="str">
        <f>VLOOKUP($K491,'Property names'!$A$1:$D$100,3,FALSE)</f>
        <v>Percentage</v>
      </c>
      <c r="N491" s="5" t="str">
        <f>VLOOKUP($K491,'Property names'!$A$1:$D$100,4,FALSE)</f>
        <v>%</v>
      </c>
      <c r="O491" s="5" t="str">
        <f t="shared" si="9"/>
        <v>Mahmoud_Al-Rajbi_J005_soil_moisture_60</v>
      </c>
      <c r="P491" s="5" t="str">
        <f t="shared" si="10"/>
        <v>The datastream containing mesures of field Mahmoud Al-Rajbi by sensor J005 which measures Soil Moisture.</v>
      </c>
      <c r="Q491" s="5" t="s">
        <v>653</v>
      </c>
    </row>
    <row r="492" spans="1:17" ht="12.75">
      <c r="A492" s="5" t="s">
        <v>248</v>
      </c>
      <c r="B492" s="5" t="s">
        <v>1284</v>
      </c>
      <c r="C492" s="5" t="s">
        <v>1253</v>
      </c>
      <c r="D492" s="5">
        <v>32.240135000000002</v>
      </c>
      <c r="E492" s="5">
        <v>35.613776999999999</v>
      </c>
      <c r="F492" s="5" t="s">
        <v>308</v>
      </c>
      <c r="G492" s="5" t="s">
        <v>1257</v>
      </c>
      <c r="H492" s="5" t="s">
        <v>270</v>
      </c>
      <c r="I492" s="5" t="s">
        <v>310</v>
      </c>
      <c r="J492" s="5" t="s">
        <v>1263</v>
      </c>
      <c r="K492" s="5" t="s">
        <v>660</v>
      </c>
      <c r="L492" s="5" t="str">
        <f>VLOOKUP($K492,'Property names'!$A$1:$D$100,2,FALSE)</f>
        <v>The amount of moisture present in the soil, often expressed as a percentage of the maximum amount the soil could hold at a given temperature.</v>
      </c>
      <c r="M492" s="5" t="str">
        <f>VLOOKUP($K492,'Property names'!$A$1:$D$100,3,FALSE)</f>
        <v>Percentage</v>
      </c>
      <c r="N492" s="5" t="str">
        <f>VLOOKUP($K492,'Property names'!$A$1:$D$100,4,FALSE)</f>
        <v>%</v>
      </c>
      <c r="O492" s="5" t="str">
        <f t="shared" si="9"/>
        <v>Mahmoud_Al-Rajbi_J005_soil_moisture_90</v>
      </c>
      <c r="P492" s="5" t="str">
        <f t="shared" si="10"/>
        <v>The datastream containing mesures of field Mahmoud Al-Rajbi by sensor J005 which measures Soil Moisture.</v>
      </c>
      <c r="Q492" s="5" t="s">
        <v>653</v>
      </c>
    </row>
    <row r="493" spans="1:17" ht="18.75" customHeight="1">
      <c r="A493" s="5" t="s">
        <v>248</v>
      </c>
      <c r="B493" s="5" t="s">
        <v>1284</v>
      </c>
      <c r="C493" s="5" t="s">
        <v>1253</v>
      </c>
      <c r="D493" s="5">
        <v>32.240135000000002</v>
      </c>
      <c r="E493" s="5">
        <v>35.613776999999999</v>
      </c>
      <c r="F493" s="5" t="s">
        <v>308</v>
      </c>
      <c r="G493" s="5" t="s">
        <v>1257</v>
      </c>
      <c r="H493" s="5" t="s">
        <v>270</v>
      </c>
      <c r="I493" s="5" t="s">
        <v>310</v>
      </c>
      <c r="J493" s="5" t="s">
        <v>1264</v>
      </c>
      <c r="K493" s="5" t="s">
        <v>662</v>
      </c>
      <c r="L493" s="5" t="str">
        <f>VLOOKUP($K493,'Property names'!$A$1:$D$100,2,FALSE)</f>
        <v>The measure of temperature of the soil.</v>
      </c>
      <c r="M493" s="5" t="str">
        <f>VLOOKUP($K493,'Property names'!$A$1:$D$100,3,FALSE)</f>
        <v>Degrees Celsius</v>
      </c>
      <c r="N493" s="5" t="str">
        <f>VLOOKUP($K493,'Property names'!$A$1:$D$100,4,FALSE)</f>
        <v>ºC</v>
      </c>
      <c r="O493" s="5" t="str">
        <f t="shared" si="9"/>
        <v>Mahmoud_Al-Rajbi_J005_soil_temperature_25</v>
      </c>
      <c r="P493" s="5" t="str">
        <f t="shared" si="10"/>
        <v>The datastream containing mesures of field Mahmoud Al-Rajbi by sensor J005 which measures Soil Temperature.</v>
      </c>
      <c r="Q493" s="5" t="s">
        <v>653</v>
      </c>
    </row>
    <row r="494" spans="1:17" ht="15" customHeight="1">
      <c r="A494" s="5" t="s">
        <v>248</v>
      </c>
      <c r="B494" s="5" t="s">
        <v>1285</v>
      </c>
      <c r="C494" s="5" t="s">
        <v>1253</v>
      </c>
      <c r="D494" s="5">
        <v>32.231155000000001</v>
      </c>
      <c r="E494" s="5">
        <v>35.598148000000002</v>
      </c>
      <c r="F494" s="5" t="s">
        <v>315</v>
      </c>
      <c r="G494" s="5" t="s">
        <v>1254</v>
      </c>
      <c r="H494" s="5" t="s">
        <v>260</v>
      </c>
      <c r="I494" s="5" t="s">
        <v>319</v>
      </c>
      <c r="J494" s="5" t="s">
        <v>1255</v>
      </c>
      <c r="K494" s="5" t="s">
        <v>1256</v>
      </c>
      <c r="L494" s="5" t="str">
        <f>VLOOKUP($K494,'Property names'!$A$1:$D$100,2,FALSE)</f>
        <v>The continuous movement of water in a particular direction.</v>
      </c>
      <c r="M494" s="5" t="str">
        <f>VLOOKUP($K494,'Property names'!$A$1:$D$100,3,FALSE)</f>
        <v>Cubic meters per hour</v>
      </c>
      <c r="N494" s="5" t="str">
        <f>VLOOKUP($K494,'Property names'!$A$1:$D$100,4,FALSE)</f>
        <v>m^3/h</v>
      </c>
      <c r="O494" s="5" t="str">
        <f t="shared" si="9"/>
        <v>Ibrahim_Al-Shareef_J006_water_flow</v>
      </c>
      <c r="P494" s="5" t="str">
        <f t="shared" si="10"/>
        <v>The datastream containing mesures of field Ibrahim Al-Shareef by sensor J006 which measures Water flow m^3/h.</v>
      </c>
      <c r="Q494" s="5" t="s">
        <v>653</v>
      </c>
    </row>
    <row r="495" spans="1:17" ht="12.75">
      <c r="A495" s="5" t="s">
        <v>248</v>
      </c>
      <c r="B495" s="5" t="s">
        <v>1285</v>
      </c>
      <c r="C495" s="5" t="s">
        <v>1253</v>
      </c>
      <c r="D495" s="5">
        <v>32.231155000000001</v>
      </c>
      <c r="E495" s="5">
        <v>35.598148000000002</v>
      </c>
      <c r="F495" s="5" t="s">
        <v>315</v>
      </c>
      <c r="G495" s="5" t="s">
        <v>1254</v>
      </c>
      <c r="H495" s="5" t="s">
        <v>260</v>
      </c>
      <c r="I495" s="5" t="s">
        <v>319</v>
      </c>
      <c r="J495" s="5" t="s">
        <v>703</v>
      </c>
      <c r="K495" s="5" t="s">
        <v>705</v>
      </c>
      <c r="L495" s="5" t="str">
        <f>VLOOKUP($K495,'Property names'!$A$1:$D$100,2,FALSE)</f>
        <v>Incremental counting of water passed by the flowmeter</v>
      </c>
      <c r="M495" s="5" t="str">
        <f>VLOOKUP($K495,'Property names'!$A$1:$D$100,3,FALSE)</f>
        <v>Cubic meters</v>
      </c>
      <c r="N495" s="5" t="str">
        <f>VLOOKUP($K495,'Property names'!$A$1:$D$100,4,FALSE)</f>
        <v>m^3</v>
      </c>
      <c r="O495" s="5" t="str">
        <f t="shared" si="9"/>
        <v>Ibrahim_Al-Shareef_J006_water_count</v>
      </c>
      <c r="P495" s="5" t="str">
        <f t="shared" si="10"/>
        <v>The datastream containing mesures of field Ibrahim Al-Shareef by sensor J006 which measures Water count m^3.</v>
      </c>
      <c r="Q495" s="5" t="s">
        <v>653</v>
      </c>
    </row>
    <row r="496" spans="1:17" ht="12.75">
      <c r="A496" s="5" t="s">
        <v>248</v>
      </c>
      <c r="B496" s="5" t="s">
        <v>1285</v>
      </c>
      <c r="C496" s="5" t="s">
        <v>1253</v>
      </c>
      <c r="D496" s="5">
        <v>32.231155000000001</v>
      </c>
      <c r="E496" s="5">
        <v>35.598148000000002</v>
      </c>
      <c r="F496" s="5" t="s">
        <v>320</v>
      </c>
      <c r="G496" s="5" t="s">
        <v>1257</v>
      </c>
      <c r="H496" s="5" t="s">
        <v>270</v>
      </c>
      <c r="I496" s="5" t="s">
        <v>322</v>
      </c>
      <c r="J496" s="5" t="s">
        <v>1258</v>
      </c>
      <c r="K496" s="5" t="s">
        <v>660</v>
      </c>
      <c r="L496" s="5" t="str">
        <f>VLOOKUP($K496,'Property names'!$A$1:$D$100,2,FALSE)</f>
        <v>The amount of moisture present in the soil, often expressed as a percentage of the maximum amount the soil could hold at a given temperature.</v>
      </c>
      <c r="M496" s="5" t="str">
        <f>VLOOKUP($K496,'Property names'!$A$1:$D$100,3,FALSE)</f>
        <v>Percentage</v>
      </c>
      <c r="N496" s="5" t="str">
        <f>VLOOKUP($K496,'Property names'!$A$1:$D$100,4,FALSE)</f>
        <v>%</v>
      </c>
      <c r="O496" s="5" t="str">
        <f t="shared" si="9"/>
        <v>Ibrahim_Al-Shareef_J007_soil_moisture_10</v>
      </c>
      <c r="P496" s="5" t="str">
        <f t="shared" si="10"/>
        <v>The datastream containing mesures of field Ibrahim Al-Shareef by sensor J007 which measures Soil Moisture.</v>
      </c>
      <c r="Q496" s="5" t="s">
        <v>653</v>
      </c>
    </row>
    <row r="497" spans="1:17" ht="12.75">
      <c r="A497" s="5" t="s">
        <v>248</v>
      </c>
      <c r="B497" s="5" t="s">
        <v>1285</v>
      </c>
      <c r="C497" s="5" t="s">
        <v>1253</v>
      </c>
      <c r="D497" s="5">
        <v>32.231155000000001</v>
      </c>
      <c r="E497" s="5">
        <v>35.598148000000002</v>
      </c>
      <c r="F497" s="5" t="s">
        <v>320</v>
      </c>
      <c r="G497" s="5" t="s">
        <v>1257</v>
      </c>
      <c r="H497" s="5" t="s">
        <v>270</v>
      </c>
      <c r="I497" s="5" t="s">
        <v>322</v>
      </c>
      <c r="J497" s="5" t="s">
        <v>1259</v>
      </c>
      <c r="K497" s="5" t="s">
        <v>660</v>
      </c>
      <c r="L497" s="5" t="str">
        <f>VLOOKUP($K497,'Property names'!$A$1:$D$100,2,FALSE)</f>
        <v>The amount of moisture present in the soil, often expressed as a percentage of the maximum amount the soil could hold at a given temperature.</v>
      </c>
      <c r="M497" s="5" t="str">
        <f>VLOOKUP($K497,'Property names'!$A$1:$D$100,3,FALSE)</f>
        <v>Percentage</v>
      </c>
      <c r="N497" s="5" t="str">
        <f>VLOOKUP($K497,'Property names'!$A$1:$D$100,4,FALSE)</f>
        <v>%</v>
      </c>
      <c r="O497" s="5" t="str">
        <f t="shared" si="9"/>
        <v>Ibrahim_Al-Shareef_J007_soil_moisture_20</v>
      </c>
      <c r="P497" s="5" t="str">
        <f t="shared" si="10"/>
        <v>The datastream containing mesures of field Ibrahim Al-Shareef by sensor J007 which measures Soil Moisture.</v>
      </c>
      <c r="Q497" s="5" t="s">
        <v>653</v>
      </c>
    </row>
    <row r="498" spans="1:17" ht="12.75">
      <c r="A498" s="5" t="s">
        <v>248</v>
      </c>
      <c r="B498" s="5" t="s">
        <v>1285</v>
      </c>
      <c r="C498" s="5" t="s">
        <v>1253</v>
      </c>
      <c r="D498" s="5">
        <v>32.231155000000001</v>
      </c>
      <c r="E498" s="5">
        <v>35.598148000000002</v>
      </c>
      <c r="F498" s="5" t="s">
        <v>320</v>
      </c>
      <c r="G498" s="5" t="s">
        <v>1257</v>
      </c>
      <c r="H498" s="5" t="s">
        <v>270</v>
      </c>
      <c r="I498" s="5" t="s">
        <v>322</v>
      </c>
      <c r="J498" s="5" t="s">
        <v>1260</v>
      </c>
      <c r="K498" s="5" t="s">
        <v>660</v>
      </c>
      <c r="L498" s="5" t="str">
        <f>VLOOKUP($K498,'Property names'!$A$1:$D$100,2,FALSE)</f>
        <v>The amount of moisture present in the soil, often expressed as a percentage of the maximum amount the soil could hold at a given temperature.</v>
      </c>
      <c r="M498" s="5" t="str">
        <f>VLOOKUP($K498,'Property names'!$A$1:$D$100,3,FALSE)</f>
        <v>Percentage</v>
      </c>
      <c r="N498" s="5" t="str">
        <f>VLOOKUP($K498,'Property names'!$A$1:$D$100,4,FALSE)</f>
        <v>%</v>
      </c>
      <c r="O498" s="5" t="str">
        <f t="shared" si="9"/>
        <v>Ibrahim_Al-Shareef_J007_soil_moisture_30</v>
      </c>
      <c r="P498" s="5" t="str">
        <f t="shared" si="10"/>
        <v>The datastream containing mesures of field Ibrahim Al-Shareef by sensor J007 which measures Soil Moisture.</v>
      </c>
      <c r="Q498" s="5" t="s">
        <v>653</v>
      </c>
    </row>
    <row r="499" spans="1:17" ht="12.75">
      <c r="A499" s="5" t="s">
        <v>248</v>
      </c>
      <c r="B499" s="5" t="s">
        <v>1285</v>
      </c>
      <c r="C499" s="5" t="s">
        <v>1253</v>
      </c>
      <c r="D499" s="5">
        <v>32.231155000000001</v>
      </c>
      <c r="E499" s="5">
        <v>35.598148000000002</v>
      </c>
      <c r="F499" s="5" t="s">
        <v>320</v>
      </c>
      <c r="G499" s="5" t="s">
        <v>1257</v>
      </c>
      <c r="H499" s="5" t="s">
        <v>270</v>
      </c>
      <c r="I499" s="5" t="s">
        <v>322</v>
      </c>
      <c r="J499" s="5" t="s">
        <v>1261</v>
      </c>
      <c r="K499" s="5" t="s">
        <v>660</v>
      </c>
      <c r="L499" s="5" t="str">
        <f>VLOOKUP($K499,'Property names'!$A$1:$D$100,2,FALSE)</f>
        <v>The amount of moisture present in the soil, often expressed as a percentage of the maximum amount the soil could hold at a given temperature.</v>
      </c>
      <c r="M499" s="5" t="str">
        <f>VLOOKUP($K499,'Property names'!$A$1:$D$100,3,FALSE)</f>
        <v>Percentage</v>
      </c>
      <c r="N499" s="5" t="str">
        <f>VLOOKUP($K499,'Property names'!$A$1:$D$100,4,FALSE)</f>
        <v>%</v>
      </c>
      <c r="O499" s="5" t="str">
        <f t="shared" si="9"/>
        <v>Ibrahim_Al-Shareef_J007_soil_moisture_45</v>
      </c>
      <c r="P499" s="5" t="str">
        <f t="shared" si="10"/>
        <v>The datastream containing mesures of field Ibrahim Al-Shareef by sensor J007 which measures Soil Moisture.</v>
      </c>
      <c r="Q499" s="5" t="s">
        <v>653</v>
      </c>
    </row>
    <row r="500" spans="1:17" ht="12.75">
      <c r="A500" s="5" t="s">
        <v>248</v>
      </c>
      <c r="B500" s="5" t="s">
        <v>1285</v>
      </c>
      <c r="C500" s="5" t="s">
        <v>1253</v>
      </c>
      <c r="D500" s="5">
        <v>32.231155000000001</v>
      </c>
      <c r="E500" s="5">
        <v>35.598148000000002</v>
      </c>
      <c r="F500" s="5" t="s">
        <v>320</v>
      </c>
      <c r="G500" s="5" t="s">
        <v>1257</v>
      </c>
      <c r="H500" s="5" t="s">
        <v>270</v>
      </c>
      <c r="I500" s="5" t="s">
        <v>322</v>
      </c>
      <c r="J500" s="5" t="s">
        <v>1262</v>
      </c>
      <c r="K500" s="5" t="s">
        <v>660</v>
      </c>
      <c r="L500" s="5" t="str">
        <f>VLOOKUP($K500,'Property names'!$A$1:$D$100,2,FALSE)</f>
        <v>The amount of moisture present in the soil, often expressed as a percentage of the maximum amount the soil could hold at a given temperature.</v>
      </c>
      <c r="M500" s="5" t="str">
        <f>VLOOKUP($K500,'Property names'!$A$1:$D$100,3,FALSE)</f>
        <v>Percentage</v>
      </c>
      <c r="N500" s="5" t="str">
        <f>VLOOKUP($K500,'Property names'!$A$1:$D$100,4,FALSE)</f>
        <v>%</v>
      </c>
      <c r="O500" s="5" t="str">
        <f t="shared" si="9"/>
        <v>Ibrahim_Al-Shareef_J007_soil_moisture_60</v>
      </c>
      <c r="P500" s="5" t="str">
        <f t="shared" si="10"/>
        <v>The datastream containing mesures of field Ibrahim Al-Shareef by sensor J007 which measures Soil Moisture.</v>
      </c>
      <c r="Q500" s="5" t="s">
        <v>653</v>
      </c>
    </row>
    <row r="501" spans="1:17" ht="12.75">
      <c r="A501" s="5" t="s">
        <v>248</v>
      </c>
      <c r="B501" s="5" t="s">
        <v>1285</v>
      </c>
      <c r="C501" s="5" t="s">
        <v>1253</v>
      </c>
      <c r="D501" s="5">
        <v>32.231155000000001</v>
      </c>
      <c r="E501" s="5">
        <v>35.598148000000002</v>
      </c>
      <c r="F501" s="5" t="s">
        <v>320</v>
      </c>
      <c r="G501" s="5" t="s">
        <v>1257</v>
      </c>
      <c r="H501" s="5" t="s">
        <v>270</v>
      </c>
      <c r="I501" s="5" t="s">
        <v>322</v>
      </c>
      <c r="J501" s="5" t="s">
        <v>1263</v>
      </c>
      <c r="K501" s="5" t="s">
        <v>660</v>
      </c>
      <c r="L501" s="5" t="str">
        <f>VLOOKUP($K501,'Property names'!$A$1:$D$100,2,FALSE)</f>
        <v>The amount of moisture present in the soil, often expressed as a percentage of the maximum amount the soil could hold at a given temperature.</v>
      </c>
      <c r="M501" s="5" t="str">
        <f>VLOOKUP($K501,'Property names'!$A$1:$D$100,3,FALSE)</f>
        <v>Percentage</v>
      </c>
      <c r="N501" s="5" t="str">
        <f>VLOOKUP($K501,'Property names'!$A$1:$D$100,4,FALSE)</f>
        <v>%</v>
      </c>
      <c r="O501" s="5" t="str">
        <f t="shared" si="9"/>
        <v>Ibrahim_Al-Shareef_J007_soil_moisture_90</v>
      </c>
      <c r="P501" s="5" t="str">
        <f t="shared" si="10"/>
        <v>The datastream containing mesures of field Ibrahim Al-Shareef by sensor J007 which measures Soil Moisture.</v>
      </c>
      <c r="Q501" s="5" t="s">
        <v>653</v>
      </c>
    </row>
    <row r="502" spans="1:17" ht="12.75">
      <c r="A502" s="5" t="s">
        <v>248</v>
      </c>
      <c r="B502" s="5" t="s">
        <v>1285</v>
      </c>
      <c r="C502" s="5" t="s">
        <v>1253</v>
      </c>
      <c r="D502" s="5">
        <v>32.231155000000001</v>
      </c>
      <c r="E502" s="5">
        <v>35.598148000000002</v>
      </c>
      <c r="F502" s="5" t="s">
        <v>320</v>
      </c>
      <c r="G502" s="5" t="s">
        <v>1257</v>
      </c>
      <c r="H502" s="5" t="s">
        <v>270</v>
      </c>
      <c r="I502" s="5" t="s">
        <v>322</v>
      </c>
      <c r="J502" s="5" t="s">
        <v>1264</v>
      </c>
      <c r="K502" s="5" t="s">
        <v>662</v>
      </c>
      <c r="L502" s="5" t="str">
        <f>VLOOKUP($K502,'Property names'!$A$1:$D$100,2,FALSE)</f>
        <v>The measure of temperature of the soil.</v>
      </c>
      <c r="M502" s="5" t="str">
        <f>VLOOKUP($K502,'Property names'!$A$1:$D$100,3,FALSE)</f>
        <v>Degrees Celsius</v>
      </c>
      <c r="N502" s="5" t="str">
        <f>VLOOKUP($K502,'Property names'!$A$1:$D$100,4,FALSE)</f>
        <v>ºC</v>
      </c>
      <c r="O502" s="5" t="str">
        <f t="shared" si="9"/>
        <v>Ibrahim_Al-Shareef_J007_soil_temperature_25</v>
      </c>
      <c r="P502" s="5" t="str">
        <f t="shared" si="10"/>
        <v>The datastream containing mesures of field Ibrahim Al-Shareef by sensor J007 which measures Soil Temperature.</v>
      </c>
      <c r="Q502" s="5" t="s">
        <v>653</v>
      </c>
    </row>
    <row r="503" spans="1:17" ht="12.75">
      <c r="A503" s="5" t="s">
        <v>248</v>
      </c>
      <c r="B503" s="5" t="s">
        <v>1286</v>
      </c>
      <c r="C503" s="5" t="s">
        <v>1253</v>
      </c>
      <c r="D503" s="5">
        <v>32.237335000000002</v>
      </c>
      <c r="E503" s="5">
        <v>35.595996999999997</v>
      </c>
      <c r="F503" s="5" t="s">
        <v>324</v>
      </c>
      <c r="G503" s="5" t="s">
        <v>1254</v>
      </c>
      <c r="H503" s="5" t="s">
        <v>260</v>
      </c>
      <c r="I503" s="5" t="s">
        <v>328</v>
      </c>
      <c r="J503" s="5" t="s">
        <v>1255</v>
      </c>
      <c r="K503" s="5" t="s">
        <v>1256</v>
      </c>
      <c r="L503" s="5" t="str">
        <f>VLOOKUP($K503,'Property names'!$A$1:$D$100,2,FALSE)</f>
        <v>The continuous movement of water in a particular direction.</v>
      </c>
      <c r="M503" s="5" t="str">
        <f>VLOOKUP($K503,'Property names'!$A$1:$D$100,3,FALSE)</f>
        <v>Cubic meters per hour</v>
      </c>
      <c r="N503" s="5" t="str">
        <f>VLOOKUP($K503,'Property names'!$A$1:$D$100,4,FALSE)</f>
        <v>m^3/h</v>
      </c>
      <c r="O503" s="5" t="str">
        <f t="shared" si="9"/>
        <v>Atef_Al-Adi_J008_water_flow</v>
      </c>
      <c r="P503" s="5" t="str">
        <f t="shared" si="10"/>
        <v>The datastream containing mesures of field Atef Al-Adi by sensor J008 which measures Water flow m^3/h.</v>
      </c>
      <c r="Q503" s="5" t="s">
        <v>653</v>
      </c>
    </row>
    <row r="504" spans="1:17" ht="12.75">
      <c r="A504" s="5" t="s">
        <v>248</v>
      </c>
      <c r="B504" s="5" t="s">
        <v>1286</v>
      </c>
      <c r="C504" s="5" t="s">
        <v>1253</v>
      </c>
      <c r="D504" s="5">
        <v>32.237335000000002</v>
      </c>
      <c r="E504" s="5">
        <v>35.595996999999997</v>
      </c>
      <c r="F504" s="5" t="s">
        <v>324</v>
      </c>
      <c r="G504" s="5" t="s">
        <v>1254</v>
      </c>
      <c r="H504" s="5" t="s">
        <v>260</v>
      </c>
      <c r="I504" s="5" t="s">
        <v>328</v>
      </c>
      <c r="J504" s="5" t="s">
        <v>703</v>
      </c>
      <c r="K504" s="5" t="s">
        <v>705</v>
      </c>
      <c r="L504" s="5" t="str">
        <f>VLOOKUP($K504,'Property names'!$A$1:$D$100,2,FALSE)</f>
        <v>Incremental counting of water passed by the flowmeter</v>
      </c>
      <c r="M504" s="5" t="str">
        <f>VLOOKUP($K504,'Property names'!$A$1:$D$100,3,FALSE)</f>
        <v>Cubic meters</v>
      </c>
      <c r="N504" s="5" t="str">
        <f>VLOOKUP($K504,'Property names'!$A$1:$D$100,4,FALSE)</f>
        <v>m^3</v>
      </c>
      <c r="O504" s="5" t="str">
        <f t="shared" si="9"/>
        <v>Atef_Al-Adi_J008_water_count</v>
      </c>
      <c r="P504" s="5" t="str">
        <f t="shared" si="10"/>
        <v>The datastream containing mesures of field Atef Al-Adi by sensor J008 which measures Water count m^3.</v>
      </c>
      <c r="Q504" s="5" t="s">
        <v>653</v>
      </c>
    </row>
    <row r="505" spans="1:17" ht="12.75">
      <c r="A505" s="5" t="s">
        <v>248</v>
      </c>
      <c r="B505" s="5" t="s">
        <v>1286</v>
      </c>
      <c r="C505" s="5" t="s">
        <v>1253</v>
      </c>
      <c r="D505" s="5">
        <v>32.237335000000002</v>
      </c>
      <c r="E505" s="5">
        <v>35.595996999999997</v>
      </c>
      <c r="F505" s="5" t="s">
        <v>329</v>
      </c>
      <c r="G505" s="5" t="s">
        <v>1257</v>
      </c>
      <c r="H505" s="5" t="s">
        <v>270</v>
      </c>
      <c r="I505" s="5" t="s">
        <v>331</v>
      </c>
      <c r="J505" s="5" t="s">
        <v>1258</v>
      </c>
      <c r="K505" s="5" t="s">
        <v>660</v>
      </c>
      <c r="L505" s="5" t="str">
        <f>VLOOKUP($K505,'Property names'!$A$1:$D$100,2,FALSE)</f>
        <v>The amount of moisture present in the soil, often expressed as a percentage of the maximum amount the soil could hold at a given temperature.</v>
      </c>
      <c r="M505" s="5" t="str">
        <f>VLOOKUP($K505,'Property names'!$A$1:$D$100,3,FALSE)</f>
        <v>Percentage</v>
      </c>
      <c r="N505" s="5" t="str">
        <f>VLOOKUP($K505,'Property names'!$A$1:$D$100,4,FALSE)</f>
        <v>%</v>
      </c>
      <c r="O505" s="5" t="str">
        <f t="shared" si="9"/>
        <v>Atef_Al-Adi_J009_soil_moisture_10</v>
      </c>
      <c r="P505" s="5" t="str">
        <f t="shared" si="10"/>
        <v>The datastream containing mesures of field Atef Al-Adi by sensor J009 which measures Soil Moisture.</v>
      </c>
      <c r="Q505" s="5" t="s">
        <v>653</v>
      </c>
    </row>
    <row r="506" spans="1:17" ht="12.75">
      <c r="A506" s="5" t="s">
        <v>248</v>
      </c>
      <c r="B506" s="5" t="s">
        <v>1286</v>
      </c>
      <c r="C506" s="5" t="s">
        <v>1253</v>
      </c>
      <c r="D506" s="5">
        <v>32.237335000000002</v>
      </c>
      <c r="E506" s="5">
        <v>35.595996999999997</v>
      </c>
      <c r="F506" s="5" t="s">
        <v>329</v>
      </c>
      <c r="G506" s="5" t="s">
        <v>1257</v>
      </c>
      <c r="H506" s="5" t="s">
        <v>270</v>
      </c>
      <c r="I506" s="5" t="s">
        <v>331</v>
      </c>
      <c r="J506" s="5" t="s">
        <v>1259</v>
      </c>
      <c r="K506" s="5" t="s">
        <v>660</v>
      </c>
      <c r="L506" s="5" t="str">
        <f>VLOOKUP($K506,'Property names'!$A$1:$D$100,2,FALSE)</f>
        <v>The amount of moisture present in the soil, often expressed as a percentage of the maximum amount the soil could hold at a given temperature.</v>
      </c>
      <c r="M506" s="5" t="str">
        <f>VLOOKUP($K506,'Property names'!$A$1:$D$100,3,FALSE)</f>
        <v>Percentage</v>
      </c>
      <c r="N506" s="5" t="str">
        <f>VLOOKUP($K506,'Property names'!$A$1:$D$100,4,FALSE)</f>
        <v>%</v>
      </c>
      <c r="O506" s="5" t="str">
        <f t="shared" si="9"/>
        <v>Atef_Al-Adi_J009_soil_moisture_20</v>
      </c>
      <c r="P506" s="5" t="str">
        <f t="shared" si="10"/>
        <v>The datastream containing mesures of field Atef Al-Adi by sensor J009 which measures Soil Moisture.</v>
      </c>
      <c r="Q506" s="5" t="s">
        <v>653</v>
      </c>
    </row>
    <row r="507" spans="1:17" ht="12.75">
      <c r="A507" s="5" t="s">
        <v>248</v>
      </c>
      <c r="B507" s="5" t="s">
        <v>1286</v>
      </c>
      <c r="C507" s="5" t="s">
        <v>1253</v>
      </c>
      <c r="D507" s="5">
        <v>32.237335000000002</v>
      </c>
      <c r="E507" s="5">
        <v>35.595996999999997</v>
      </c>
      <c r="F507" s="5" t="s">
        <v>329</v>
      </c>
      <c r="G507" s="5" t="s">
        <v>1257</v>
      </c>
      <c r="H507" s="5" t="s">
        <v>270</v>
      </c>
      <c r="I507" s="5" t="s">
        <v>331</v>
      </c>
      <c r="J507" s="5" t="s">
        <v>1260</v>
      </c>
      <c r="K507" s="5" t="s">
        <v>660</v>
      </c>
      <c r="L507" s="5" t="str">
        <f>VLOOKUP($K507,'Property names'!$A$1:$D$100,2,FALSE)</f>
        <v>The amount of moisture present in the soil, often expressed as a percentage of the maximum amount the soil could hold at a given temperature.</v>
      </c>
      <c r="M507" s="5" t="str">
        <f>VLOOKUP($K507,'Property names'!$A$1:$D$100,3,FALSE)</f>
        <v>Percentage</v>
      </c>
      <c r="N507" s="5" t="str">
        <f>VLOOKUP($K507,'Property names'!$A$1:$D$100,4,FALSE)</f>
        <v>%</v>
      </c>
      <c r="O507" s="5" t="str">
        <f t="shared" si="9"/>
        <v>Atef_Al-Adi_J009_soil_moisture_30</v>
      </c>
      <c r="P507" s="5" t="str">
        <f t="shared" si="10"/>
        <v>The datastream containing mesures of field Atef Al-Adi by sensor J009 which measures Soil Moisture.</v>
      </c>
      <c r="Q507" s="5" t="s">
        <v>653</v>
      </c>
    </row>
    <row r="508" spans="1:17" ht="12.75">
      <c r="A508" s="5" t="s">
        <v>248</v>
      </c>
      <c r="B508" s="5" t="s">
        <v>1286</v>
      </c>
      <c r="C508" s="5" t="s">
        <v>1253</v>
      </c>
      <c r="D508" s="5">
        <v>32.237335000000002</v>
      </c>
      <c r="E508" s="5">
        <v>35.595996999999997</v>
      </c>
      <c r="F508" s="5" t="s">
        <v>329</v>
      </c>
      <c r="G508" s="5" t="s">
        <v>1257</v>
      </c>
      <c r="H508" s="5" t="s">
        <v>270</v>
      </c>
      <c r="I508" s="5" t="s">
        <v>331</v>
      </c>
      <c r="J508" s="5" t="s">
        <v>1261</v>
      </c>
      <c r="K508" s="5" t="s">
        <v>660</v>
      </c>
      <c r="L508" s="5" t="str">
        <f>VLOOKUP($K508,'Property names'!$A$1:$D$100,2,FALSE)</f>
        <v>The amount of moisture present in the soil, often expressed as a percentage of the maximum amount the soil could hold at a given temperature.</v>
      </c>
      <c r="M508" s="5" t="str">
        <f>VLOOKUP($K508,'Property names'!$A$1:$D$100,3,FALSE)</f>
        <v>Percentage</v>
      </c>
      <c r="N508" s="5" t="str">
        <f>VLOOKUP($K508,'Property names'!$A$1:$D$100,4,FALSE)</f>
        <v>%</v>
      </c>
      <c r="O508" s="5" t="str">
        <f t="shared" si="9"/>
        <v>Atef_Al-Adi_J009_soil_moisture_45</v>
      </c>
      <c r="P508" s="5" t="str">
        <f t="shared" si="10"/>
        <v>The datastream containing mesures of field Atef Al-Adi by sensor J009 which measures Soil Moisture.</v>
      </c>
      <c r="Q508" s="5" t="s">
        <v>653</v>
      </c>
    </row>
    <row r="509" spans="1:17" ht="12.75">
      <c r="A509" s="5" t="s">
        <v>248</v>
      </c>
      <c r="B509" s="5" t="s">
        <v>1286</v>
      </c>
      <c r="C509" s="5" t="s">
        <v>1253</v>
      </c>
      <c r="D509" s="5">
        <v>32.237335000000002</v>
      </c>
      <c r="E509" s="5">
        <v>35.595996999999997</v>
      </c>
      <c r="F509" s="5" t="s">
        <v>329</v>
      </c>
      <c r="G509" s="5" t="s">
        <v>1257</v>
      </c>
      <c r="H509" s="5" t="s">
        <v>270</v>
      </c>
      <c r="I509" s="5" t="s">
        <v>331</v>
      </c>
      <c r="J509" s="5" t="s">
        <v>1262</v>
      </c>
      <c r="K509" s="5" t="s">
        <v>660</v>
      </c>
      <c r="L509" s="5" t="str">
        <f>VLOOKUP($K509,'Property names'!$A$1:$D$100,2,FALSE)</f>
        <v>The amount of moisture present in the soil, often expressed as a percentage of the maximum amount the soil could hold at a given temperature.</v>
      </c>
      <c r="M509" s="5" t="str">
        <f>VLOOKUP($K509,'Property names'!$A$1:$D$100,3,FALSE)</f>
        <v>Percentage</v>
      </c>
      <c r="N509" s="5" t="str">
        <f>VLOOKUP($K509,'Property names'!$A$1:$D$100,4,FALSE)</f>
        <v>%</v>
      </c>
      <c r="O509" s="5" t="str">
        <f t="shared" si="9"/>
        <v>Atef_Al-Adi_J009_soil_moisture_60</v>
      </c>
      <c r="P509" s="5" t="str">
        <f t="shared" si="10"/>
        <v>The datastream containing mesures of field Atef Al-Adi by sensor J009 which measures Soil Moisture.</v>
      </c>
      <c r="Q509" s="5" t="s">
        <v>653</v>
      </c>
    </row>
    <row r="510" spans="1:17" ht="12.75">
      <c r="A510" s="5" t="s">
        <v>248</v>
      </c>
      <c r="B510" s="5" t="s">
        <v>1286</v>
      </c>
      <c r="C510" s="5" t="s">
        <v>1253</v>
      </c>
      <c r="D510" s="5">
        <v>32.237335000000002</v>
      </c>
      <c r="E510" s="5">
        <v>35.595996999999997</v>
      </c>
      <c r="F510" s="5" t="s">
        <v>329</v>
      </c>
      <c r="G510" s="5" t="s">
        <v>1257</v>
      </c>
      <c r="H510" s="5" t="s">
        <v>270</v>
      </c>
      <c r="I510" s="5" t="s">
        <v>331</v>
      </c>
      <c r="J510" s="5" t="s">
        <v>1263</v>
      </c>
      <c r="K510" s="5" t="s">
        <v>660</v>
      </c>
      <c r="L510" s="5" t="str">
        <f>VLOOKUP($K510,'Property names'!$A$1:$D$100,2,FALSE)</f>
        <v>The amount of moisture present in the soil, often expressed as a percentage of the maximum amount the soil could hold at a given temperature.</v>
      </c>
      <c r="M510" s="5" t="str">
        <f>VLOOKUP($K510,'Property names'!$A$1:$D$100,3,FALSE)</f>
        <v>Percentage</v>
      </c>
      <c r="N510" s="5" t="str">
        <f>VLOOKUP($K510,'Property names'!$A$1:$D$100,4,FALSE)</f>
        <v>%</v>
      </c>
      <c r="O510" s="5" t="str">
        <f t="shared" si="9"/>
        <v>Atef_Al-Adi_J009_soil_moisture_90</v>
      </c>
      <c r="P510" s="5" t="str">
        <f t="shared" si="10"/>
        <v>The datastream containing mesures of field Atef Al-Adi by sensor J009 which measures Soil Moisture.</v>
      </c>
      <c r="Q510" s="5" t="s">
        <v>653</v>
      </c>
    </row>
    <row r="511" spans="1:17" ht="12.75">
      <c r="A511" s="5" t="s">
        <v>248</v>
      </c>
      <c r="B511" s="5" t="s">
        <v>1286</v>
      </c>
      <c r="C511" s="5" t="s">
        <v>1253</v>
      </c>
      <c r="D511" s="5">
        <v>32.237335000000002</v>
      </c>
      <c r="E511" s="5">
        <v>35.595996999999997</v>
      </c>
      <c r="F511" s="5" t="s">
        <v>329</v>
      </c>
      <c r="G511" s="5" t="s">
        <v>1257</v>
      </c>
      <c r="H511" s="5" t="s">
        <v>270</v>
      </c>
      <c r="I511" s="5" t="s">
        <v>331</v>
      </c>
      <c r="J511" s="5" t="s">
        <v>1264</v>
      </c>
      <c r="K511" s="5" t="s">
        <v>662</v>
      </c>
      <c r="L511" s="5" t="str">
        <f>VLOOKUP($K511,'Property names'!$A$1:$D$100,2,FALSE)</f>
        <v>The measure of temperature of the soil.</v>
      </c>
      <c r="M511" s="5" t="str">
        <f>VLOOKUP($K511,'Property names'!$A$1:$D$100,3,FALSE)</f>
        <v>Degrees Celsius</v>
      </c>
      <c r="N511" s="5" t="str">
        <f>VLOOKUP($K511,'Property names'!$A$1:$D$100,4,FALSE)</f>
        <v>ºC</v>
      </c>
      <c r="O511" s="5" t="str">
        <f t="shared" si="9"/>
        <v>Atef_Al-Adi_J009_soil_temperature_25</v>
      </c>
      <c r="P511" s="5" t="str">
        <f t="shared" si="10"/>
        <v>The datastream containing mesures of field Atef Al-Adi by sensor J009 which measures Soil Temperature.</v>
      </c>
      <c r="Q511" s="5" t="s">
        <v>653</v>
      </c>
    </row>
    <row r="512" spans="1:17" ht="12.75">
      <c r="A512" s="5" t="s">
        <v>248</v>
      </c>
      <c r="B512" s="5" t="s">
        <v>1287</v>
      </c>
      <c r="C512" s="5" t="s">
        <v>1288</v>
      </c>
      <c r="D512" s="5">
        <v>32.194248999999999</v>
      </c>
      <c r="E512" s="5">
        <v>35.621113000000001</v>
      </c>
      <c r="F512" s="5" t="s">
        <v>340</v>
      </c>
      <c r="G512" s="5" t="s">
        <v>1254</v>
      </c>
      <c r="H512" s="5" t="s">
        <v>260</v>
      </c>
      <c r="I512" s="5" t="s">
        <v>342</v>
      </c>
      <c r="J512" s="5" t="s">
        <v>1255</v>
      </c>
      <c r="K512" s="5" t="s">
        <v>1256</v>
      </c>
      <c r="L512" s="5" t="str">
        <f>VLOOKUP($K512,'Property names'!$A$1:$D$100,2,FALSE)</f>
        <v>The continuous movement of water in a particular direction.</v>
      </c>
      <c r="M512" s="5" t="str">
        <f>VLOOKUP($K512,'Property names'!$A$1:$D$100,3,FALSE)</f>
        <v>Cubic meters per hour</v>
      </c>
      <c r="N512" s="5" t="str">
        <f>VLOOKUP($K512,'Property names'!$A$1:$D$100,4,FALSE)</f>
        <v>m^3/h</v>
      </c>
      <c r="O512" s="5" t="str">
        <f t="shared" si="9"/>
        <v>NARC_J010_water_flow</v>
      </c>
      <c r="P512" s="5" t="str">
        <f t="shared" si="10"/>
        <v>The datastream containing mesures of field NARC by sensor J010 which measures Water flow m^3/h.</v>
      </c>
      <c r="Q512" s="5" t="s">
        <v>653</v>
      </c>
    </row>
    <row r="513" spans="1:17" ht="12.75">
      <c r="A513" s="5" t="s">
        <v>248</v>
      </c>
      <c r="B513" s="5" t="s">
        <v>1287</v>
      </c>
      <c r="C513" s="5" t="s">
        <v>1288</v>
      </c>
      <c r="D513" s="5">
        <v>32.194248999999999</v>
      </c>
      <c r="E513" s="5">
        <v>35.621113000000001</v>
      </c>
      <c r="F513" s="5" t="s">
        <v>340</v>
      </c>
      <c r="G513" s="5" t="s">
        <v>1254</v>
      </c>
      <c r="H513" s="5" t="s">
        <v>260</v>
      </c>
      <c r="I513" s="5" t="s">
        <v>342</v>
      </c>
      <c r="J513" s="5" t="s">
        <v>703</v>
      </c>
      <c r="K513" s="5" t="s">
        <v>705</v>
      </c>
      <c r="L513" s="5" t="str">
        <f>VLOOKUP($K513,'Property names'!$A$1:$D$100,2,FALSE)</f>
        <v>Incremental counting of water passed by the flowmeter</v>
      </c>
      <c r="M513" s="5" t="str">
        <f>VLOOKUP($K513,'Property names'!$A$1:$D$100,3,FALSE)</f>
        <v>Cubic meters</v>
      </c>
      <c r="N513" s="5" t="str">
        <f>VLOOKUP($K513,'Property names'!$A$1:$D$100,4,FALSE)</f>
        <v>m^3</v>
      </c>
      <c r="O513" s="5" t="str">
        <f t="shared" si="9"/>
        <v>NARC_J010_water_count</v>
      </c>
      <c r="P513" s="5" t="str">
        <f t="shared" si="10"/>
        <v>The datastream containing mesures of field NARC by sensor J010 which measures Water count m^3.</v>
      </c>
      <c r="Q513" s="5" t="s">
        <v>653</v>
      </c>
    </row>
    <row r="514" spans="1:17" ht="12.75">
      <c r="A514" s="5" t="s">
        <v>248</v>
      </c>
      <c r="B514" s="5" t="s">
        <v>1287</v>
      </c>
      <c r="C514" s="5" t="s">
        <v>1288</v>
      </c>
      <c r="D514" s="5">
        <v>32.194248999999999</v>
      </c>
      <c r="E514" s="5">
        <v>35.621113000000001</v>
      </c>
      <c r="F514" s="5" t="s">
        <v>343</v>
      </c>
      <c r="G514" s="5" t="s">
        <v>1257</v>
      </c>
      <c r="H514" s="5" t="s">
        <v>270</v>
      </c>
      <c r="I514" s="5" t="s">
        <v>345</v>
      </c>
      <c r="J514" s="5" t="s">
        <v>1258</v>
      </c>
      <c r="K514" s="5" t="s">
        <v>660</v>
      </c>
      <c r="L514" s="5" t="str">
        <f>VLOOKUP($K514,'Property names'!$A$1:$D$100,2,FALSE)</f>
        <v>The amount of moisture present in the soil, often expressed as a percentage of the maximum amount the soil could hold at a given temperature.</v>
      </c>
      <c r="M514" s="5" t="str">
        <f>VLOOKUP($K514,'Property names'!$A$1:$D$100,3,FALSE)</f>
        <v>Percentage</v>
      </c>
      <c r="N514" s="5" t="str">
        <f>VLOOKUP($K514,'Property names'!$A$1:$D$100,4,FALSE)</f>
        <v>%</v>
      </c>
      <c r="O514" s="5" t="str">
        <f t="shared" si="9"/>
        <v>NARC_J011_soil_moisture_10</v>
      </c>
      <c r="P514" s="5" t="str">
        <f t="shared" si="10"/>
        <v>The datastream containing mesures of field NARC by sensor J011 which measures Soil Moisture.</v>
      </c>
      <c r="Q514" s="5" t="s">
        <v>653</v>
      </c>
    </row>
    <row r="515" spans="1:17" ht="12.75">
      <c r="A515" s="5" t="s">
        <v>248</v>
      </c>
      <c r="B515" s="5" t="s">
        <v>1287</v>
      </c>
      <c r="C515" s="5" t="s">
        <v>1288</v>
      </c>
      <c r="D515" s="5">
        <v>32.194248999999999</v>
      </c>
      <c r="E515" s="5">
        <v>35.621113000000001</v>
      </c>
      <c r="F515" s="5" t="s">
        <v>343</v>
      </c>
      <c r="G515" s="5" t="s">
        <v>1257</v>
      </c>
      <c r="H515" s="5" t="s">
        <v>270</v>
      </c>
      <c r="I515" s="211" t="s">
        <v>345</v>
      </c>
      <c r="J515" s="5" t="s">
        <v>1259</v>
      </c>
      <c r="K515" s="5" t="s">
        <v>660</v>
      </c>
      <c r="L515" s="5" t="str">
        <f>VLOOKUP($K515,'Property names'!$A$1:$D$100,2,FALSE)</f>
        <v>The amount of moisture present in the soil, often expressed as a percentage of the maximum amount the soil could hold at a given temperature.</v>
      </c>
      <c r="M515" s="5" t="str">
        <f>VLOOKUP($K515,'Property names'!$A$1:$D$100,3,FALSE)</f>
        <v>Percentage</v>
      </c>
      <c r="N515" s="5" t="str">
        <f>VLOOKUP($K515,'Property names'!$A$1:$D$100,4,FALSE)</f>
        <v>%</v>
      </c>
      <c r="O515" s="5" t="str">
        <f t="shared" si="9"/>
        <v>NARC_J011_soil_moisture_20</v>
      </c>
      <c r="P515" s="5" t="str">
        <f t="shared" si="10"/>
        <v>The datastream containing mesures of field NARC by sensor J011 which measures Soil Moisture.</v>
      </c>
      <c r="Q515" s="5" t="s">
        <v>653</v>
      </c>
    </row>
    <row r="516" spans="1:17" ht="12.75">
      <c r="A516" s="5" t="s">
        <v>248</v>
      </c>
      <c r="B516" s="5" t="s">
        <v>1287</v>
      </c>
      <c r="C516" s="5" t="s">
        <v>1288</v>
      </c>
      <c r="D516" s="5">
        <v>32.194248999999999</v>
      </c>
      <c r="E516" s="5">
        <v>35.621113000000001</v>
      </c>
      <c r="F516" s="5" t="s">
        <v>343</v>
      </c>
      <c r="G516" s="5" t="s">
        <v>1257</v>
      </c>
      <c r="H516" s="5" t="s">
        <v>270</v>
      </c>
      <c r="I516" s="211" t="s">
        <v>345</v>
      </c>
      <c r="J516" s="5" t="s">
        <v>1260</v>
      </c>
      <c r="K516" s="5" t="s">
        <v>660</v>
      </c>
      <c r="L516" s="5" t="str">
        <f>VLOOKUP($K516,'Property names'!$A$1:$D$100,2,FALSE)</f>
        <v>The amount of moisture present in the soil, often expressed as a percentage of the maximum amount the soil could hold at a given temperature.</v>
      </c>
      <c r="M516" s="5" t="str">
        <f>VLOOKUP($K516,'Property names'!$A$1:$D$100,3,FALSE)</f>
        <v>Percentage</v>
      </c>
      <c r="N516" s="5" t="str">
        <f>VLOOKUP($K516,'Property names'!$A$1:$D$100,4,FALSE)</f>
        <v>%</v>
      </c>
      <c r="O516" s="5" t="str">
        <f t="shared" si="9"/>
        <v>NARC_J011_soil_moisture_30</v>
      </c>
      <c r="P516" s="5" t="str">
        <f t="shared" si="10"/>
        <v>The datastream containing mesures of field NARC by sensor J011 which measures Soil Moisture.</v>
      </c>
      <c r="Q516" s="5" t="s">
        <v>653</v>
      </c>
    </row>
    <row r="517" spans="1:17" ht="12.75">
      <c r="A517" s="5" t="s">
        <v>248</v>
      </c>
      <c r="B517" s="5" t="s">
        <v>1287</v>
      </c>
      <c r="C517" s="5" t="s">
        <v>1288</v>
      </c>
      <c r="D517" s="5">
        <v>32.194248999999999</v>
      </c>
      <c r="E517" s="5">
        <v>35.621113000000001</v>
      </c>
      <c r="F517" s="5" t="s">
        <v>343</v>
      </c>
      <c r="G517" s="5" t="s">
        <v>1257</v>
      </c>
      <c r="H517" s="5" t="s">
        <v>270</v>
      </c>
      <c r="I517" s="211" t="s">
        <v>345</v>
      </c>
      <c r="J517" s="5" t="s">
        <v>1261</v>
      </c>
      <c r="K517" s="5" t="s">
        <v>660</v>
      </c>
      <c r="L517" s="5" t="str">
        <f>VLOOKUP($K517,'Property names'!$A$1:$D$100,2,FALSE)</f>
        <v>The amount of moisture present in the soil, often expressed as a percentage of the maximum amount the soil could hold at a given temperature.</v>
      </c>
      <c r="M517" s="5" t="str">
        <f>VLOOKUP($K517,'Property names'!$A$1:$D$100,3,FALSE)</f>
        <v>Percentage</v>
      </c>
      <c r="N517" s="5" t="str">
        <f>VLOOKUP($K517,'Property names'!$A$1:$D$100,4,FALSE)</f>
        <v>%</v>
      </c>
      <c r="O517" s="5" t="str">
        <f t="shared" si="9"/>
        <v>NARC_J011_soil_moisture_45</v>
      </c>
      <c r="P517" s="5" t="str">
        <f t="shared" si="10"/>
        <v>The datastream containing mesures of field NARC by sensor J011 which measures Soil Moisture.</v>
      </c>
      <c r="Q517" s="5" t="s">
        <v>653</v>
      </c>
    </row>
    <row r="518" spans="1:17" ht="12.75">
      <c r="A518" s="5" t="s">
        <v>248</v>
      </c>
      <c r="B518" s="5" t="s">
        <v>1287</v>
      </c>
      <c r="C518" s="5" t="s">
        <v>1288</v>
      </c>
      <c r="D518" s="5">
        <v>32.194248999999999</v>
      </c>
      <c r="E518" s="5">
        <v>35.621113000000001</v>
      </c>
      <c r="F518" s="5" t="s">
        <v>343</v>
      </c>
      <c r="G518" s="5" t="s">
        <v>1257</v>
      </c>
      <c r="H518" s="5" t="s">
        <v>270</v>
      </c>
      <c r="I518" s="211" t="s">
        <v>345</v>
      </c>
      <c r="J518" s="5" t="s">
        <v>1262</v>
      </c>
      <c r="K518" s="5" t="s">
        <v>660</v>
      </c>
      <c r="L518" s="5" t="str">
        <f>VLOOKUP($K518,'Property names'!$A$1:$D$100,2,FALSE)</f>
        <v>The amount of moisture present in the soil, often expressed as a percentage of the maximum amount the soil could hold at a given temperature.</v>
      </c>
      <c r="M518" s="5" t="str">
        <f>VLOOKUP($K518,'Property names'!$A$1:$D$100,3,FALSE)</f>
        <v>Percentage</v>
      </c>
      <c r="N518" s="5" t="str">
        <f>VLOOKUP($K518,'Property names'!$A$1:$D$100,4,FALSE)</f>
        <v>%</v>
      </c>
      <c r="O518" s="5" t="str">
        <f t="shared" si="9"/>
        <v>NARC_J011_soil_moisture_60</v>
      </c>
      <c r="P518" s="5" t="str">
        <f t="shared" si="10"/>
        <v>The datastream containing mesures of field NARC by sensor J011 which measures Soil Moisture.</v>
      </c>
      <c r="Q518" s="5" t="s">
        <v>653</v>
      </c>
    </row>
    <row r="519" spans="1:17" ht="12.75">
      <c r="A519" s="5" t="s">
        <v>248</v>
      </c>
      <c r="B519" s="5" t="s">
        <v>1287</v>
      </c>
      <c r="C519" s="5" t="s">
        <v>1288</v>
      </c>
      <c r="D519" s="5">
        <v>32.194248999999999</v>
      </c>
      <c r="E519" s="5">
        <v>35.621113000000001</v>
      </c>
      <c r="F519" s="5" t="s">
        <v>343</v>
      </c>
      <c r="G519" s="5" t="s">
        <v>1257</v>
      </c>
      <c r="H519" s="5" t="s">
        <v>270</v>
      </c>
      <c r="I519" s="211" t="s">
        <v>345</v>
      </c>
      <c r="J519" s="5" t="s">
        <v>1263</v>
      </c>
      <c r="K519" s="5" t="s">
        <v>660</v>
      </c>
      <c r="L519" s="5" t="str">
        <f>VLOOKUP($K519,'Property names'!$A$1:$D$100,2,FALSE)</f>
        <v>The amount of moisture present in the soil, often expressed as a percentage of the maximum amount the soil could hold at a given temperature.</v>
      </c>
      <c r="M519" s="5" t="str">
        <f>VLOOKUP($K519,'Property names'!$A$1:$D$100,3,FALSE)</f>
        <v>Percentage</v>
      </c>
      <c r="N519" s="5" t="str">
        <f>VLOOKUP($K519,'Property names'!$A$1:$D$100,4,FALSE)</f>
        <v>%</v>
      </c>
      <c r="O519" s="5" t="str">
        <f t="shared" si="9"/>
        <v>NARC_J011_soil_moisture_90</v>
      </c>
      <c r="P519" s="5" t="str">
        <f t="shared" si="10"/>
        <v>The datastream containing mesures of field NARC by sensor J011 which measures Soil Moisture.</v>
      </c>
      <c r="Q519" s="5" t="s">
        <v>653</v>
      </c>
    </row>
    <row r="520" spans="1:17" ht="12.75">
      <c r="A520" s="5" t="s">
        <v>248</v>
      </c>
      <c r="B520" s="5" t="s">
        <v>1287</v>
      </c>
      <c r="C520" s="5" t="s">
        <v>1288</v>
      </c>
      <c r="D520" s="5">
        <v>32.194248999999999</v>
      </c>
      <c r="E520" s="5">
        <v>35.621113000000001</v>
      </c>
      <c r="F520" s="5" t="s">
        <v>343</v>
      </c>
      <c r="G520" s="5" t="s">
        <v>1257</v>
      </c>
      <c r="H520" s="5" t="s">
        <v>270</v>
      </c>
      <c r="I520" s="211" t="s">
        <v>345</v>
      </c>
      <c r="J520" s="5" t="s">
        <v>1264</v>
      </c>
      <c r="K520" s="5" t="s">
        <v>662</v>
      </c>
      <c r="L520" s="5" t="str">
        <f>VLOOKUP($K520,'Property names'!$A$1:$D$100,2,FALSE)</f>
        <v>The measure of temperature of the soil.</v>
      </c>
      <c r="M520" s="5" t="str">
        <f>VLOOKUP($K520,'Property names'!$A$1:$D$100,3,FALSE)</f>
        <v>Degrees Celsius</v>
      </c>
      <c r="N520" s="5" t="str">
        <f>VLOOKUP($K520,'Property names'!$A$1:$D$100,4,FALSE)</f>
        <v>ºC</v>
      </c>
      <c r="O520" s="5" t="str">
        <f t="shared" si="9"/>
        <v>NARC_J011_soil_temperature_25</v>
      </c>
      <c r="P520" s="5" t="str">
        <f t="shared" si="10"/>
        <v>The datastream containing mesures of field NARC by sensor J011 which measures Soil Temperature.</v>
      </c>
      <c r="Q520" s="5" t="s">
        <v>653</v>
      </c>
    </row>
    <row r="521" spans="1:17" ht="12.75">
      <c r="A521" s="5" t="s">
        <v>248</v>
      </c>
      <c r="B521" s="5" t="s">
        <v>1289</v>
      </c>
      <c r="C521" s="5" t="s">
        <v>1288</v>
      </c>
      <c r="D521" s="5">
        <v>32.174145000000003</v>
      </c>
      <c r="E521" s="5">
        <v>35.621113000000001</v>
      </c>
      <c r="F521" s="5" t="s">
        <v>347</v>
      </c>
      <c r="G521" s="5" t="s">
        <v>1254</v>
      </c>
      <c r="H521" s="5" t="s">
        <v>260</v>
      </c>
      <c r="I521" s="5" t="s">
        <v>349</v>
      </c>
      <c r="J521" s="5" t="s">
        <v>1255</v>
      </c>
      <c r="K521" s="5" t="s">
        <v>1256</v>
      </c>
      <c r="L521" s="5" t="str">
        <f>VLOOKUP($K521,'Property names'!$A$1:$D$100,2,FALSE)</f>
        <v>The continuous movement of water in a particular direction.</v>
      </c>
      <c r="M521" s="5" t="str">
        <f>VLOOKUP($K521,'Property names'!$A$1:$D$100,3,FALSE)</f>
        <v>Cubic meters per hour</v>
      </c>
      <c r="N521" s="5" t="str">
        <f>VLOOKUP($K521,'Property names'!$A$1:$D$100,4,FALSE)</f>
        <v>m^3/h</v>
      </c>
      <c r="O521" s="5" t="str">
        <f t="shared" si="9"/>
        <v>Es-haq_Sawalha_J012_water_flow</v>
      </c>
      <c r="P521" s="5" t="str">
        <f t="shared" si="10"/>
        <v>The datastream containing mesures of field Es-haq Sawalha by sensor J012 which measures Water flow m^3/h.</v>
      </c>
      <c r="Q521" s="5" t="s">
        <v>653</v>
      </c>
    </row>
    <row r="522" spans="1:17" ht="12.75">
      <c r="A522" s="5" t="s">
        <v>248</v>
      </c>
      <c r="B522" s="5" t="s">
        <v>1289</v>
      </c>
      <c r="C522" s="5" t="s">
        <v>1288</v>
      </c>
      <c r="D522" s="5">
        <v>32.174145000000003</v>
      </c>
      <c r="E522" s="5">
        <v>35.621113000000001</v>
      </c>
      <c r="F522" s="5" t="s">
        <v>347</v>
      </c>
      <c r="G522" s="5" t="s">
        <v>1254</v>
      </c>
      <c r="H522" s="5" t="s">
        <v>260</v>
      </c>
      <c r="I522" s="5" t="s">
        <v>349</v>
      </c>
      <c r="J522" s="5" t="s">
        <v>703</v>
      </c>
      <c r="K522" s="5" t="s">
        <v>705</v>
      </c>
      <c r="L522" s="5" t="str">
        <f>VLOOKUP($K522,'Property names'!$A$1:$D$100,2,FALSE)</f>
        <v>Incremental counting of water passed by the flowmeter</v>
      </c>
      <c r="M522" s="5" t="str">
        <f>VLOOKUP($K522,'Property names'!$A$1:$D$100,3,FALSE)</f>
        <v>Cubic meters</v>
      </c>
      <c r="N522" s="5" t="str">
        <f>VLOOKUP($K522,'Property names'!$A$1:$D$100,4,FALSE)</f>
        <v>m^3</v>
      </c>
      <c r="O522" s="5" t="str">
        <f t="shared" si="9"/>
        <v>Es-haq_Sawalha_J012_water_count</v>
      </c>
      <c r="P522" s="5" t="str">
        <f t="shared" si="10"/>
        <v>The datastream containing mesures of field Es-haq Sawalha by sensor J012 which measures Water count m^3.</v>
      </c>
      <c r="Q522" s="5" t="s">
        <v>653</v>
      </c>
    </row>
    <row r="523" spans="1:17" ht="12.75">
      <c r="A523" s="5" t="s">
        <v>248</v>
      </c>
      <c r="B523" s="5" t="s">
        <v>1289</v>
      </c>
      <c r="C523" s="5" t="s">
        <v>1288</v>
      </c>
      <c r="D523" s="5">
        <v>32.194248999999999</v>
      </c>
      <c r="E523" s="5">
        <v>35.613014</v>
      </c>
      <c r="F523" s="5" t="s">
        <v>350</v>
      </c>
      <c r="G523" s="5" t="s">
        <v>1257</v>
      </c>
      <c r="H523" s="5" t="s">
        <v>270</v>
      </c>
      <c r="I523" s="211" t="s">
        <v>351</v>
      </c>
      <c r="J523" s="5" t="s">
        <v>1258</v>
      </c>
      <c r="K523" s="5" t="s">
        <v>660</v>
      </c>
      <c r="L523" s="5" t="str">
        <f>VLOOKUP($K523,'Property names'!$A$1:$D$100,2,FALSE)</f>
        <v>The amount of moisture present in the soil, often expressed as a percentage of the maximum amount the soil could hold at a given temperature.</v>
      </c>
      <c r="M523" s="5" t="str">
        <f>VLOOKUP($K523,'Property names'!$A$1:$D$100,3,FALSE)</f>
        <v>Percentage</v>
      </c>
      <c r="N523" s="5" t="str">
        <f>VLOOKUP($K523,'Property names'!$A$1:$D$100,4,FALSE)</f>
        <v>%</v>
      </c>
      <c r="O523" s="5" t="str">
        <f>SUBSTITUTE(CONCATENATE(B529,"_",F523,"_",J523)," ","_")</f>
        <v>Es-haq_Sawalha_J013_soil_moisture_10</v>
      </c>
      <c r="P523" s="5" t="str">
        <f>CONCATENATE("The datastream containing mesures of field ",B529," by sensor ",F523," which measures ",K523,".")</f>
        <v>The datastream containing mesures of field Es-haq Sawalha by sensor J013 which measures Soil Moisture.</v>
      </c>
      <c r="Q523" s="5" t="s">
        <v>653</v>
      </c>
    </row>
    <row r="524" spans="1:17" ht="12.75">
      <c r="A524" s="5" t="s">
        <v>248</v>
      </c>
      <c r="B524" s="5" t="s">
        <v>1289</v>
      </c>
      <c r="C524" s="5" t="s">
        <v>1288</v>
      </c>
      <c r="D524" s="5">
        <v>32.194248999999999</v>
      </c>
      <c r="E524" s="5">
        <v>35.613014</v>
      </c>
      <c r="F524" s="5" t="s">
        <v>350</v>
      </c>
      <c r="G524" s="5" t="s">
        <v>1257</v>
      </c>
      <c r="H524" s="5" t="s">
        <v>270</v>
      </c>
      <c r="I524" s="211" t="s">
        <v>351</v>
      </c>
      <c r="J524" s="5" t="s">
        <v>1259</v>
      </c>
      <c r="K524" s="5" t="s">
        <v>660</v>
      </c>
      <c r="L524" s="5" t="str">
        <f>VLOOKUP($K524,'Property names'!$A$1:$D$100,2,FALSE)</f>
        <v>The amount of moisture present in the soil, often expressed as a percentage of the maximum amount the soil could hold at a given temperature.</v>
      </c>
      <c r="M524" s="5" t="str">
        <f>VLOOKUP($K524,'Property names'!$A$1:$D$100,3,FALSE)</f>
        <v>Percentage</v>
      </c>
      <c r="N524" s="5" t="str">
        <f>VLOOKUP($K524,'Property names'!$A$1:$D$100,4,FALSE)</f>
        <v>%</v>
      </c>
      <c r="O524" s="5" t="str">
        <f t="shared" ref="O524:O528" si="11">SUBSTITUTE(CONCATENATE(B524,"_",F524,"_",J524)," ","_")</f>
        <v>Es-haq_Sawalha_J013_soil_moisture_20</v>
      </c>
      <c r="P524" s="5" t="str">
        <f t="shared" ref="P524:P528" si="12">CONCATENATE("The datastream containing mesures of field ",B524," by sensor ",F524," which measures ",K524,".")</f>
        <v>The datastream containing mesures of field Es-haq Sawalha by sensor J013 which measures Soil Moisture.</v>
      </c>
      <c r="Q524" s="5" t="s">
        <v>653</v>
      </c>
    </row>
    <row r="525" spans="1:17" ht="12.75">
      <c r="A525" s="5" t="s">
        <v>248</v>
      </c>
      <c r="B525" s="5" t="s">
        <v>1289</v>
      </c>
      <c r="C525" s="5" t="s">
        <v>1288</v>
      </c>
      <c r="D525" s="5">
        <v>32.194248999999999</v>
      </c>
      <c r="E525" s="5">
        <v>35.613014</v>
      </c>
      <c r="F525" s="5" t="s">
        <v>350</v>
      </c>
      <c r="G525" s="5" t="s">
        <v>1257</v>
      </c>
      <c r="H525" s="5" t="s">
        <v>270</v>
      </c>
      <c r="I525" s="211" t="s">
        <v>351</v>
      </c>
      <c r="J525" s="5" t="s">
        <v>1260</v>
      </c>
      <c r="K525" s="5" t="s">
        <v>660</v>
      </c>
      <c r="L525" s="5" t="str">
        <f>VLOOKUP($K525,'Property names'!$A$1:$D$100,2,FALSE)</f>
        <v>The amount of moisture present in the soil, often expressed as a percentage of the maximum amount the soil could hold at a given temperature.</v>
      </c>
      <c r="M525" s="5" t="str">
        <f>VLOOKUP($K525,'Property names'!$A$1:$D$100,3,FALSE)</f>
        <v>Percentage</v>
      </c>
      <c r="N525" s="5" t="str">
        <f>VLOOKUP($K525,'Property names'!$A$1:$D$100,4,FALSE)</f>
        <v>%</v>
      </c>
      <c r="O525" s="5" t="str">
        <f t="shared" si="11"/>
        <v>Es-haq_Sawalha_J013_soil_moisture_30</v>
      </c>
      <c r="P525" s="5" t="str">
        <f t="shared" si="12"/>
        <v>The datastream containing mesures of field Es-haq Sawalha by sensor J013 which measures Soil Moisture.</v>
      </c>
      <c r="Q525" s="5" t="s">
        <v>653</v>
      </c>
    </row>
    <row r="526" spans="1:17" ht="12.75">
      <c r="A526" s="5" t="s">
        <v>248</v>
      </c>
      <c r="B526" s="5" t="s">
        <v>1289</v>
      </c>
      <c r="C526" s="5" t="s">
        <v>1288</v>
      </c>
      <c r="D526" s="5">
        <v>32.194248999999999</v>
      </c>
      <c r="E526" s="5">
        <v>35.613014</v>
      </c>
      <c r="F526" s="5" t="s">
        <v>350</v>
      </c>
      <c r="G526" s="5" t="s">
        <v>1257</v>
      </c>
      <c r="H526" s="5" t="s">
        <v>270</v>
      </c>
      <c r="I526" s="211" t="s">
        <v>351</v>
      </c>
      <c r="J526" s="5" t="s">
        <v>1261</v>
      </c>
      <c r="K526" s="5" t="s">
        <v>660</v>
      </c>
      <c r="L526" s="5" t="str">
        <f>VLOOKUP($K526,'Property names'!$A$1:$D$100,2,FALSE)</f>
        <v>The amount of moisture present in the soil, often expressed as a percentage of the maximum amount the soil could hold at a given temperature.</v>
      </c>
      <c r="M526" s="5" t="str">
        <f>VLOOKUP($K526,'Property names'!$A$1:$D$100,3,FALSE)</f>
        <v>Percentage</v>
      </c>
      <c r="N526" s="5" t="str">
        <f>VLOOKUP($K526,'Property names'!$A$1:$D$100,4,FALSE)</f>
        <v>%</v>
      </c>
      <c r="O526" s="5" t="str">
        <f t="shared" si="11"/>
        <v>Es-haq_Sawalha_J013_soil_moisture_45</v>
      </c>
      <c r="P526" s="5" t="str">
        <f t="shared" si="12"/>
        <v>The datastream containing mesures of field Es-haq Sawalha by sensor J013 which measures Soil Moisture.</v>
      </c>
      <c r="Q526" s="5" t="s">
        <v>653</v>
      </c>
    </row>
    <row r="527" spans="1:17" ht="12.75">
      <c r="A527" s="5" t="s">
        <v>248</v>
      </c>
      <c r="B527" s="5" t="s">
        <v>1289</v>
      </c>
      <c r="C527" s="5" t="s">
        <v>1288</v>
      </c>
      <c r="D527" s="5">
        <v>32.194248999999999</v>
      </c>
      <c r="E527" s="5">
        <v>35.613014</v>
      </c>
      <c r="F527" s="5" t="s">
        <v>350</v>
      </c>
      <c r="G527" s="5" t="s">
        <v>1257</v>
      </c>
      <c r="H527" s="5" t="s">
        <v>270</v>
      </c>
      <c r="I527" s="211" t="s">
        <v>351</v>
      </c>
      <c r="J527" s="5" t="s">
        <v>1262</v>
      </c>
      <c r="K527" s="5" t="s">
        <v>660</v>
      </c>
      <c r="L527" s="5" t="str">
        <f>VLOOKUP($K527,'Property names'!$A$1:$D$100,2,FALSE)</f>
        <v>The amount of moisture present in the soil, often expressed as a percentage of the maximum amount the soil could hold at a given temperature.</v>
      </c>
      <c r="M527" s="5" t="str">
        <f>VLOOKUP($K527,'Property names'!$A$1:$D$100,3,FALSE)</f>
        <v>Percentage</v>
      </c>
      <c r="N527" s="5" t="str">
        <f>VLOOKUP($K527,'Property names'!$A$1:$D$100,4,FALSE)</f>
        <v>%</v>
      </c>
      <c r="O527" s="5" t="str">
        <f t="shared" si="11"/>
        <v>Es-haq_Sawalha_J013_soil_moisture_60</v>
      </c>
      <c r="P527" s="5" t="str">
        <f t="shared" si="12"/>
        <v>The datastream containing mesures of field Es-haq Sawalha by sensor J013 which measures Soil Moisture.</v>
      </c>
      <c r="Q527" s="5" t="s">
        <v>653</v>
      </c>
    </row>
    <row r="528" spans="1:17" ht="12.75">
      <c r="A528" s="5" t="s">
        <v>248</v>
      </c>
      <c r="B528" s="5" t="s">
        <v>1289</v>
      </c>
      <c r="C528" s="5" t="s">
        <v>1288</v>
      </c>
      <c r="D528" s="5">
        <v>32.194248999999999</v>
      </c>
      <c r="E528" s="5">
        <v>35.613014</v>
      </c>
      <c r="F528" s="5" t="s">
        <v>350</v>
      </c>
      <c r="G528" s="5" t="s">
        <v>1257</v>
      </c>
      <c r="H528" s="5" t="s">
        <v>270</v>
      </c>
      <c r="I528" s="211" t="s">
        <v>351</v>
      </c>
      <c r="J528" s="5" t="s">
        <v>1263</v>
      </c>
      <c r="K528" s="5" t="s">
        <v>660</v>
      </c>
      <c r="L528" s="5" t="str">
        <f>VLOOKUP($K528,'Property names'!$A$1:$D$100,2,FALSE)</f>
        <v>The amount of moisture present in the soil, often expressed as a percentage of the maximum amount the soil could hold at a given temperature.</v>
      </c>
      <c r="M528" s="5" t="str">
        <f>VLOOKUP($K528,'Property names'!$A$1:$D$100,3,FALSE)</f>
        <v>Percentage</v>
      </c>
      <c r="N528" s="5" t="str">
        <f>VLOOKUP($K528,'Property names'!$A$1:$D$100,4,FALSE)</f>
        <v>%</v>
      </c>
      <c r="O528" s="5" t="str">
        <f t="shared" si="11"/>
        <v>Es-haq_Sawalha_J013_soil_moisture_90</v>
      </c>
      <c r="P528" s="5" t="str">
        <f t="shared" si="12"/>
        <v>The datastream containing mesures of field Es-haq Sawalha by sensor J013 which measures Soil Moisture.</v>
      </c>
      <c r="Q528" s="5" t="s">
        <v>653</v>
      </c>
    </row>
    <row r="529" spans="1:17" ht="12.75">
      <c r="A529" s="5" t="s">
        <v>248</v>
      </c>
      <c r="B529" s="5" t="s">
        <v>1289</v>
      </c>
      <c r="C529" s="5" t="s">
        <v>1288</v>
      </c>
      <c r="D529" s="5">
        <v>32.194248999999999</v>
      </c>
      <c r="E529" s="5">
        <v>35.613014</v>
      </c>
      <c r="F529" s="5" t="s">
        <v>350</v>
      </c>
      <c r="G529" s="5" t="s">
        <v>1257</v>
      </c>
      <c r="H529" s="5" t="s">
        <v>270</v>
      </c>
      <c r="I529" s="211" t="s">
        <v>351</v>
      </c>
      <c r="J529" s="5" t="s">
        <v>1264</v>
      </c>
      <c r="K529" s="5" t="s">
        <v>662</v>
      </c>
      <c r="L529" s="5" t="str">
        <f>VLOOKUP($K529,'Property names'!$A$1:$D$100,2,FALSE)</f>
        <v>The measure of temperature of the soil.</v>
      </c>
      <c r="M529" s="5" t="str">
        <f>VLOOKUP($K529,'Property names'!$A$1:$D$100,3,FALSE)</f>
        <v>Degrees Celsius</v>
      </c>
      <c r="N529" s="5" t="str">
        <f>VLOOKUP($K529,'Property names'!$A$1:$D$100,4,FALSE)</f>
        <v>ºC</v>
      </c>
      <c r="O529" s="5" t="e">
        <f>SUBSTITUTE(CONCATENATE(#REF!,"_",F529,"_",J529)," ","_")</f>
        <v>#REF!</v>
      </c>
      <c r="P529" s="5" t="e">
        <f>CONCATENATE("The datastream containing mesures of field ",#REF!," by sensor ",F529," which measures ",K529,".")</f>
        <v>#REF!</v>
      </c>
      <c r="Q529" s="5" t="s">
        <v>653</v>
      </c>
    </row>
    <row r="530" spans="1:17" ht="12.75">
      <c r="A530" s="5" t="s">
        <v>248</v>
      </c>
      <c r="B530" s="5" t="s">
        <v>1290</v>
      </c>
      <c r="C530" s="5" t="s">
        <v>1253</v>
      </c>
      <c r="D530" s="5">
        <v>32.174145000000003</v>
      </c>
      <c r="E530" s="5">
        <v>35.621113000000001</v>
      </c>
      <c r="F530" s="5" t="s">
        <v>353</v>
      </c>
      <c r="G530" s="5" t="s">
        <v>1254</v>
      </c>
      <c r="H530" s="5" t="s">
        <v>260</v>
      </c>
      <c r="I530" s="5" t="s">
        <v>357</v>
      </c>
      <c r="J530" s="5" t="s">
        <v>1255</v>
      </c>
      <c r="K530" s="5" t="s">
        <v>1256</v>
      </c>
      <c r="L530" s="5" t="str">
        <f>VLOOKUP($K530,'Property names'!$A$1:$D$100,2,FALSE)</f>
        <v>The continuous movement of water in a particular direction.</v>
      </c>
      <c r="M530" s="5" t="str">
        <f>VLOOKUP($K530,'Property names'!$A$1:$D$100,3,FALSE)</f>
        <v>Cubic meters per hour</v>
      </c>
      <c r="N530" s="5" t="str">
        <f>VLOOKUP($K530,'Property names'!$A$1:$D$100,4,FALSE)</f>
        <v>m^3/h</v>
      </c>
      <c r="O530" s="5" t="str">
        <f t="shared" ref="O530:O543" si="13">SUBSTITUTE(CONCATENATE(B530,"_",F530,"_",J530)," ","_")</f>
        <v>Faisal_Neimat_J014_water_flow</v>
      </c>
      <c r="P530" s="5" t="str">
        <f t="shared" ref="P530:P543" si="14">CONCATENATE("The datastream containing mesures of field ",B530," by sensor ",F530," which measures ",K530,".")</f>
        <v>The datastream containing mesures of field Faisal Neimat by sensor J014 which measures Water flow m^3/h.</v>
      </c>
      <c r="Q530" s="5" t="s">
        <v>653</v>
      </c>
    </row>
    <row r="531" spans="1:17" ht="12.75">
      <c r="A531" s="5" t="s">
        <v>248</v>
      </c>
      <c r="B531" s="5" t="s">
        <v>1290</v>
      </c>
      <c r="C531" s="5" t="s">
        <v>1253</v>
      </c>
      <c r="D531" s="5">
        <v>32.174145000000003</v>
      </c>
      <c r="E531" s="5">
        <v>35.621113000000001</v>
      </c>
      <c r="F531" s="5" t="s">
        <v>353</v>
      </c>
      <c r="G531" s="5" t="s">
        <v>1254</v>
      </c>
      <c r="H531" s="5" t="s">
        <v>260</v>
      </c>
      <c r="I531" s="5" t="s">
        <v>357</v>
      </c>
      <c r="J531" s="5" t="s">
        <v>703</v>
      </c>
      <c r="K531" s="5" t="s">
        <v>705</v>
      </c>
      <c r="L531" s="5" t="str">
        <f>VLOOKUP($K531,'Property names'!$A$1:$D$100,2,FALSE)</f>
        <v>Incremental counting of water passed by the flowmeter</v>
      </c>
      <c r="M531" s="5" t="str">
        <f>VLOOKUP($K531,'Property names'!$A$1:$D$100,3,FALSE)</f>
        <v>Cubic meters</v>
      </c>
      <c r="N531" s="5" t="str">
        <f>VLOOKUP($K531,'Property names'!$A$1:$D$100,4,FALSE)</f>
        <v>m^3</v>
      </c>
      <c r="O531" s="5" t="str">
        <f t="shared" si="13"/>
        <v>Faisal_Neimat_J014_water_count</v>
      </c>
      <c r="P531" s="5" t="str">
        <f t="shared" si="14"/>
        <v>The datastream containing mesures of field Faisal Neimat by sensor J014 which measures Water count m^3.</v>
      </c>
      <c r="Q531" s="5" t="s">
        <v>653</v>
      </c>
    </row>
    <row r="532" spans="1:17" ht="12.75">
      <c r="A532" s="5" t="s">
        <v>248</v>
      </c>
      <c r="B532" s="5" t="s">
        <v>1290</v>
      </c>
      <c r="C532" s="5" t="s">
        <v>1253</v>
      </c>
      <c r="D532" s="5">
        <v>32.174145000000003</v>
      </c>
      <c r="E532" s="5">
        <v>35.621113000000001</v>
      </c>
      <c r="F532" s="5" t="s">
        <v>358</v>
      </c>
      <c r="G532" s="5" t="s">
        <v>1257</v>
      </c>
      <c r="H532" s="5" t="s">
        <v>270</v>
      </c>
      <c r="I532" s="212" t="s">
        <v>360</v>
      </c>
      <c r="J532" s="5" t="s">
        <v>1258</v>
      </c>
      <c r="K532" s="5" t="s">
        <v>660</v>
      </c>
      <c r="L532" s="5" t="str">
        <f>VLOOKUP($K532,'Property names'!$A$1:$D$100,2,FALSE)</f>
        <v>The amount of moisture present in the soil, often expressed as a percentage of the maximum amount the soil could hold at a given temperature.</v>
      </c>
      <c r="M532" s="5" t="str">
        <f>VLOOKUP($K532,'Property names'!$A$1:$D$100,3,FALSE)</f>
        <v>Percentage</v>
      </c>
      <c r="N532" s="5" t="str">
        <f>VLOOKUP($K532,'Property names'!$A$1:$D$100,4,FALSE)</f>
        <v>%</v>
      </c>
      <c r="O532" s="5" t="str">
        <f t="shared" si="13"/>
        <v>Faisal_Neimat_J015_soil_moisture_10</v>
      </c>
      <c r="P532" s="5" t="str">
        <f t="shared" si="14"/>
        <v>The datastream containing mesures of field Faisal Neimat by sensor J015 which measures Soil Moisture.</v>
      </c>
      <c r="Q532" s="5" t="s">
        <v>653</v>
      </c>
    </row>
    <row r="533" spans="1:17" ht="12.75">
      <c r="A533" s="5" t="s">
        <v>248</v>
      </c>
      <c r="B533" s="5" t="s">
        <v>1290</v>
      </c>
      <c r="C533" s="5" t="s">
        <v>1253</v>
      </c>
      <c r="D533" s="5">
        <v>32.174145000000003</v>
      </c>
      <c r="E533" s="5">
        <v>35.621113000000001</v>
      </c>
      <c r="F533" s="5" t="s">
        <v>358</v>
      </c>
      <c r="G533" s="5" t="s">
        <v>1257</v>
      </c>
      <c r="H533" s="5" t="s">
        <v>270</v>
      </c>
      <c r="I533" s="212" t="s">
        <v>360</v>
      </c>
      <c r="J533" s="5" t="s">
        <v>1259</v>
      </c>
      <c r="K533" s="5" t="s">
        <v>660</v>
      </c>
      <c r="L533" s="5" t="str">
        <f>VLOOKUP($K533,'Property names'!$A$1:$D$100,2,FALSE)</f>
        <v>The amount of moisture present in the soil, often expressed as a percentage of the maximum amount the soil could hold at a given temperature.</v>
      </c>
      <c r="M533" s="5" t="str">
        <f>VLOOKUP($K533,'Property names'!$A$1:$D$100,3,FALSE)</f>
        <v>Percentage</v>
      </c>
      <c r="N533" s="5" t="str">
        <f>VLOOKUP($K533,'Property names'!$A$1:$D$100,4,FALSE)</f>
        <v>%</v>
      </c>
      <c r="O533" s="5" t="str">
        <f t="shared" si="13"/>
        <v>Faisal_Neimat_J015_soil_moisture_20</v>
      </c>
      <c r="P533" s="5" t="str">
        <f t="shared" si="14"/>
        <v>The datastream containing mesures of field Faisal Neimat by sensor J015 which measures Soil Moisture.</v>
      </c>
      <c r="Q533" s="5" t="s">
        <v>653</v>
      </c>
    </row>
    <row r="534" spans="1:17" ht="12.75">
      <c r="A534" s="5" t="s">
        <v>248</v>
      </c>
      <c r="B534" s="5" t="s">
        <v>1290</v>
      </c>
      <c r="C534" s="5" t="s">
        <v>1253</v>
      </c>
      <c r="D534" s="5">
        <v>32.174145000000003</v>
      </c>
      <c r="E534" s="5">
        <v>35.621113000000001</v>
      </c>
      <c r="F534" s="5" t="s">
        <v>358</v>
      </c>
      <c r="G534" s="5" t="s">
        <v>1257</v>
      </c>
      <c r="H534" s="5" t="s">
        <v>270</v>
      </c>
      <c r="I534" s="212" t="s">
        <v>360</v>
      </c>
      <c r="J534" s="5" t="s">
        <v>1260</v>
      </c>
      <c r="K534" s="5" t="s">
        <v>660</v>
      </c>
      <c r="L534" s="5" t="str">
        <f>VLOOKUP($K534,'Property names'!$A$1:$D$100,2,FALSE)</f>
        <v>The amount of moisture present in the soil, often expressed as a percentage of the maximum amount the soil could hold at a given temperature.</v>
      </c>
      <c r="M534" s="5" t="str">
        <f>VLOOKUP($K534,'Property names'!$A$1:$D$100,3,FALSE)</f>
        <v>Percentage</v>
      </c>
      <c r="N534" s="5" t="str">
        <f>VLOOKUP($K534,'Property names'!$A$1:$D$100,4,FALSE)</f>
        <v>%</v>
      </c>
      <c r="O534" s="5" t="str">
        <f t="shared" si="13"/>
        <v>Faisal_Neimat_J015_soil_moisture_30</v>
      </c>
      <c r="P534" s="5" t="str">
        <f t="shared" si="14"/>
        <v>The datastream containing mesures of field Faisal Neimat by sensor J015 which measures Soil Moisture.</v>
      </c>
      <c r="Q534" s="5" t="s">
        <v>653</v>
      </c>
    </row>
    <row r="535" spans="1:17" ht="12.75">
      <c r="A535" s="5" t="s">
        <v>248</v>
      </c>
      <c r="B535" s="5" t="s">
        <v>1290</v>
      </c>
      <c r="C535" s="5" t="s">
        <v>1253</v>
      </c>
      <c r="D535" s="5">
        <v>32.174145000000003</v>
      </c>
      <c r="E535" s="5">
        <v>35.621113000000001</v>
      </c>
      <c r="F535" s="5" t="s">
        <v>358</v>
      </c>
      <c r="G535" s="5" t="s">
        <v>1257</v>
      </c>
      <c r="H535" s="5" t="s">
        <v>270</v>
      </c>
      <c r="I535" s="212" t="s">
        <v>360</v>
      </c>
      <c r="J535" s="5" t="s">
        <v>1261</v>
      </c>
      <c r="K535" s="5" t="s">
        <v>660</v>
      </c>
      <c r="L535" s="5" t="str">
        <f>VLOOKUP($K535,'Property names'!$A$1:$D$100,2,FALSE)</f>
        <v>The amount of moisture present in the soil, often expressed as a percentage of the maximum amount the soil could hold at a given temperature.</v>
      </c>
      <c r="M535" s="5" t="str">
        <f>VLOOKUP($K535,'Property names'!$A$1:$D$100,3,FALSE)</f>
        <v>Percentage</v>
      </c>
      <c r="N535" s="5" t="str">
        <f>VLOOKUP($K535,'Property names'!$A$1:$D$100,4,FALSE)</f>
        <v>%</v>
      </c>
      <c r="O535" s="5" t="str">
        <f t="shared" si="13"/>
        <v>Faisal_Neimat_J015_soil_moisture_45</v>
      </c>
      <c r="P535" s="5" t="str">
        <f t="shared" si="14"/>
        <v>The datastream containing mesures of field Faisal Neimat by sensor J015 which measures Soil Moisture.</v>
      </c>
      <c r="Q535" s="5" t="s">
        <v>653</v>
      </c>
    </row>
    <row r="536" spans="1:17" ht="12.75">
      <c r="A536" s="5" t="s">
        <v>248</v>
      </c>
      <c r="B536" s="5" t="s">
        <v>1290</v>
      </c>
      <c r="C536" s="5" t="s">
        <v>1253</v>
      </c>
      <c r="D536" s="5">
        <v>32.174145000000003</v>
      </c>
      <c r="E536" s="5">
        <v>35.621113000000001</v>
      </c>
      <c r="F536" s="5" t="s">
        <v>358</v>
      </c>
      <c r="G536" s="5" t="s">
        <v>1257</v>
      </c>
      <c r="H536" s="5" t="s">
        <v>270</v>
      </c>
      <c r="I536" s="212" t="s">
        <v>360</v>
      </c>
      <c r="J536" s="5" t="s">
        <v>1262</v>
      </c>
      <c r="K536" s="5" t="s">
        <v>660</v>
      </c>
      <c r="L536" s="5" t="str">
        <f>VLOOKUP($K536,'Property names'!$A$1:$D$100,2,FALSE)</f>
        <v>The amount of moisture present in the soil, often expressed as a percentage of the maximum amount the soil could hold at a given temperature.</v>
      </c>
      <c r="M536" s="5" t="str">
        <f>VLOOKUP($K536,'Property names'!$A$1:$D$100,3,FALSE)</f>
        <v>Percentage</v>
      </c>
      <c r="N536" s="5" t="str">
        <f>VLOOKUP($K536,'Property names'!$A$1:$D$100,4,FALSE)</f>
        <v>%</v>
      </c>
      <c r="O536" s="5" t="str">
        <f t="shared" si="13"/>
        <v>Faisal_Neimat_J015_soil_moisture_60</v>
      </c>
      <c r="P536" s="5" t="str">
        <f t="shared" si="14"/>
        <v>The datastream containing mesures of field Faisal Neimat by sensor J015 which measures Soil Moisture.</v>
      </c>
      <c r="Q536" s="5" t="s">
        <v>653</v>
      </c>
    </row>
    <row r="537" spans="1:17" ht="12.75">
      <c r="A537" s="5" t="s">
        <v>248</v>
      </c>
      <c r="B537" s="5" t="s">
        <v>1290</v>
      </c>
      <c r="C537" s="5" t="s">
        <v>1253</v>
      </c>
      <c r="D537" s="5">
        <v>32.174145000000003</v>
      </c>
      <c r="E537" s="5">
        <v>35.621113000000001</v>
      </c>
      <c r="F537" s="5" t="s">
        <v>358</v>
      </c>
      <c r="G537" s="5" t="s">
        <v>1257</v>
      </c>
      <c r="H537" s="5" t="s">
        <v>270</v>
      </c>
      <c r="I537" s="212" t="s">
        <v>360</v>
      </c>
      <c r="J537" s="5" t="s">
        <v>1263</v>
      </c>
      <c r="K537" s="5" t="s">
        <v>660</v>
      </c>
      <c r="L537" s="5" t="str">
        <f>VLOOKUP($K537,'Property names'!$A$1:$D$100,2,FALSE)</f>
        <v>The amount of moisture present in the soil, often expressed as a percentage of the maximum amount the soil could hold at a given temperature.</v>
      </c>
      <c r="M537" s="5" t="str">
        <f>VLOOKUP($K537,'Property names'!$A$1:$D$100,3,FALSE)</f>
        <v>Percentage</v>
      </c>
      <c r="N537" s="5" t="str">
        <f>VLOOKUP($K537,'Property names'!$A$1:$D$100,4,FALSE)</f>
        <v>%</v>
      </c>
      <c r="O537" s="5" t="str">
        <f t="shared" si="13"/>
        <v>Faisal_Neimat_J015_soil_moisture_90</v>
      </c>
      <c r="P537" s="5" t="str">
        <f t="shared" si="14"/>
        <v>The datastream containing mesures of field Faisal Neimat by sensor J015 which measures Soil Moisture.</v>
      </c>
      <c r="Q537" s="5" t="s">
        <v>653</v>
      </c>
    </row>
    <row r="538" spans="1:17" ht="12.75">
      <c r="A538" s="5" t="s">
        <v>248</v>
      </c>
      <c r="B538" s="5" t="s">
        <v>1290</v>
      </c>
      <c r="C538" s="5" t="s">
        <v>1253</v>
      </c>
      <c r="D538" s="5">
        <v>32.174145000000003</v>
      </c>
      <c r="E538" s="5">
        <v>35.621113000000001</v>
      </c>
      <c r="F538" s="5" t="s">
        <v>358</v>
      </c>
      <c r="G538" s="5" t="s">
        <v>1257</v>
      </c>
      <c r="H538" s="5" t="s">
        <v>270</v>
      </c>
      <c r="I538" s="212" t="s">
        <v>360</v>
      </c>
      <c r="J538" s="5" t="s">
        <v>1264</v>
      </c>
      <c r="K538" s="5" t="s">
        <v>662</v>
      </c>
      <c r="L538" s="5" t="str">
        <f>VLOOKUP($K538,'Property names'!$A$1:$D$100,2,FALSE)</f>
        <v>The measure of temperature of the soil.</v>
      </c>
      <c r="M538" s="5" t="str">
        <f>VLOOKUP($K538,'Property names'!$A$1:$D$100,3,FALSE)</f>
        <v>Degrees Celsius</v>
      </c>
      <c r="N538" s="5" t="str">
        <f>VLOOKUP($K538,'Property names'!$A$1:$D$100,4,FALSE)</f>
        <v>ºC</v>
      </c>
      <c r="O538" s="5" t="str">
        <f t="shared" si="13"/>
        <v>Faisal_Neimat_J015_soil_temperature_25</v>
      </c>
      <c r="P538" s="5" t="str">
        <f t="shared" si="14"/>
        <v>The datastream containing mesures of field Faisal Neimat by sensor J015 which measures Soil Temperature.</v>
      </c>
      <c r="Q538" s="5" t="s">
        <v>653</v>
      </c>
    </row>
    <row r="539" spans="1:17" ht="12.75">
      <c r="A539" s="5" t="s">
        <v>248</v>
      </c>
      <c r="B539" s="5" t="s">
        <v>1291</v>
      </c>
      <c r="C539" s="5" t="s">
        <v>1253</v>
      </c>
      <c r="D539" s="5">
        <v>32.188872000000003</v>
      </c>
      <c r="E539" s="5">
        <v>35.685884999999999</v>
      </c>
      <c r="F539" s="5" t="s">
        <v>379</v>
      </c>
      <c r="G539" s="5" t="s">
        <v>1265</v>
      </c>
      <c r="H539" s="5" t="s">
        <v>279</v>
      </c>
      <c r="I539" s="5" t="s">
        <v>381</v>
      </c>
      <c r="J539" s="5" t="s">
        <v>1267</v>
      </c>
      <c r="K539" s="5" t="s">
        <v>1268</v>
      </c>
      <c r="L539" s="5" t="str">
        <f>VLOOKUP($K539,'Property names'!$A$1:$D$100,2,FALSE)</f>
        <v>Measure of the acidity or alkalinity of a solution.</v>
      </c>
      <c r="M539" s="5" t="str">
        <f>VLOOKUP($K539,'Property names'!$A$1:$D$100,3,FALSE)</f>
        <v>-</v>
      </c>
      <c r="N539" s="5" t="str">
        <f>VLOOKUP($K539,'Property names'!$A$1:$D$100,4,FALSE)</f>
        <v>-</v>
      </c>
      <c r="O539" s="5" t="str">
        <f t="shared" si="13"/>
        <v>Telal_Al_Thahab_J016_ph</v>
      </c>
      <c r="P539" s="5" t="str">
        <f t="shared" si="14"/>
        <v>The datastream containing mesures of field Telal Al Thahab by sensor J016 which measures pH.</v>
      </c>
      <c r="Q539" s="5" t="s">
        <v>1269</v>
      </c>
    </row>
    <row r="540" spans="1:17" ht="12.75">
      <c r="A540" s="5" t="s">
        <v>248</v>
      </c>
      <c r="B540" s="5" t="s">
        <v>1291</v>
      </c>
      <c r="C540" s="5" t="s">
        <v>1253</v>
      </c>
      <c r="D540" s="5">
        <v>32.188872000000003</v>
      </c>
      <c r="E540" s="5">
        <v>35.685884999999999</v>
      </c>
      <c r="F540" s="5" t="s">
        <v>379</v>
      </c>
      <c r="G540" s="5" t="s">
        <v>1265</v>
      </c>
      <c r="H540" s="5" t="s">
        <v>279</v>
      </c>
      <c r="I540" s="5" t="s">
        <v>381</v>
      </c>
      <c r="J540" s="5" t="s">
        <v>1270</v>
      </c>
      <c r="K540" s="5" t="s">
        <v>1271</v>
      </c>
      <c r="L540" s="5" t="str">
        <f>VLOOKUP($K540,'Property names'!$A$1:$D$100,2,FALSE)</f>
        <v>Measure of the ability of a solution to conduct electricity.</v>
      </c>
      <c r="M540" s="5" t="str">
        <f>VLOOKUP($K540,'Property names'!$A$1:$D$100,3,FALSE)</f>
        <v>Microsiemens per centimeter</v>
      </c>
      <c r="N540" s="5" t="str">
        <f>VLOOKUP($K540,'Property names'!$A$1:$D$100,4,FALSE)</f>
        <v>μS/cm</v>
      </c>
      <c r="O540" s="5" t="str">
        <f t="shared" si="13"/>
        <v>Telal_Al_Thahab_J016_ec</v>
      </c>
      <c r="P540" s="5" t="str">
        <f t="shared" si="14"/>
        <v>The datastream containing mesures of field Telal Al Thahab by sensor J016 which measures Electric Conductivity.</v>
      </c>
      <c r="Q540" s="5" t="s">
        <v>1269</v>
      </c>
    </row>
    <row r="541" spans="1:17" ht="12.75">
      <c r="A541" s="5" t="s">
        <v>248</v>
      </c>
      <c r="B541" s="5" t="s">
        <v>1291</v>
      </c>
      <c r="C541" s="5" t="s">
        <v>1253</v>
      </c>
      <c r="D541" s="5">
        <v>32.188872000000003</v>
      </c>
      <c r="E541" s="5">
        <v>35.685884999999999</v>
      </c>
      <c r="F541" s="5" t="s">
        <v>379</v>
      </c>
      <c r="G541" s="5" t="s">
        <v>1265</v>
      </c>
      <c r="H541" s="5" t="s">
        <v>279</v>
      </c>
      <c r="I541" s="5" t="s">
        <v>381</v>
      </c>
      <c r="J541" s="5" t="s">
        <v>1272</v>
      </c>
      <c r="K541" s="5" t="s">
        <v>1273</v>
      </c>
      <c r="L541" s="5" t="str">
        <f>VLOOKUP($K541,'Property names'!$A$1:$D$100,2,FALSE)</f>
        <v>Concentration of ammonia.</v>
      </c>
      <c r="M541" s="5" t="str">
        <f>VLOOKUP($K541,'Property names'!$A$1:$D$100,3,FALSE)</f>
        <v>Milligrams per liter</v>
      </c>
      <c r="N541" s="5" t="str">
        <f>VLOOKUP($K541,'Property names'!$A$1:$D$100,4,FALSE)</f>
        <v>mg/L</v>
      </c>
      <c r="O541" s="5" t="str">
        <f t="shared" si="13"/>
        <v>Telal_Al_Thahab_J016_nh3</v>
      </c>
      <c r="P541" s="5" t="str">
        <f t="shared" si="14"/>
        <v>The datastream containing mesures of field Telal Al Thahab by sensor J016 which measures NH3 / Ammonia.</v>
      </c>
      <c r="Q541" s="5" t="s">
        <v>1269</v>
      </c>
    </row>
    <row r="542" spans="1:17" ht="12.75">
      <c r="A542" s="5" t="s">
        <v>248</v>
      </c>
      <c r="B542" s="5" t="s">
        <v>1291</v>
      </c>
      <c r="C542" s="5" t="s">
        <v>1253</v>
      </c>
      <c r="D542" s="5">
        <v>32.188872000000003</v>
      </c>
      <c r="E542" s="5">
        <v>35.685884999999999</v>
      </c>
      <c r="F542" s="5" t="s">
        <v>379</v>
      </c>
      <c r="G542" s="5" t="s">
        <v>1265</v>
      </c>
      <c r="H542" s="5" t="s">
        <v>279</v>
      </c>
      <c r="I542" s="5" t="s">
        <v>381</v>
      </c>
      <c r="J542" s="5" t="s">
        <v>1274</v>
      </c>
      <c r="K542" s="5" t="s">
        <v>1275</v>
      </c>
      <c r="L542" s="5" t="str">
        <f>VLOOKUP($K542,'Property names'!$A$1:$D$100,2,FALSE)</f>
        <v>Concentration of nitrogen.</v>
      </c>
      <c r="M542" s="5" t="str">
        <f>VLOOKUP($K542,'Property names'!$A$1:$D$100,3,FALSE)</f>
        <v>Milligrams per liter</v>
      </c>
      <c r="N542" s="5" t="str">
        <f>VLOOKUP($K542,'Property names'!$A$1:$D$100,4,FALSE)</f>
        <v>mg/L</v>
      </c>
      <c r="O542" s="5" t="str">
        <f t="shared" si="13"/>
        <v>Telal_Al_Thahab_J016_no4</v>
      </c>
      <c r="P542" s="5" t="str">
        <f t="shared" si="14"/>
        <v>The datastream containing mesures of field Telal Al Thahab by sensor J016 which measures NO4 / Nitrate.</v>
      </c>
      <c r="Q542" s="5" t="s">
        <v>1269</v>
      </c>
    </row>
    <row r="543" spans="1:17" ht="12.75">
      <c r="A543" s="5" t="s">
        <v>248</v>
      </c>
      <c r="B543" s="5" t="s">
        <v>1291</v>
      </c>
      <c r="C543" s="5" t="s">
        <v>1253</v>
      </c>
      <c r="D543" s="5">
        <v>32.188872000000003</v>
      </c>
      <c r="E543" s="5">
        <v>35.685884999999999</v>
      </c>
      <c r="F543" s="5" t="s">
        <v>379</v>
      </c>
      <c r="G543" s="5" t="s">
        <v>1265</v>
      </c>
      <c r="H543" s="5" t="s">
        <v>279</v>
      </c>
      <c r="I543" s="5" t="s">
        <v>381</v>
      </c>
      <c r="J543" s="5" t="s">
        <v>1276</v>
      </c>
      <c r="K543" s="5" t="s">
        <v>1277</v>
      </c>
      <c r="L543" s="5" t="str">
        <f>VLOOKUP($K543,'Property names'!$A$1:$D$100,2,FALSE)</f>
        <v>The measure of the hotness or coldness of something.</v>
      </c>
      <c r="M543" s="5" t="str">
        <f>VLOOKUP($K543,'Property names'!$A$1:$D$100,3,FALSE)</f>
        <v>Degrees Celsius</v>
      </c>
      <c r="N543" s="5" t="str">
        <f>VLOOKUP($K543,'Property names'!$A$1:$D$100,4,FALSE)</f>
        <v>ºC</v>
      </c>
      <c r="O543" s="5" t="str">
        <f t="shared" si="13"/>
        <v>Telal_Al_Thahab_J016_temperature</v>
      </c>
      <c r="P543" s="5" t="str">
        <f t="shared" si="14"/>
        <v>The datastream containing mesures of field Telal Al Thahab by sensor J016 which measures Temperature.</v>
      </c>
      <c r="Q543" s="5" t="s">
        <v>1269</v>
      </c>
    </row>
    <row r="544" spans="1:17" ht="12.75">
      <c r="A544" s="5" t="s">
        <v>437</v>
      </c>
      <c r="B544" s="5" t="s">
        <v>1292</v>
      </c>
      <c r="C544" s="5" t="s">
        <v>1293</v>
      </c>
      <c r="D544" s="213">
        <v>33.310747999999997</v>
      </c>
      <c r="E544" s="5">
        <v>10.350576999999999</v>
      </c>
      <c r="F544" s="5" t="s">
        <v>466</v>
      </c>
      <c r="G544" s="5" t="s">
        <v>1294</v>
      </c>
      <c r="H544" s="5" t="s">
        <v>1210</v>
      </c>
      <c r="I544" s="5" t="s">
        <v>1210</v>
      </c>
      <c r="J544" s="5" t="s">
        <v>1295</v>
      </c>
      <c r="K544" s="5" t="s">
        <v>1296</v>
      </c>
      <c r="L544" s="5" t="str">
        <f>VLOOKUP($K544,'Property names'!$A$1:$D$100,2,FALSE)</f>
        <v>The rate at which the air is moving horizontally, often measured in miles per hour or meters per second.</v>
      </c>
      <c r="M544" s="5" t="str">
        <f>VLOOKUP($K544,'Property names'!$A$1:$D$100,3,FALSE)</f>
        <v>Meters per second</v>
      </c>
      <c r="N544" s="5" t="str">
        <f>VLOOKUP($K544,'Property names'!$A$1:$D$100,4,FALSE)</f>
        <v>m/s</v>
      </c>
      <c r="O544" s="5" t="str">
        <f t="shared" ref="O544:O641" si="15">SUBSTITUTE(CONCATENATE(B544,"_",F544,"_",J544)," ","_")</f>
        <v>Noureddine_Rojbani_TS01_wind_speed</v>
      </c>
      <c r="P544" s="5" t="str">
        <f t="shared" ref="P544:P641" si="16">CONCATENATE("The datastream containing mesures of field ",B544," by sensor ",F544," which measures ",K544,".")</f>
        <v>The datastream containing mesures of field Noureddine Rojbani by sensor TS01 which measures Wind Speed.</v>
      </c>
      <c r="Q544" s="5" t="s">
        <v>653</v>
      </c>
    </row>
    <row r="545" spans="1:17" ht="12.75">
      <c r="A545" s="5" t="s">
        <v>437</v>
      </c>
      <c r="B545" s="5" t="s">
        <v>1292</v>
      </c>
      <c r="C545" s="5" t="s">
        <v>1293</v>
      </c>
      <c r="D545" s="213">
        <v>33.310747999999997</v>
      </c>
      <c r="E545" s="5">
        <v>10.350576999999999</v>
      </c>
      <c r="F545" s="5" t="s">
        <v>466</v>
      </c>
      <c r="G545" s="5" t="s">
        <v>1294</v>
      </c>
      <c r="H545" s="5" t="s">
        <v>1210</v>
      </c>
      <c r="I545" s="5" t="s">
        <v>1210</v>
      </c>
      <c r="J545" s="5" t="s">
        <v>1297</v>
      </c>
      <c r="K545" s="5" t="s">
        <v>1230</v>
      </c>
      <c r="L545" s="5" t="str">
        <f>VLOOKUP($K545,'Property names'!$A$1:$D$100,2,FALSE)</f>
        <v>The compass direction from which the wind is blowing.</v>
      </c>
      <c r="M545" s="5" t="str">
        <f>VLOOKUP($K545,'Property names'!$A$1:$D$100,3,FALSE)</f>
        <v>Degrees</v>
      </c>
      <c r="N545" s="5" t="str">
        <f>VLOOKUP($K545,'Property names'!$A$1:$D$100,4,FALSE)</f>
        <v>º</v>
      </c>
      <c r="O545" s="5" t="str">
        <f t="shared" si="15"/>
        <v>Noureddine_Rojbani_TS01_wind_direction</v>
      </c>
      <c r="P545" s="5" t="str">
        <f t="shared" si="16"/>
        <v>The datastream containing mesures of field Noureddine Rojbani by sensor TS01 which measures Wind Direction.</v>
      </c>
      <c r="Q545" s="5" t="s">
        <v>653</v>
      </c>
    </row>
    <row r="546" spans="1:17" ht="12.75">
      <c r="A546" s="5" t="s">
        <v>437</v>
      </c>
      <c r="B546" s="5" t="s">
        <v>1292</v>
      </c>
      <c r="C546" s="5" t="s">
        <v>1293</v>
      </c>
      <c r="D546" s="213">
        <v>33.310747999999997</v>
      </c>
      <c r="E546" s="5">
        <v>10.350576999999999</v>
      </c>
      <c r="F546" s="5" t="s">
        <v>466</v>
      </c>
      <c r="G546" s="5" t="s">
        <v>1294</v>
      </c>
      <c r="H546" s="5" t="s">
        <v>1210</v>
      </c>
      <c r="I546" s="5" t="s">
        <v>1210</v>
      </c>
      <c r="J546" s="5" t="s">
        <v>708</v>
      </c>
      <c r="K546" s="5" t="s">
        <v>709</v>
      </c>
      <c r="L546" s="5" t="str">
        <f>VLOOKUP($K546,'Property names'!$A$1:$D$100,2,FALSE)</f>
        <v>Energy from the sun in the form of electromagnetic waves.</v>
      </c>
      <c r="M546" s="5" t="str">
        <f>VLOOKUP($K546,'Property names'!$A$1:$D$100,3,FALSE)</f>
        <v>Watts per square meter</v>
      </c>
      <c r="N546" s="5" t="str">
        <f>VLOOKUP($K546,'Property names'!$A$1:$D$100,4,FALSE)</f>
        <v>W/m²</v>
      </c>
      <c r="O546" s="5" t="str">
        <f t="shared" si="15"/>
        <v>Noureddine_Rojbani_TS01_solar_radiation</v>
      </c>
      <c r="P546" s="5" t="str">
        <f t="shared" si="16"/>
        <v>The datastream containing mesures of field Noureddine Rojbani by sensor TS01 which measures Solar Radiation.</v>
      </c>
      <c r="Q546" s="5" t="s">
        <v>653</v>
      </c>
    </row>
    <row r="547" spans="1:17" ht="12.75">
      <c r="A547" s="5" t="s">
        <v>437</v>
      </c>
      <c r="B547" s="5" t="s">
        <v>1292</v>
      </c>
      <c r="C547" s="5" t="s">
        <v>1293</v>
      </c>
      <c r="D547" s="213">
        <v>33.310747999999997</v>
      </c>
      <c r="E547" s="5">
        <v>10.350576999999999</v>
      </c>
      <c r="F547" s="5" t="s">
        <v>466</v>
      </c>
      <c r="G547" s="5" t="s">
        <v>1294</v>
      </c>
      <c r="H547" s="5" t="s">
        <v>1210</v>
      </c>
      <c r="I547" s="5" t="s">
        <v>1210</v>
      </c>
      <c r="J547" s="5" t="s">
        <v>1276</v>
      </c>
      <c r="K547" s="5" t="s">
        <v>1277</v>
      </c>
      <c r="L547" s="5" t="str">
        <f>VLOOKUP($K547,'Property names'!$A$1:$D$100,2,FALSE)</f>
        <v>The measure of the hotness or coldness of something.</v>
      </c>
      <c r="M547" s="5" t="str">
        <f>VLOOKUP($K547,'Property names'!$A$1:$D$100,3,FALSE)</f>
        <v>Degrees Celsius</v>
      </c>
      <c r="N547" s="5" t="str">
        <f>VLOOKUP($K547,'Property names'!$A$1:$D$100,4,FALSE)</f>
        <v>ºC</v>
      </c>
      <c r="O547" s="5" t="str">
        <f t="shared" si="15"/>
        <v>Noureddine_Rojbani_TS01_temperature</v>
      </c>
      <c r="P547" s="5" t="str">
        <f t="shared" si="16"/>
        <v>The datastream containing mesures of field Noureddine Rojbani by sensor TS01 which measures Temperature.</v>
      </c>
      <c r="Q547" s="5" t="s">
        <v>653</v>
      </c>
    </row>
    <row r="548" spans="1:17" ht="12.75">
      <c r="A548" s="5" t="s">
        <v>437</v>
      </c>
      <c r="B548" s="5" t="s">
        <v>1292</v>
      </c>
      <c r="C548" s="5" t="s">
        <v>1293</v>
      </c>
      <c r="D548" s="213">
        <v>33.310747999999997</v>
      </c>
      <c r="E548" s="5">
        <v>10.350576999999999</v>
      </c>
      <c r="F548" s="5" t="s">
        <v>466</v>
      </c>
      <c r="G548" s="5" t="s">
        <v>1294</v>
      </c>
      <c r="H548" s="5" t="s">
        <v>1210</v>
      </c>
      <c r="I548" s="5" t="s">
        <v>1210</v>
      </c>
      <c r="J548" s="5" t="s">
        <v>654</v>
      </c>
      <c r="K548" s="5" t="s">
        <v>655</v>
      </c>
      <c r="L548" s="5" t="str">
        <f>VLOOKUP($K548,'Property names'!$A$1:$D$100,2,FALSE)</f>
        <v>The amount of moisture or water vapor present in the air, often expressed as a percentage of the maximum amount the air could hold at a given temperature.</v>
      </c>
      <c r="M548" s="5" t="str">
        <f>VLOOKUP($K548,'Property names'!$A$1:$D$100,3,FALSE)</f>
        <v>Percentage</v>
      </c>
      <c r="N548" s="5" t="str">
        <f>VLOOKUP($K548,'Property names'!$A$1:$D$100,4,FALSE)</f>
        <v>%</v>
      </c>
      <c r="O548" s="5" t="str">
        <f t="shared" si="15"/>
        <v>Noureddine_Rojbani_TS01_air_humidity</v>
      </c>
      <c r="P548" s="5" t="str">
        <f t="shared" si="16"/>
        <v>The datastream containing mesures of field Noureddine Rojbani by sensor TS01 which measures Air Humidity.</v>
      </c>
      <c r="Q548" s="5" t="s">
        <v>653</v>
      </c>
    </row>
    <row r="549" spans="1:17" ht="12.75">
      <c r="A549" s="5" t="s">
        <v>437</v>
      </c>
      <c r="B549" s="5" t="s">
        <v>1292</v>
      </c>
      <c r="C549" s="5" t="s">
        <v>1293</v>
      </c>
      <c r="D549" s="213">
        <v>33.310747999999997</v>
      </c>
      <c r="E549" s="5">
        <v>10.350576999999999</v>
      </c>
      <c r="F549" s="5" t="s">
        <v>470</v>
      </c>
      <c r="G549" s="5" t="s">
        <v>1298</v>
      </c>
      <c r="H549" s="5" t="s">
        <v>1210</v>
      </c>
      <c r="I549" s="5" t="s">
        <v>1210</v>
      </c>
      <c r="J549" s="5" t="s">
        <v>1299</v>
      </c>
      <c r="K549" s="5" t="s">
        <v>1300</v>
      </c>
      <c r="L549" s="5" t="str">
        <f>VLOOKUP($K549,'Property names'!$A$1:$D$100,2,FALSE)</f>
        <v>The highest rate at which rain or other forms of precipitation fall in a given period.</v>
      </c>
      <c r="M549" s="5" t="str">
        <f>VLOOKUP($K549,'Property names'!$A$1:$D$100,3,FALSE)</f>
        <v>Millimeters per hour</v>
      </c>
      <c r="N549" s="5" t="str">
        <f>VLOOKUP($K549,'Property names'!$A$1:$D$100,4,FALSE)</f>
        <v>mm/h</v>
      </c>
      <c r="O549" s="5" t="str">
        <f t="shared" si="15"/>
        <v>Noureddine_Rojbani_TS02_rain_intensity</v>
      </c>
      <c r="P549" s="5" t="str">
        <f t="shared" si="16"/>
        <v>The datastream containing mesures of field Noureddine Rojbani by sensor TS02 which measures Max Precipitation Rate.</v>
      </c>
      <c r="Q549" s="5" t="s">
        <v>653</v>
      </c>
    </row>
    <row r="550" spans="1:17" ht="12.75">
      <c r="A550" s="5" t="s">
        <v>437</v>
      </c>
      <c r="B550" s="5" t="s">
        <v>1292</v>
      </c>
      <c r="C550" s="5" t="s">
        <v>1293</v>
      </c>
      <c r="D550" s="213">
        <v>33.310747999999997</v>
      </c>
      <c r="E550" s="5">
        <v>10.350576999999999</v>
      </c>
      <c r="F550" s="5" t="s">
        <v>470</v>
      </c>
      <c r="G550" s="5" t="s">
        <v>1298</v>
      </c>
      <c r="H550" s="5" t="s">
        <v>1210</v>
      </c>
      <c r="I550" s="5" t="s">
        <v>1210</v>
      </c>
      <c r="J550" s="5" t="s">
        <v>1301</v>
      </c>
      <c r="K550" s="5" t="s">
        <v>711</v>
      </c>
      <c r="L550" s="5" t="str">
        <f>VLOOKUP($K550,'Property names'!$A$1:$D$100,2,FALSE)</f>
        <v>Cumulatime Rainfall.</v>
      </c>
      <c r="M550" s="5" t="str">
        <f>VLOOKUP($K550,'Property names'!$A$1:$D$100,3,FALSE)</f>
        <v>Millimeters</v>
      </c>
      <c r="N550" s="5" t="str">
        <f>VLOOKUP($K550,'Property names'!$A$1:$D$100,4,FALSE)</f>
        <v>mm</v>
      </c>
      <c r="O550" s="5" t="str">
        <f t="shared" si="15"/>
        <v>Noureddine_Rojbani_TS02_cumulative_rainfall</v>
      </c>
      <c r="P550" s="5" t="str">
        <f t="shared" si="16"/>
        <v>The datastream containing mesures of field Noureddine Rojbani by sensor TS02 which measures Cumulative Rainfall.</v>
      </c>
      <c r="Q550" s="5" t="s">
        <v>653</v>
      </c>
    </row>
    <row r="551" spans="1:17" ht="12.75">
      <c r="A551" s="5" t="s">
        <v>437</v>
      </c>
      <c r="B551" s="5" t="s">
        <v>1292</v>
      </c>
      <c r="C551" s="5" t="s">
        <v>1293</v>
      </c>
      <c r="D551" s="213">
        <v>33.310747999999997</v>
      </c>
      <c r="E551" s="5">
        <v>10.350576999999999</v>
      </c>
      <c r="F551" s="5" t="s">
        <v>474</v>
      </c>
      <c r="G551" s="5" t="s">
        <v>1302</v>
      </c>
      <c r="H551" s="5" t="s">
        <v>1210</v>
      </c>
      <c r="I551" s="5" t="s">
        <v>1210</v>
      </c>
      <c r="J551" s="5" t="s">
        <v>1303</v>
      </c>
      <c r="K551" s="5" t="s">
        <v>660</v>
      </c>
      <c r="L551" s="5" t="str">
        <f>VLOOKUP($K551,'Property names'!$A$1:$D$100,2,FALSE)</f>
        <v>The amount of moisture present in the soil, often expressed as a percentage of the maximum amount the soil could hold at a given temperature.</v>
      </c>
      <c r="M551" s="5" t="str">
        <f>VLOOKUP($K551,'Property names'!$A$1:$D$100,3,FALSE)</f>
        <v>Percentage</v>
      </c>
      <c r="N551" s="5" t="str">
        <f>VLOOKUP($K551,'Property names'!$A$1:$D$100,4,FALSE)</f>
        <v>%</v>
      </c>
      <c r="O551" s="5" t="str">
        <f t="shared" si="15"/>
        <v>Noureddine_Rojbani_TS03_soil_moisture_10cm</v>
      </c>
      <c r="P551" s="5" t="str">
        <f t="shared" si="16"/>
        <v>The datastream containing mesures of field Noureddine Rojbani by sensor TS03 which measures Soil Moisture.</v>
      </c>
      <c r="Q551" s="5" t="s">
        <v>653</v>
      </c>
    </row>
    <row r="552" spans="1:17" ht="12.75">
      <c r="A552" s="5" t="s">
        <v>437</v>
      </c>
      <c r="B552" s="5" t="s">
        <v>1292</v>
      </c>
      <c r="C552" s="5" t="s">
        <v>1293</v>
      </c>
      <c r="D552" s="213">
        <v>33.310747999999997</v>
      </c>
      <c r="E552" s="5">
        <v>10.350576999999999</v>
      </c>
      <c r="F552" s="5" t="s">
        <v>474</v>
      </c>
      <c r="G552" s="5" t="s">
        <v>1302</v>
      </c>
      <c r="H552" s="5" t="s">
        <v>1210</v>
      </c>
      <c r="I552" s="5" t="s">
        <v>1210</v>
      </c>
      <c r="J552" s="5" t="s">
        <v>1304</v>
      </c>
      <c r="K552" s="5" t="s">
        <v>662</v>
      </c>
      <c r="L552" s="5" t="str">
        <f>VLOOKUP($K552,'Property names'!$A$1:$D$100,2,FALSE)</f>
        <v>The measure of temperature of the soil.</v>
      </c>
      <c r="M552" s="5" t="str">
        <f>VLOOKUP($K552,'Property names'!$A$1:$D$100,3,FALSE)</f>
        <v>Degrees Celsius</v>
      </c>
      <c r="N552" s="5" t="str">
        <f>VLOOKUP($K552,'Property names'!$A$1:$D$100,4,FALSE)</f>
        <v>ºC</v>
      </c>
      <c r="O552" s="5" t="str">
        <f t="shared" si="15"/>
        <v>Noureddine_Rojbani_TS03_soil_temperature_10cm</v>
      </c>
      <c r="P552" s="5" t="str">
        <f t="shared" si="16"/>
        <v>The datastream containing mesures of field Noureddine Rojbani by sensor TS03 which measures Soil Temperature.</v>
      </c>
      <c r="Q552" s="5" t="s">
        <v>653</v>
      </c>
    </row>
    <row r="553" spans="1:17" ht="12.75">
      <c r="A553" s="5" t="s">
        <v>437</v>
      </c>
      <c r="B553" s="5" t="s">
        <v>1292</v>
      </c>
      <c r="C553" s="5" t="s">
        <v>1293</v>
      </c>
      <c r="D553" s="213">
        <v>33.310747999999997</v>
      </c>
      <c r="E553" s="5">
        <v>10.350576999999999</v>
      </c>
      <c r="F553" s="5" t="s">
        <v>478</v>
      </c>
      <c r="G553" s="5" t="s">
        <v>1302</v>
      </c>
      <c r="H553" s="5" t="s">
        <v>1210</v>
      </c>
      <c r="I553" s="5" t="s">
        <v>1210</v>
      </c>
      <c r="J553" s="5" t="s">
        <v>1305</v>
      </c>
      <c r="K553" s="5" t="s">
        <v>660</v>
      </c>
      <c r="L553" s="5" t="str">
        <f>VLOOKUP($K553,'Property names'!$A$1:$D$100,2,FALSE)</f>
        <v>The amount of moisture present in the soil, often expressed as a percentage of the maximum amount the soil could hold at a given temperature.</v>
      </c>
      <c r="M553" s="5" t="str">
        <f>VLOOKUP($K553,'Property names'!$A$1:$D$100,3,FALSE)</f>
        <v>Percentage</v>
      </c>
      <c r="N553" s="5" t="str">
        <f>VLOOKUP($K553,'Property names'!$A$1:$D$100,4,FALSE)</f>
        <v>%</v>
      </c>
      <c r="O553" s="5" t="str">
        <f t="shared" si="15"/>
        <v>Noureddine_Rojbani_TS04_soil_moisture_20cm</v>
      </c>
      <c r="P553" s="5" t="str">
        <f t="shared" si="16"/>
        <v>The datastream containing mesures of field Noureddine Rojbani by sensor TS04 which measures Soil Moisture.</v>
      </c>
      <c r="Q553" s="5" t="s">
        <v>653</v>
      </c>
    </row>
    <row r="554" spans="1:17" ht="12.75">
      <c r="A554" s="5" t="s">
        <v>437</v>
      </c>
      <c r="B554" s="5" t="s">
        <v>1292</v>
      </c>
      <c r="C554" s="5" t="s">
        <v>1293</v>
      </c>
      <c r="D554" s="213">
        <v>33.310747999999997</v>
      </c>
      <c r="E554" s="5">
        <v>10.350576999999999</v>
      </c>
      <c r="F554" s="5" t="s">
        <v>478</v>
      </c>
      <c r="G554" s="5" t="s">
        <v>1302</v>
      </c>
      <c r="H554" s="5" t="s">
        <v>1210</v>
      </c>
      <c r="I554" s="5" t="s">
        <v>1210</v>
      </c>
      <c r="J554" s="5" t="s">
        <v>1306</v>
      </c>
      <c r="K554" s="5" t="s">
        <v>662</v>
      </c>
      <c r="L554" s="5" t="str">
        <f>VLOOKUP($K554,'Property names'!$A$1:$D$100,2,FALSE)</f>
        <v>The measure of temperature of the soil.</v>
      </c>
      <c r="M554" s="5" t="str">
        <f>VLOOKUP($K554,'Property names'!$A$1:$D$100,3,FALSE)</f>
        <v>Degrees Celsius</v>
      </c>
      <c r="N554" s="5" t="str">
        <f>VLOOKUP($K554,'Property names'!$A$1:$D$100,4,FALSE)</f>
        <v>ºC</v>
      </c>
      <c r="O554" s="5" t="str">
        <f t="shared" si="15"/>
        <v>Noureddine_Rojbani_TS04_soil_temperature_20cm</v>
      </c>
      <c r="P554" s="5" t="str">
        <f t="shared" si="16"/>
        <v>The datastream containing mesures of field Noureddine Rojbani by sensor TS04 which measures Soil Temperature.</v>
      </c>
      <c r="Q554" s="5" t="s">
        <v>653</v>
      </c>
    </row>
    <row r="555" spans="1:17" ht="12.75">
      <c r="A555" s="5" t="s">
        <v>437</v>
      </c>
      <c r="B555" s="5" t="s">
        <v>1292</v>
      </c>
      <c r="C555" s="5" t="s">
        <v>1293</v>
      </c>
      <c r="D555" s="213">
        <v>33.310747999999997</v>
      </c>
      <c r="E555" s="5">
        <v>10.350576999999999</v>
      </c>
      <c r="F555" s="5" t="s">
        <v>479</v>
      </c>
      <c r="G555" s="5" t="s">
        <v>1302</v>
      </c>
      <c r="H555" s="5" t="s">
        <v>1210</v>
      </c>
      <c r="I555" s="5" t="s">
        <v>1210</v>
      </c>
      <c r="J555" s="5" t="s">
        <v>1307</v>
      </c>
      <c r="K555" s="5" t="s">
        <v>660</v>
      </c>
      <c r="L555" s="5" t="str">
        <f>VLOOKUP($K555,'Property names'!$A$1:$D$100,2,FALSE)</f>
        <v>The amount of moisture present in the soil, often expressed as a percentage of the maximum amount the soil could hold at a given temperature.</v>
      </c>
      <c r="M555" s="5" t="str">
        <f>VLOOKUP($K555,'Property names'!$A$1:$D$100,3,FALSE)</f>
        <v>Percentage</v>
      </c>
      <c r="N555" s="5" t="str">
        <f>VLOOKUP($K555,'Property names'!$A$1:$D$100,4,FALSE)</f>
        <v>%</v>
      </c>
      <c r="O555" s="5" t="str">
        <f t="shared" si="15"/>
        <v>Noureddine_Rojbani_TS05_soil_moisture_30cm</v>
      </c>
      <c r="P555" s="5" t="str">
        <f t="shared" si="16"/>
        <v>The datastream containing mesures of field Noureddine Rojbani by sensor TS05 which measures Soil Moisture.</v>
      </c>
      <c r="Q555" s="5" t="s">
        <v>653</v>
      </c>
    </row>
    <row r="556" spans="1:17" ht="12.75">
      <c r="A556" s="5" t="s">
        <v>437</v>
      </c>
      <c r="B556" s="5" t="s">
        <v>1292</v>
      </c>
      <c r="C556" s="5" t="s">
        <v>1293</v>
      </c>
      <c r="D556" s="213">
        <v>33.310747999999997</v>
      </c>
      <c r="E556" s="5">
        <v>10.350576999999999</v>
      </c>
      <c r="F556" s="5" t="s">
        <v>479</v>
      </c>
      <c r="G556" s="5" t="s">
        <v>1302</v>
      </c>
      <c r="H556" s="5" t="s">
        <v>1210</v>
      </c>
      <c r="I556" s="5" t="s">
        <v>1210</v>
      </c>
      <c r="J556" s="5" t="s">
        <v>1308</v>
      </c>
      <c r="K556" s="5" t="s">
        <v>662</v>
      </c>
      <c r="L556" s="5" t="str">
        <f>VLOOKUP($K556,'Property names'!$A$1:$D$100,2,FALSE)</f>
        <v>The measure of temperature of the soil.</v>
      </c>
      <c r="M556" s="5" t="str">
        <f>VLOOKUP($K556,'Property names'!$A$1:$D$100,3,FALSE)</f>
        <v>Degrees Celsius</v>
      </c>
      <c r="N556" s="5" t="str">
        <f>VLOOKUP($K556,'Property names'!$A$1:$D$100,4,FALSE)</f>
        <v>ºC</v>
      </c>
      <c r="O556" s="5" t="str">
        <f t="shared" si="15"/>
        <v>Noureddine_Rojbani_TS05_soil_temperature_30cm</v>
      </c>
      <c r="P556" s="5" t="str">
        <f t="shared" si="16"/>
        <v>The datastream containing mesures of field Noureddine Rojbani by sensor TS05 which measures Soil Temperature.</v>
      </c>
      <c r="Q556" s="5" t="s">
        <v>653</v>
      </c>
    </row>
    <row r="557" spans="1:17" ht="12.75">
      <c r="A557" s="5" t="s">
        <v>437</v>
      </c>
      <c r="B557" s="5" t="s">
        <v>1292</v>
      </c>
      <c r="C557" s="5" t="s">
        <v>1293</v>
      </c>
      <c r="D557" s="213">
        <v>33.310747999999997</v>
      </c>
      <c r="E557" s="5">
        <v>10.350576999999999</v>
      </c>
      <c r="F557" s="5" t="s">
        <v>480</v>
      </c>
      <c r="G557" s="5" t="s">
        <v>1302</v>
      </c>
      <c r="H557" s="5" t="s">
        <v>1210</v>
      </c>
      <c r="I557" s="5" t="s">
        <v>1210</v>
      </c>
      <c r="J557" s="5" t="s">
        <v>1303</v>
      </c>
      <c r="K557" s="5" t="s">
        <v>660</v>
      </c>
      <c r="L557" s="5" t="str">
        <f>VLOOKUP($K557,'Property names'!$A$1:$D$100,2,FALSE)</f>
        <v>The amount of moisture present in the soil, often expressed as a percentage of the maximum amount the soil could hold at a given temperature.</v>
      </c>
      <c r="M557" s="5" t="str">
        <f>VLOOKUP($K557,'Property names'!$A$1:$D$100,3,FALSE)</f>
        <v>Percentage</v>
      </c>
      <c r="N557" s="5" t="str">
        <f>VLOOKUP($K557,'Property names'!$A$1:$D$100,4,FALSE)</f>
        <v>%</v>
      </c>
      <c r="O557" s="5" t="str">
        <f t="shared" si="15"/>
        <v>Noureddine_Rojbani_TS06_soil_moisture_10cm</v>
      </c>
      <c r="P557" s="5" t="str">
        <f t="shared" si="16"/>
        <v>The datastream containing mesures of field Noureddine Rojbani by sensor TS06 which measures Soil Moisture.</v>
      </c>
      <c r="Q557" s="5" t="s">
        <v>653</v>
      </c>
    </row>
    <row r="558" spans="1:17" ht="12.75">
      <c r="A558" s="5" t="s">
        <v>437</v>
      </c>
      <c r="B558" s="5" t="s">
        <v>1292</v>
      </c>
      <c r="C558" s="5" t="s">
        <v>1293</v>
      </c>
      <c r="D558" s="213">
        <v>33.310747999999997</v>
      </c>
      <c r="E558" s="5">
        <v>10.350576999999999</v>
      </c>
      <c r="F558" s="5" t="s">
        <v>480</v>
      </c>
      <c r="G558" s="5" t="s">
        <v>1302</v>
      </c>
      <c r="H558" s="5" t="s">
        <v>1210</v>
      </c>
      <c r="I558" s="5" t="s">
        <v>1210</v>
      </c>
      <c r="J558" s="5" t="s">
        <v>1304</v>
      </c>
      <c r="K558" s="5" t="s">
        <v>662</v>
      </c>
      <c r="L558" s="5" t="str">
        <f>VLOOKUP($K558,'Property names'!$A$1:$D$100,2,FALSE)</f>
        <v>The measure of temperature of the soil.</v>
      </c>
      <c r="M558" s="5" t="str">
        <f>VLOOKUP($K558,'Property names'!$A$1:$D$100,3,FALSE)</f>
        <v>Degrees Celsius</v>
      </c>
      <c r="N558" s="5" t="str">
        <f>VLOOKUP($K558,'Property names'!$A$1:$D$100,4,FALSE)</f>
        <v>ºC</v>
      </c>
      <c r="O558" s="5" t="str">
        <f t="shared" si="15"/>
        <v>Noureddine_Rojbani_TS06_soil_temperature_10cm</v>
      </c>
      <c r="P558" s="5" t="str">
        <f t="shared" si="16"/>
        <v>The datastream containing mesures of field Noureddine Rojbani by sensor TS06 which measures Soil Temperature.</v>
      </c>
      <c r="Q558" s="5" t="s">
        <v>653</v>
      </c>
    </row>
    <row r="559" spans="1:17" ht="12.75">
      <c r="A559" s="5" t="s">
        <v>437</v>
      </c>
      <c r="B559" s="5" t="s">
        <v>1292</v>
      </c>
      <c r="C559" s="5" t="s">
        <v>1293</v>
      </c>
      <c r="D559" s="213">
        <v>33.310747999999997</v>
      </c>
      <c r="E559" s="5">
        <v>10.350576999999999</v>
      </c>
      <c r="F559" s="5" t="s">
        <v>481</v>
      </c>
      <c r="G559" s="5" t="s">
        <v>1302</v>
      </c>
      <c r="H559" s="5" t="s">
        <v>1210</v>
      </c>
      <c r="I559" s="5" t="s">
        <v>1210</v>
      </c>
      <c r="J559" s="5" t="s">
        <v>1305</v>
      </c>
      <c r="K559" s="5" t="s">
        <v>660</v>
      </c>
      <c r="L559" s="5" t="str">
        <f>VLOOKUP($K559,'Property names'!$A$1:$D$100,2,FALSE)</f>
        <v>The amount of moisture present in the soil, often expressed as a percentage of the maximum amount the soil could hold at a given temperature.</v>
      </c>
      <c r="M559" s="5" t="str">
        <f>VLOOKUP($K559,'Property names'!$A$1:$D$100,3,FALSE)</f>
        <v>Percentage</v>
      </c>
      <c r="N559" s="5" t="str">
        <f>VLOOKUP($K559,'Property names'!$A$1:$D$100,4,FALSE)</f>
        <v>%</v>
      </c>
      <c r="O559" s="5" t="str">
        <f t="shared" si="15"/>
        <v>Noureddine_Rojbani_TS07_soil_moisture_20cm</v>
      </c>
      <c r="P559" s="5" t="str">
        <f t="shared" si="16"/>
        <v>The datastream containing mesures of field Noureddine Rojbani by sensor TS07 which measures Soil Moisture.</v>
      </c>
      <c r="Q559" s="5" t="s">
        <v>653</v>
      </c>
    </row>
    <row r="560" spans="1:17" ht="12.75">
      <c r="A560" s="5" t="s">
        <v>437</v>
      </c>
      <c r="B560" s="5" t="s">
        <v>1292</v>
      </c>
      <c r="C560" s="5" t="s">
        <v>1293</v>
      </c>
      <c r="D560" s="213">
        <v>33.310747999999997</v>
      </c>
      <c r="E560" s="5">
        <v>10.350576999999999</v>
      </c>
      <c r="F560" s="5" t="s">
        <v>481</v>
      </c>
      <c r="G560" s="5" t="s">
        <v>1302</v>
      </c>
      <c r="H560" s="5" t="s">
        <v>1210</v>
      </c>
      <c r="I560" s="5" t="s">
        <v>1210</v>
      </c>
      <c r="J560" s="5" t="s">
        <v>1306</v>
      </c>
      <c r="K560" s="5" t="s">
        <v>662</v>
      </c>
      <c r="L560" s="5" t="str">
        <f>VLOOKUP($K560,'Property names'!$A$1:$D$100,2,FALSE)</f>
        <v>The measure of temperature of the soil.</v>
      </c>
      <c r="M560" s="5" t="str">
        <f>VLOOKUP($K560,'Property names'!$A$1:$D$100,3,FALSE)</f>
        <v>Degrees Celsius</v>
      </c>
      <c r="N560" s="5" t="str">
        <f>VLOOKUP($K560,'Property names'!$A$1:$D$100,4,FALSE)</f>
        <v>ºC</v>
      </c>
      <c r="O560" s="5" t="str">
        <f t="shared" si="15"/>
        <v>Noureddine_Rojbani_TS07_soil_temperature_20cm</v>
      </c>
      <c r="P560" s="5" t="str">
        <f t="shared" si="16"/>
        <v>The datastream containing mesures of field Noureddine Rojbani by sensor TS07 which measures Soil Temperature.</v>
      </c>
      <c r="Q560" s="5" t="s">
        <v>653</v>
      </c>
    </row>
    <row r="561" spans="1:17" ht="12.75">
      <c r="A561" s="5" t="s">
        <v>437</v>
      </c>
      <c r="B561" s="5" t="s">
        <v>1292</v>
      </c>
      <c r="C561" s="5" t="s">
        <v>1293</v>
      </c>
      <c r="D561" s="213">
        <v>33.310747999999997</v>
      </c>
      <c r="E561" s="5">
        <v>10.350576999999999</v>
      </c>
      <c r="F561" s="5" t="s">
        <v>482</v>
      </c>
      <c r="G561" s="5" t="s">
        <v>1302</v>
      </c>
      <c r="H561" s="5" t="s">
        <v>1210</v>
      </c>
      <c r="I561" s="5" t="s">
        <v>1210</v>
      </c>
      <c r="J561" s="5" t="s">
        <v>1307</v>
      </c>
      <c r="K561" s="5" t="s">
        <v>660</v>
      </c>
      <c r="L561" s="5" t="str">
        <f>VLOOKUP($K561,'Property names'!$A$1:$D$100,2,FALSE)</f>
        <v>The amount of moisture present in the soil, often expressed as a percentage of the maximum amount the soil could hold at a given temperature.</v>
      </c>
      <c r="M561" s="5" t="str">
        <f>VLOOKUP($K561,'Property names'!$A$1:$D$100,3,FALSE)</f>
        <v>Percentage</v>
      </c>
      <c r="N561" s="5" t="str">
        <f>VLOOKUP($K561,'Property names'!$A$1:$D$100,4,FALSE)</f>
        <v>%</v>
      </c>
      <c r="O561" s="5" t="str">
        <f t="shared" si="15"/>
        <v>Noureddine_Rojbani_TS08_soil_moisture_30cm</v>
      </c>
      <c r="P561" s="5" t="str">
        <f t="shared" si="16"/>
        <v>The datastream containing mesures of field Noureddine Rojbani by sensor TS08 which measures Soil Moisture.</v>
      </c>
      <c r="Q561" s="5" t="s">
        <v>653</v>
      </c>
    </row>
    <row r="562" spans="1:17" ht="12.75">
      <c r="A562" s="5" t="s">
        <v>437</v>
      </c>
      <c r="B562" s="5" t="s">
        <v>1292</v>
      </c>
      <c r="C562" s="5" t="s">
        <v>1293</v>
      </c>
      <c r="D562" s="213">
        <v>33.310747999999997</v>
      </c>
      <c r="E562" s="5">
        <v>10.350576999999999</v>
      </c>
      <c r="F562" s="5" t="s">
        <v>482</v>
      </c>
      <c r="G562" s="5" t="s">
        <v>1302</v>
      </c>
      <c r="H562" s="5" t="s">
        <v>1210</v>
      </c>
      <c r="I562" s="5" t="s">
        <v>1210</v>
      </c>
      <c r="J562" s="5" t="s">
        <v>1308</v>
      </c>
      <c r="K562" s="5" t="s">
        <v>662</v>
      </c>
      <c r="L562" s="5" t="str">
        <f>VLOOKUP($K562,'Property names'!$A$1:$D$100,2,FALSE)</f>
        <v>The measure of temperature of the soil.</v>
      </c>
      <c r="M562" s="5" t="str">
        <f>VLOOKUP($K562,'Property names'!$A$1:$D$100,3,FALSE)</f>
        <v>Degrees Celsius</v>
      </c>
      <c r="N562" s="5" t="str">
        <f>VLOOKUP($K562,'Property names'!$A$1:$D$100,4,FALSE)</f>
        <v>ºC</v>
      </c>
      <c r="O562" s="5" t="str">
        <f t="shared" si="15"/>
        <v>Noureddine_Rojbani_TS08_soil_temperature_30cm</v>
      </c>
      <c r="P562" s="5" t="str">
        <f t="shared" si="16"/>
        <v>The datastream containing mesures of field Noureddine Rojbani by sensor TS08 which measures Soil Temperature.</v>
      </c>
      <c r="Q562" s="5" t="s">
        <v>653</v>
      </c>
    </row>
    <row r="563" spans="1:17" ht="12.75">
      <c r="A563" s="5" t="s">
        <v>437</v>
      </c>
      <c r="B563" s="5" t="s">
        <v>1292</v>
      </c>
      <c r="C563" s="5" t="s">
        <v>1293</v>
      </c>
      <c r="D563" s="213">
        <v>33.310747999999997</v>
      </c>
      <c r="E563" s="5">
        <v>10.350576999999999</v>
      </c>
      <c r="F563" s="5" t="s">
        <v>483</v>
      </c>
      <c r="G563" s="5" t="s">
        <v>1309</v>
      </c>
      <c r="H563" s="5" t="s">
        <v>1210</v>
      </c>
      <c r="I563" s="5" t="s">
        <v>1210</v>
      </c>
      <c r="J563" s="5" t="s">
        <v>1255</v>
      </c>
      <c r="K563" s="5" t="s">
        <v>487</v>
      </c>
      <c r="L563" s="5" t="str">
        <f>VLOOKUP($K563,'Property names'!$A$1:$D$100,2,FALSE)</f>
        <v>The continuous movement of water in a particular direction.</v>
      </c>
      <c r="M563" s="5" t="str">
        <f>VLOOKUP($K563,'Property names'!$A$1:$D$100,3,FALSE)</f>
        <v>Cubic meters per second</v>
      </c>
      <c r="N563" s="5" t="str">
        <f>VLOOKUP($K563,'Property names'!$A$1:$D$100,4,FALSE)</f>
        <v>m^3/s</v>
      </c>
      <c r="O563" s="5" t="str">
        <f t="shared" si="15"/>
        <v>Noureddine_Rojbani_TS027_water_flow</v>
      </c>
      <c r="P563" s="5" t="str">
        <f t="shared" si="16"/>
        <v>The datastream containing mesures of field Noureddine Rojbani by sensor TS027 which measures Water Flow.</v>
      </c>
      <c r="Q563" s="5" t="s">
        <v>653</v>
      </c>
    </row>
    <row r="564" spans="1:17" ht="12.75">
      <c r="A564" s="5" t="s">
        <v>437</v>
      </c>
      <c r="B564" s="5" t="s">
        <v>1292</v>
      </c>
      <c r="C564" s="5" t="s">
        <v>1293</v>
      </c>
      <c r="D564" s="213">
        <v>33.310747999999997</v>
      </c>
      <c r="E564" s="5">
        <v>10.350576999999999</v>
      </c>
      <c r="F564" s="5" t="s">
        <v>488</v>
      </c>
      <c r="G564" s="5" t="s">
        <v>1309</v>
      </c>
      <c r="H564" s="5" t="s">
        <v>1210</v>
      </c>
      <c r="I564" s="5" t="s">
        <v>1210</v>
      </c>
      <c r="J564" s="5" t="s">
        <v>1255</v>
      </c>
      <c r="K564" s="5" t="s">
        <v>487</v>
      </c>
      <c r="L564" s="5" t="str">
        <f>VLOOKUP($K564,'Property names'!$A$1:$D$100,2,FALSE)</f>
        <v>The continuous movement of water in a particular direction.</v>
      </c>
      <c r="M564" s="5" t="str">
        <f>VLOOKUP($K564,'Property names'!$A$1:$D$100,3,FALSE)</f>
        <v>Cubic meters per second</v>
      </c>
      <c r="N564" s="5" t="str">
        <f>VLOOKUP($K564,'Property names'!$A$1:$D$100,4,FALSE)</f>
        <v>m^3/s</v>
      </c>
      <c r="O564" s="5" t="str">
        <f t="shared" si="15"/>
        <v>Noureddine_Rojbani_TS032_water_flow</v>
      </c>
      <c r="P564" s="5" t="str">
        <f t="shared" si="16"/>
        <v>The datastream containing mesures of field Noureddine Rojbani by sensor TS032 which measures Water Flow.</v>
      </c>
      <c r="Q564" s="5" t="s">
        <v>653</v>
      </c>
    </row>
    <row r="565" spans="1:17" ht="12.75">
      <c r="A565" s="5" t="s">
        <v>437</v>
      </c>
      <c r="B565" s="5" t="s">
        <v>1310</v>
      </c>
      <c r="C565" s="5" t="s">
        <v>1293</v>
      </c>
      <c r="D565" s="213">
        <v>33.322935000000001</v>
      </c>
      <c r="E565" s="213">
        <v>10.389754</v>
      </c>
      <c r="F565" s="5" t="s">
        <v>505</v>
      </c>
      <c r="G565" s="5" t="s">
        <v>1302</v>
      </c>
      <c r="H565" s="5" t="s">
        <v>1210</v>
      </c>
      <c r="I565" s="5" t="s">
        <v>1210</v>
      </c>
      <c r="J565" s="5" t="s">
        <v>1311</v>
      </c>
      <c r="K565" s="5" t="s">
        <v>660</v>
      </c>
      <c r="L565" s="5" t="str">
        <f>VLOOKUP($K565,'Property names'!$A$1:$D$100,2,FALSE)</f>
        <v>The amount of moisture present in the soil, often expressed as a percentage of the maximum amount the soil could hold at a given temperature.</v>
      </c>
      <c r="M565" s="5" t="str">
        <f>VLOOKUP($K565,'Property names'!$A$1:$D$100,3,FALSE)</f>
        <v>Percentage</v>
      </c>
      <c r="N565" s="5" t="str">
        <f>VLOOKUP($K565,'Property names'!$A$1:$D$100,4,FALSE)</f>
        <v>%</v>
      </c>
      <c r="O565" s="5" t="str">
        <f t="shared" si="15"/>
        <v>Jomaa_Dhibi_TS09_soil_moisture_15cm</v>
      </c>
      <c r="P565" s="5" t="str">
        <f t="shared" si="16"/>
        <v>The datastream containing mesures of field Jomaa Dhibi by sensor TS09 which measures Soil Moisture.</v>
      </c>
      <c r="Q565" s="5" t="s">
        <v>653</v>
      </c>
    </row>
    <row r="566" spans="1:17" ht="12.75">
      <c r="A566" s="5" t="s">
        <v>437</v>
      </c>
      <c r="B566" s="5" t="s">
        <v>1310</v>
      </c>
      <c r="C566" s="5" t="s">
        <v>1293</v>
      </c>
      <c r="D566" s="213">
        <v>33.322935000000001</v>
      </c>
      <c r="E566" s="213">
        <v>10.389754</v>
      </c>
      <c r="F566" s="5" t="s">
        <v>505</v>
      </c>
      <c r="G566" s="5" t="s">
        <v>1302</v>
      </c>
      <c r="H566" s="5" t="s">
        <v>1210</v>
      </c>
      <c r="I566" s="5" t="s">
        <v>1210</v>
      </c>
      <c r="J566" s="5" t="s">
        <v>1312</v>
      </c>
      <c r="K566" s="5" t="s">
        <v>662</v>
      </c>
      <c r="L566" s="5" t="str">
        <f>VLOOKUP($K566,'Property names'!$A$1:$D$100,2,FALSE)</f>
        <v>The measure of temperature of the soil.</v>
      </c>
      <c r="M566" s="5" t="str">
        <f>VLOOKUP($K566,'Property names'!$A$1:$D$100,3,FALSE)</f>
        <v>Degrees Celsius</v>
      </c>
      <c r="N566" s="5" t="str">
        <f>VLOOKUP($K566,'Property names'!$A$1:$D$100,4,FALSE)</f>
        <v>ºC</v>
      </c>
      <c r="O566" s="5" t="str">
        <f t="shared" si="15"/>
        <v>Jomaa_Dhibi_TS09_soil_temperature_15cm</v>
      </c>
      <c r="P566" s="5" t="str">
        <f t="shared" si="16"/>
        <v>The datastream containing mesures of field Jomaa Dhibi by sensor TS09 which measures Soil Temperature.</v>
      </c>
      <c r="Q566" s="5" t="s">
        <v>653</v>
      </c>
    </row>
    <row r="567" spans="1:17" ht="12.75">
      <c r="A567" s="5" t="s">
        <v>437</v>
      </c>
      <c r="B567" s="5" t="s">
        <v>1310</v>
      </c>
      <c r="C567" s="5" t="s">
        <v>1293</v>
      </c>
      <c r="D567" s="213">
        <v>33.322935000000001</v>
      </c>
      <c r="E567" s="213">
        <v>10.389754</v>
      </c>
      <c r="F567" s="5" t="s">
        <v>506</v>
      </c>
      <c r="G567" s="5" t="s">
        <v>1302</v>
      </c>
      <c r="H567" s="5" t="s">
        <v>1210</v>
      </c>
      <c r="I567" s="5" t="s">
        <v>1210</v>
      </c>
      <c r="J567" s="5" t="s">
        <v>1307</v>
      </c>
      <c r="K567" s="5" t="s">
        <v>660</v>
      </c>
      <c r="L567" s="5" t="str">
        <f>VLOOKUP($K567,'Property names'!$A$1:$D$100,2,FALSE)</f>
        <v>The amount of moisture present in the soil, often expressed as a percentage of the maximum amount the soil could hold at a given temperature.</v>
      </c>
      <c r="M567" s="5" t="str">
        <f>VLOOKUP($K567,'Property names'!$A$1:$D$100,3,FALSE)</f>
        <v>Percentage</v>
      </c>
      <c r="N567" s="5" t="str">
        <f>VLOOKUP($K567,'Property names'!$A$1:$D$100,4,FALSE)</f>
        <v>%</v>
      </c>
      <c r="O567" s="5" t="str">
        <f t="shared" si="15"/>
        <v>Jomaa_Dhibi_TS010_soil_moisture_30cm</v>
      </c>
      <c r="P567" s="5" t="str">
        <f t="shared" si="16"/>
        <v>The datastream containing mesures of field Jomaa Dhibi by sensor TS010 which measures Soil Moisture.</v>
      </c>
      <c r="Q567" s="5" t="s">
        <v>653</v>
      </c>
    </row>
    <row r="568" spans="1:17" ht="12.75">
      <c r="A568" s="5" t="s">
        <v>437</v>
      </c>
      <c r="B568" s="5" t="s">
        <v>1310</v>
      </c>
      <c r="C568" s="5" t="s">
        <v>1293</v>
      </c>
      <c r="D568" s="213">
        <v>33.322935000000001</v>
      </c>
      <c r="E568" s="213">
        <v>10.389754</v>
      </c>
      <c r="F568" s="5" t="s">
        <v>506</v>
      </c>
      <c r="G568" s="5" t="s">
        <v>1302</v>
      </c>
      <c r="H568" s="5" t="s">
        <v>1210</v>
      </c>
      <c r="I568" s="5" t="s">
        <v>1210</v>
      </c>
      <c r="J568" s="5" t="s">
        <v>1308</v>
      </c>
      <c r="K568" s="5" t="s">
        <v>662</v>
      </c>
      <c r="L568" s="5" t="str">
        <f>VLOOKUP($K568,'Property names'!$A$1:$D$100,2,FALSE)</f>
        <v>The measure of temperature of the soil.</v>
      </c>
      <c r="M568" s="5" t="str">
        <f>VLOOKUP($K568,'Property names'!$A$1:$D$100,3,FALSE)</f>
        <v>Degrees Celsius</v>
      </c>
      <c r="N568" s="5" t="str">
        <f>VLOOKUP($K568,'Property names'!$A$1:$D$100,4,FALSE)</f>
        <v>ºC</v>
      </c>
      <c r="O568" s="5" t="str">
        <f t="shared" si="15"/>
        <v>Jomaa_Dhibi_TS010_soil_temperature_30cm</v>
      </c>
      <c r="P568" s="5" t="str">
        <f t="shared" si="16"/>
        <v>The datastream containing mesures of field Jomaa Dhibi by sensor TS010 which measures Soil Temperature.</v>
      </c>
      <c r="Q568" s="5" t="s">
        <v>653</v>
      </c>
    </row>
    <row r="569" spans="1:17" ht="12.75">
      <c r="A569" s="5" t="s">
        <v>437</v>
      </c>
      <c r="B569" s="5" t="s">
        <v>1310</v>
      </c>
      <c r="C569" s="5" t="s">
        <v>1293</v>
      </c>
      <c r="D569" s="213">
        <v>33.322935000000001</v>
      </c>
      <c r="E569" s="213">
        <v>10.389754</v>
      </c>
      <c r="F569" s="5" t="s">
        <v>507</v>
      </c>
      <c r="G569" s="5" t="s">
        <v>1302</v>
      </c>
      <c r="H569" s="5" t="s">
        <v>1210</v>
      </c>
      <c r="I569" s="5" t="s">
        <v>1210</v>
      </c>
      <c r="J569" s="5" t="s">
        <v>1313</v>
      </c>
      <c r="K569" s="5" t="s">
        <v>660</v>
      </c>
      <c r="L569" s="5" t="str">
        <f>VLOOKUP($K569,'Property names'!$A$1:$D$100,2,FALSE)</f>
        <v>The amount of moisture present in the soil, often expressed as a percentage of the maximum amount the soil could hold at a given temperature.</v>
      </c>
      <c r="M569" s="5" t="str">
        <f>VLOOKUP($K569,'Property names'!$A$1:$D$100,3,FALSE)</f>
        <v>Percentage</v>
      </c>
      <c r="N569" s="5" t="str">
        <f>VLOOKUP($K569,'Property names'!$A$1:$D$100,4,FALSE)</f>
        <v>%</v>
      </c>
      <c r="O569" s="5" t="str">
        <f t="shared" si="15"/>
        <v>Jomaa_Dhibi_TS011_soil_moisture_45cm</v>
      </c>
      <c r="P569" s="5" t="str">
        <f t="shared" si="16"/>
        <v>The datastream containing mesures of field Jomaa Dhibi by sensor TS011 which measures Soil Moisture.</v>
      </c>
      <c r="Q569" s="5" t="s">
        <v>653</v>
      </c>
    </row>
    <row r="570" spans="1:17" ht="12.75">
      <c r="A570" s="5" t="s">
        <v>437</v>
      </c>
      <c r="B570" s="5" t="s">
        <v>1310</v>
      </c>
      <c r="C570" s="5" t="s">
        <v>1293</v>
      </c>
      <c r="D570" s="213">
        <v>33.322935000000001</v>
      </c>
      <c r="E570" s="213">
        <v>10.389754</v>
      </c>
      <c r="F570" s="5" t="s">
        <v>507</v>
      </c>
      <c r="G570" s="5" t="s">
        <v>1302</v>
      </c>
      <c r="H570" s="5" t="s">
        <v>1210</v>
      </c>
      <c r="I570" s="5" t="s">
        <v>1210</v>
      </c>
      <c r="J570" s="5" t="s">
        <v>1314</v>
      </c>
      <c r="K570" s="5" t="s">
        <v>662</v>
      </c>
      <c r="L570" s="5" t="str">
        <f>VLOOKUP($K570,'Property names'!$A$1:$D$100,2,FALSE)</f>
        <v>The measure of temperature of the soil.</v>
      </c>
      <c r="M570" s="5" t="str">
        <f>VLOOKUP($K570,'Property names'!$A$1:$D$100,3,FALSE)</f>
        <v>Degrees Celsius</v>
      </c>
      <c r="N570" s="5" t="str">
        <f>VLOOKUP($K570,'Property names'!$A$1:$D$100,4,FALSE)</f>
        <v>ºC</v>
      </c>
      <c r="O570" s="5" t="str">
        <f t="shared" si="15"/>
        <v>Jomaa_Dhibi_TS011_soil_temperature_45cm</v>
      </c>
      <c r="P570" s="5" t="str">
        <f t="shared" si="16"/>
        <v>The datastream containing mesures of field Jomaa Dhibi by sensor TS011 which measures Soil Temperature.</v>
      </c>
      <c r="Q570" s="5" t="s">
        <v>653</v>
      </c>
    </row>
    <row r="571" spans="1:17" ht="12.75">
      <c r="A571" s="5" t="s">
        <v>437</v>
      </c>
      <c r="B571" s="5" t="s">
        <v>1310</v>
      </c>
      <c r="C571" s="5" t="s">
        <v>1293</v>
      </c>
      <c r="D571" s="213">
        <v>33.322935000000001</v>
      </c>
      <c r="E571" s="213">
        <v>10.389754</v>
      </c>
      <c r="F571" s="5" t="s">
        <v>508</v>
      </c>
      <c r="G571" s="5" t="s">
        <v>1302</v>
      </c>
      <c r="H571" s="5" t="s">
        <v>1210</v>
      </c>
      <c r="I571" s="5" t="s">
        <v>1210</v>
      </c>
      <c r="J571" s="5" t="s">
        <v>1311</v>
      </c>
      <c r="K571" s="5" t="s">
        <v>660</v>
      </c>
      <c r="L571" s="5" t="str">
        <f>VLOOKUP($K571,'Property names'!$A$1:$D$100,2,FALSE)</f>
        <v>The amount of moisture present in the soil, often expressed as a percentage of the maximum amount the soil could hold at a given temperature.</v>
      </c>
      <c r="M571" s="5" t="str">
        <f>VLOOKUP($K571,'Property names'!$A$1:$D$100,3,FALSE)</f>
        <v>Percentage</v>
      </c>
      <c r="N571" s="5" t="str">
        <f>VLOOKUP($K571,'Property names'!$A$1:$D$100,4,FALSE)</f>
        <v>%</v>
      </c>
      <c r="O571" s="5" t="str">
        <f t="shared" si="15"/>
        <v>Jomaa_Dhibi_TS012_soil_moisture_15cm</v>
      </c>
      <c r="P571" s="5" t="str">
        <f t="shared" si="16"/>
        <v>The datastream containing mesures of field Jomaa Dhibi by sensor TS012 which measures Soil Moisture.</v>
      </c>
      <c r="Q571" s="5" t="s">
        <v>653</v>
      </c>
    </row>
    <row r="572" spans="1:17" ht="12.75">
      <c r="A572" s="5" t="s">
        <v>437</v>
      </c>
      <c r="B572" s="5" t="s">
        <v>1310</v>
      </c>
      <c r="C572" s="5" t="s">
        <v>1293</v>
      </c>
      <c r="D572" s="213">
        <v>33.322935000000001</v>
      </c>
      <c r="E572" s="213">
        <v>10.389754</v>
      </c>
      <c r="F572" s="5" t="s">
        <v>508</v>
      </c>
      <c r="G572" s="5" t="s">
        <v>1302</v>
      </c>
      <c r="H572" s="5" t="s">
        <v>1210</v>
      </c>
      <c r="I572" s="5" t="s">
        <v>1210</v>
      </c>
      <c r="J572" s="5" t="s">
        <v>1312</v>
      </c>
      <c r="K572" s="5" t="s">
        <v>662</v>
      </c>
      <c r="L572" s="5" t="str">
        <f>VLOOKUP($K572,'Property names'!$A$1:$D$100,2,FALSE)</f>
        <v>The measure of temperature of the soil.</v>
      </c>
      <c r="M572" s="5" t="str">
        <f>VLOOKUP($K572,'Property names'!$A$1:$D$100,3,FALSE)</f>
        <v>Degrees Celsius</v>
      </c>
      <c r="N572" s="5" t="str">
        <f>VLOOKUP($K572,'Property names'!$A$1:$D$100,4,FALSE)</f>
        <v>ºC</v>
      </c>
      <c r="O572" s="5" t="str">
        <f t="shared" si="15"/>
        <v>Jomaa_Dhibi_TS012_soil_temperature_15cm</v>
      </c>
      <c r="P572" s="5" t="str">
        <f t="shared" si="16"/>
        <v>The datastream containing mesures of field Jomaa Dhibi by sensor TS012 which measures Soil Temperature.</v>
      </c>
      <c r="Q572" s="5" t="s">
        <v>653</v>
      </c>
    </row>
    <row r="573" spans="1:17" ht="12.75">
      <c r="A573" s="5" t="s">
        <v>437</v>
      </c>
      <c r="B573" s="5" t="s">
        <v>1310</v>
      </c>
      <c r="C573" s="5" t="s">
        <v>1293</v>
      </c>
      <c r="D573" s="213">
        <v>33.322935000000001</v>
      </c>
      <c r="E573" s="213">
        <v>10.389754</v>
      </c>
      <c r="F573" s="5" t="s">
        <v>509</v>
      </c>
      <c r="G573" s="5" t="s">
        <v>1302</v>
      </c>
      <c r="H573" s="5" t="s">
        <v>1210</v>
      </c>
      <c r="I573" s="5" t="s">
        <v>1210</v>
      </c>
      <c r="J573" s="5" t="s">
        <v>1307</v>
      </c>
      <c r="K573" s="5" t="s">
        <v>660</v>
      </c>
      <c r="L573" s="5" t="str">
        <f>VLOOKUP($K573,'Property names'!$A$1:$D$100,2,FALSE)</f>
        <v>The amount of moisture present in the soil, often expressed as a percentage of the maximum amount the soil could hold at a given temperature.</v>
      </c>
      <c r="M573" s="5" t="str">
        <f>VLOOKUP($K573,'Property names'!$A$1:$D$100,3,FALSE)</f>
        <v>Percentage</v>
      </c>
      <c r="N573" s="5" t="str">
        <f>VLOOKUP($K573,'Property names'!$A$1:$D$100,4,FALSE)</f>
        <v>%</v>
      </c>
      <c r="O573" s="5" t="str">
        <f t="shared" si="15"/>
        <v>Jomaa_Dhibi_TS013_soil_moisture_30cm</v>
      </c>
      <c r="P573" s="5" t="str">
        <f t="shared" si="16"/>
        <v>The datastream containing mesures of field Jomaa Dhibi by sensor TS013 which measures Soil Moisture.</v>
      </c>
      <c r="Q573" s="5" t="s">
        <v>653</v>
      </c>
    </row>
    <row r="574" spans="1:17" ht="12.75">
      <c r="A574" s="5" t="s">
        <v>437</v>
      </c>
      <c r="B574" s="5" t="s">
        <v>1310</v>
      </c>
      <c r="C574" s="5" t="s">
        <v>1293</v>
      </c>
      <c r="D574" s="213">
        <v>33.322935000000001</v>
      </c>
      <c r="E574" s="213">
        <v>10.389754</v>
      </c>
      <c r="F574" s="5" t="s">
        <v>509</v>
      </c>
      <c r="G574" s="5" t="s">
        <v>1302</v>
      </c>
      <c r="H574" s="5" t="s">
        <v>1210</v>
      </c>
      <c r="I574" s="5" t="s">
        <v>1210</v>
      </c>
      <c r="J574" s="5" t="s">
        <v>1308</v>
      </c>
      <c r="K574" s="5" t="s">
        <v>662</v>
      </c>
      <c r="L574" s="5" t="str">
        <f>VLOOKUP($K574,'Property names'!$A$1:$D$100,2,FALSE)</f>
        <v>The measure of temperature of the soil.</v>
      </c>
      <c r="M574" s="5" t="str">
        <f>VLOOKUP($K574,'Property names'!$A$1:$D$100,3,FALSE)</f>
        <v>Degrees Celsius</v>
      </c>
      <c r="N574" s="5" t="str">
        <f>VLOOKUP($K574,'Property names'!$A$1:$D$100,4,FALSE)</f>
        <v>ºC</v>
      </c>
      <c r="O574" s="5" t="str">
        <f t="shared" si="15"/>
        <v>Jomaa_Dhibi_TS013_soil_temperature_30cm</v>
      </c>
      <c r="P574" s="5" t="str">
        <f t="shared" si="16"/>
        <v>The datastream containing mesures of field Jomaa Dhibi by sensor TS013 which measures Soil Temperature.</v>
      </c>
      <c r="Q574" s="5" t="s">
        <v>653</v>
      </c>
    </row>
    <row r="575" spans="1:17" ht="12.75">
      <c r="A575" s="5" t="s">
        <v>437</v>
      </c>
      <c r="B575" s="5" t="s">
        <v>1310</v>
      </c>
      <c r="C575" s="5" t="s">
        <v>1293</v>
      </c>
      <c r="D575" s="213">
        <v>33.322935000000001</v>
      </c>
      <c r="E575" s="213">
        <v>10.389754</v>
      </c>
      <c r="F575" s="5" t="s">
        <v>510</v>
      </c>
      <c r="G575" s="5" t="s">
        <v>1302</v>
      </c>
      <c r="H575" s="5" t="s">
        <v>1210</v>
      </c>
      <c r="I575" s="5" t="s">
        <v>1210</v>
      </c>
      <c r="J575" s="5" t="s">
        <v>1313</v>
      </c>
      <c r="K575" s="5" t="s">
        <v>660</v>
      </c>
      <c r="L575" s="5" t="str">
        <f>VLOOKUP($K575,'Property names'!$A$1:$D$100,2,FALSE)</f>
        <v>The amount of moisture present in the soil, often expressed as a percentage of the maximum amount the soil could hold at a given temperature.</v>
      </c>
      <c r="M575" s="5" t="str">
        <f>VLOOKUP($K575,'Property names'!$A$1:$D$100,3,FALSE)</f>
        <v>Percentage</v>
      </c>
      <c r="N575" s="5" t="str">
        <f>VLOOKUP($K575,'Property names'!$A$1:$D$100,4,FALSE)</f>
        <v>%</v>
      </c>
      <c r="O575" s="5" t="str">
        <f t="shared" si="15"/>
        <v>Jomaa_Dhibi_TS014_soil_moisture_45cm</v>
      </c>
      <c r="P575" s="5" t="str">
        <f t="shared" si="16"/>
        <v>The datastream containing mesures of field Jomaa Dhibi by sensor TS014 which measures Soil Moisture.</v>
      </c>
      <c r="Q575" s="5" t="s">
        <v>653</v>
      </c>
    </row>
    <row r="576" spans="1:17" ht="12.75">
      <c r="A576" s="5" t="s">
        <v>437</v>
      </c>
      <c r="B576" s="5" t="s">
        <v>1310</v>
      </c>
      <c r="C576" s="5" t="s">
        <v>1293</v>
      </c>
      <c r="D576" s="213">
        <v>33.322935000000001</v>
      </c>
      <c r="E576" s="213">
        <v>10.389754</v>
      </c>
      <c r="F576" s="5" t="s">
        <v>510</v>
      </c>
      <c r="G576" s="5" t="s">
        <v>1302</v>
      </c>
      <c r="H576" s="5" t="s">
        <v>1210</v>
      </c>
      <c r="I576" s="5" t="s">
        <v>1210</v>
      </c>
      <c r="J576" s="5" t="s">
        <v>1314</v>
      </c>
      <c r="K576" s="5" t="s">
        <v>662</v>
      </c>
      <c r="L576" s="5" t="str">
        <f>VLOOKUP($K576,'Property names'!$A$1:$D$100,2,FALSE)</f>
        <v>The measure of temperature of the soil.</v>
      </c>
      <c r="M576" s="5" t="str">
        <f>VLOOKUP($K576,'Property names'!$A$1:$D$100,3,FALSE)</f>
        <v>Degrees Celsius</v>
      </c>
      <c r="N576" s="5" t="str">
        <f>VLOOKUP($K576,'Property names'!$A$1:$D$100,4,FALSE)</f>
        <v>ºC</v>
      </c>
      <c r="O576" s="5" t="str">
        <f t="shared" si="15"/>
        <v>Jomaa_Dhibi_TS014_soil_temperature_45cm</v>
      </c>
      <c r="P576" s="5" t="str">
        <f t="shared" si="16"/>
        <v>The datastream containing mesures of field Jomaa Dhibi by sensor TS014 which measures Soil Temperature.</v>
      </c>
      <c r="Q576" s="5" t="s">
        <v>653</v>
      </c>
    </row>
    <row r="577" spans="1:17" ht="12.75">
      <c r="A577" s="5" t="s">
        <v>437</v>
      </c>
      <c r="B577" s="5" t="s">
        <v>1310</v>
      </c>
      <c r="C577" s="5" t="s">
        <v>1293</v>
      </c>
      <c r="D577" s="213">
        <v>33.322935000000001</v>
      </c>
      <c r="E577" s="213">
        <v>10.389754</v>
      </c>
      <c r="F577" s="5" t="s">
        <v>512</v>
      </c>
      <c r="G577" s="5" t="s">
        <v>1309</v>
      </c>
      <c r="H577" s="5" t="s">
        <v>1210</v>
      </c>
      <c r="I577" s="5" t="s">
        <v>1210</v>
      </c>
      <c r="J577" s="5" t="s">
        <v>1255</v>
      </c>
      <c r="K577" s="5" t="s">
        <v>487</v>
      </c>
      <c r="L577" s="5" t="str">
        <f>VLOOKUP($K577,'Property names'!$A$1:$D$100,2,FALSE)</f>
        <v>The continuous movement of water in a particular direction.</v>
      </c>
      <c r="M577" s="5" t="str">
        <f>VLOOKUP($K577,'Property names'!$A$1:$D$100,3,FALSE)</f>
        <v>Cubic meters per second</v>
      </c>
      <c r="N577" s="5" t="str">
        <f>VLOOKUP($K577,'Property names'!$A$1:$D$100,4,FALSE)</f>
        <v>m^3/s</v>
      </c>
      <c r="O577" s="5" t="str">
        <f t="shared" si="15"/>
        <v>Jomaa_Dhibi_TS033_water_flow</v>
      </c>
      <c r="P577" s="5" t="str">
        <f t="shared" si="16"/>
        <v>The datastream containing mesures of field Jomaa Dhibi by sensor TS033 which measures Water Flow.</v>
      </c>
      <c r="Q577" s="5" t="s">
        <v>653</v>
      </c>
    </row>
    <row r="578" spans="1:17" ht="12.75">
      <c r="A578" s="5" t="s">
        <v>437</v>
      </c>
      <c r="B578" s="5" t="s">
        <v>1310</v>
      </c>
      <c r="C578" s="5" t="s">
        <v>1293</v>
      </c>
      <c r="D578" s="213">
        <v>33.322935000000001</v>
      </c>
      <c r="E578" s="213">
        <v>10.389754</v>
      </c>
      <c r="F578" s="5" t="s">
        <v>513</v>
      </c>
      <c r="G578" s="5" t="s">
        <v>1309</v>
      </c>
      <c r="H578" s="5" t="s">
        <v>1210</v>
      </c>
      <c r="I578" s="5" t="s">
        <v>1210</v>
      </c>
      <c r="J578" s="5" t="s">
        <v>1255</v>
      </c>
      <c r="K578" s="5" t="s">
        <v>487</v>
      </c>
      <c r="L578" s="5" t="str">
        <f>VLOOKUP($K578,'Property names'!$A$1:$D$100,2,FALSE)</f>
        <v>The continuous movement of water in a particular direction.</v>
      </c>
      <c r="M578" s="5" t="str">
        <f>VLOOKUP($K578,'Property names'!$A$1:$D$100,3,FALSE)</f>
        <v>Cubic meters per second</v>
      </c>
      <c r="N578" s="5" t="str">
        <f>VLOOKUP($K578,'Property names'!$A$1:$D$100,4,FALSE)</f>
        <v>m^3/s</v>
      </c>
      <c r="O578" s="5" t="str">
        <f t="shared" si="15"/>
        <v>Jomaa_Dhibi_TS042_water_flow</v>
      </c>
      <c r="P578" s="5" t="str">
        <f t="shared" si="16"/>
        <v>The datastream containing mesures of field Jomaa Dhibi by sensor TS042 which measures Water Flow.</v>
      </c>
      <c r="Q578" s="5" t="s">
        <v>653</v>
      </c>
    </row>
    <row r="579" spans="1:17" ht="12.75">
      <c r="A579" s="5" t="s">
        <v>437</v>
      </c>
      <c r="B579" s="5" t="s">
        <v>1315</v>
      </c>
      <c r="C579" s="5" t="s">
        <v>1316</v>
      </c>
      <c r="D579" s="213">
        <v>33.309654999999999</v>
      </c>
      <c r="E579" s="213">
        <v>10.336111000000001</v>
      </c>
      <c r="F579" s="5" t="s">
        <v>524</v>
      </c>
      <c r="G579" s="5" t="s">
        <v>1302</v>
      </c>
      <c r="H579" s="5" t="s">
        <v>1210</v>
      </c>
      <c r="I579" s="5" t="s">
        <v>1210</v>
      </c>
      <c r="J579" s="5" t="s">
        <v>1311</v>
      </c>
      <c r="K579" s="5" t="s">
        <v>660</v>
      </c>
      <c r="L579" s="5" t="str">
        <f>VLOOKUP($K579,'Property names'!$A$1:$D$100,2,FALSE)</f>
        <v>The amount of moisture present in the soil, often expressed as a percentage of the maximum amount the soil could hold at a given temperature.</v>
      </c>
      <c r="M579" s="5" t="str">
        <f>VLOOKUP($K579,'Property names'!$A$1:$D$100,3,FALSE)</f>
        <v>Percentage</v>
      </c>
      <c r="N579" s="5" t="str">
        <f>VLOOKUP($K579,'Property names'!$A$1:$D$100,4,FALSE)</f>
        <v>%</v>
      </c>
      <c r="O579" s="5" t="str">
        <f t="shared" si="15"/>
        <v>Lamine_Moussa_TS015_soil_moisture_15cm</v>
      </c>
      <c r="P579" s="5" t="str">
        <f t="shared" si="16"/>
        <v>The datastream containing mesures of field Lamine Moussa by sensor TS015 which measures Soil Moisture.</v>
      </c>
      <c r="Q579" s="5" t="s">
        <v>653</v>
      </c>
    </row>
    <row r="580" spans="1:17" ht="12.75">
      <c r="A580" s="5" t="s">
        <v>437</v>
      </c>
      <c r="B580" s="5" t="s">
        <v>1315</v>
      </c>
      <c r="C580" s="5" t="s">
        <v>1316</v>
      </c>
      <c r="D580" s="213">
        <v>33.309654999999999</v>
      </c>
      <c r="E580" s="213">
        <v>10.336111000000001</v>
      </c>
      <c r="F580" s="5" t="s">
        <v>524</v>
      </c>
      <c r="G580" s="5" t="s">
        <v>1302</v>
      </c>
      <c r="H580" s="5" t="s">
        <v>1210</v>
      </c>
      <c r="I580" s="5" t="s">
        <v>1210</v>
      </c>
      <c r="J580" s="5" t="s">
        <v>1312</v>
      </c>
      <c r="K580" s="5" t="s">
        <v>662</v>
      </c>
      <c r="L580" s="5" t="str">
        <f>VLOOKUP($K580,'Property names'!$A$1:$D$100,2,FALSE)</f>
        <v>The measure of temperature of the soil.</v>
      </c>
      <c r="M580" s="5" t="str">
        <f>VLOOKUP($K580,'Property names'!$A$1:$D$100,3,FALSE)</f>
        <v>Degrees Celsius</v>
      </c>
      <c r="N580" s="5" t="str">
        <f>VLOOKUP($K580,'Property names'!$A$1:$D$100,4,FALSE)</f>
        <v>ºC</v>
      </c>
      <c r="O580" s="5" t="str">
        <f t="shared" si="15"/>
        <v>Lamine_Moussa_TS015_soil_temperature_15cm</v>
      </c>
      <c r="P580" s="5" t="str">
        <f t="shared" si="16"/>
        <v>The datastream containing mesures of field Lamine Moussa by sensor TS015 which measures Soil Temperature.</v>
      </c>
      <c r="Q580" s="5" t="s">
        <v>653</v>
      </c>
    </row>
    <row r="581" spans="1:17" ht="12.75">
      <c r="A581" s="5" t="s">
        <v>437</v>
      </c>
      <c r="B581" s="5" t="s">
        <v>1315</v>
      </c>
      <c r="C581" s="5" t="s">
        <v>1316</v>
      </c>
      <c r="D581" s="213">
        <v>33.309654999999999</v>
      </c>
      <c r="E581" s="213">
        <v>10.336111000000001</v>
      </c>
      <c r="F581" s="5" t="s">
        <v>525</v>
      </c>
      <c r="G581" s="5" t="s">
        <v>1302</v>
      </c>
      <c r="H581" s="5" t="s">
        <v>1210</v>
      </c>
      <c r="I581" s="5" t="s">
        <v>1210</v>
      </c>
      <c r="J581" s="5" t="s">
        <v>1307</v>
      </c>
      <c r="K581" s="5" t="s">
        <v>660</v>
      </c>
      <c r="L581" s="5" t="str">
        <f>VLOOKUP($K581,'Property names'!$A$1:$D$100,2,FALSE)</f>
        <v>The amount of moisture present in the soil, often expressed as a percentage of the maximum amount the soil could hold at a given temperature.</v>
      </c>
      <c r="M581" s="5" t="str">
        <f>VLOOKUP($K581,'Property names'!$A$1:$D$100,3,FALSE)</f>
        <v>Percentage</v>
      </c>
      <c r="N581" s="5" t="str">
        <f>VLOOKUP($K581,'Property names'!$A$1:$D$100,4,FALSE)</f>
        <v>%</v>
      </c>
      <c r="O581" s="5" t="str">
        <f t="shared" si="15"/>
        <v>Lamine_Moussa_TS016_soil_moisture_30cm</v>
      </c>
      <c r="P581" s="5" t="str">
        <f t="shared" si="16"/>
        <v>The datastream containing mesures of field Lamine Moussa by sensor TS016 which measures Soil Moisture.</v>
      </c>
      <c r="Q581" s="5" t="s">
        <v>653</v>
      </c>
    </row>
    <row r="582" spans="1:17" ht="12.75">
      <c r="A582" s="5" t="s">
        <v>437</v>
      </c>
      <c r="B582" s="5" t="s">
        <v>1315</v>
      </c>
      <c r="C582" s="5" t="s">
        <v>1316</v>
      </c>
      <c r="D582" s="213">
        <v>33.309654999999999</v>
      </c>
      <c r="E582" s="213">
        <v>10.336111000000001</v>
      </c>
      <c r="F582" s="5" t="s">
        <v>525</v>
      </c>
      <c r="G582" s="5" t="s">
        <v>1302</v>
      </c>
      <c r="H582" s="5" t="s">
        <v>1210</v>
      </c>
      <c r="I582" s="5" t="s">
        <v>1210</v>
      </c>
      <c r="J582" s="5" t="s">
        <v>1308</v>
      </c>
      <c r="K582" s="5" t="s">
        <v>662</v>
      </c>
      <c r="L582" s="5" t="str">
        <f>VLOOKUP($K582,'Property names'!$A$1:$D$100,2,FALSE)</f>
        <v>The measure of temperature of the soil.</v>
      </c>
      <c r="M582" s="5" t="str">
        <f>VLOOKUP($K582,'Property names'!$A$1:$D$100,3,FALSE)</f>
        <v>Degrees Celsius</v>
      </c>
      <c r="N582" s="5" t="str">
        <f>VLOOKUP($K582,'Property names'!$A$1:$D$100,4,FALSE)</f>
        <v>ºC</v>
      </c>
      <c r="O582" s="5" t="str">
        <f t="shared" si="15"/>
        <v>Lamine_Moussa_TS016_soil_temperature_30cm</v>
      </c>
      <c r="P582" s="5" t="str">
        <f t="shared" si="16"/>
        <v>The datastream containing mesures of field Lamine Moussa by sensor TS016 which measures Soil Temperature.</v>
      </c>
      <c r="Q582" s="5" t="s">
        <v>653</v>
      </c>
    </row>
    <row r="583" spans="1:17" ht="12.75">
      <c r="A583" s="5" t="s">
        <v>437</v>
      </c>
      <c r="B583" s="5" t="s">
        <v>1315</v>
      </c>
      <c r="C583" s="5" t="s">
        <v>1316</v>
      </c>
      <c r="D583" s="213">
        <v>33.309654999999999</v>
      </c>
      <c r="E583" s="213">
        <v>10.336111000000001</v>
      </c>
      <c r="F583" s="5" t="s">
        <v>526</v>
      </c>
      <c r="G583" s="5" t="s">
        <v>1302</v>
      </c>
      <c r="H583" s="5" t="s">
        <v>1210</v>
      </c>
      <c r="I583" s="5" t="s">
        <v>1210</v>
      </c>
      <c r="J583" s="5" t="s">
        <v>1313</v>
      </c>
      <c r="K583" s="5" t="s">
        <v>660</v>
      </c>
      <c r="L583" s="5" t="str">
        <f>VLOOKUP($K583,'Property names'!$A$1:$D$100,2,FALSE)</f>
        <v>The amount of moisture present in the soil, often expressed as a percentage of the maximum amount the soil could hold at a given temperature.</v>
      </c>
      <c r="M583" s="5" t="str">
        <f>VLOOKUP($K583,'Property names'!$A$1:$D$100,3,FALSE)</f>
        <v>Percentage</v>
      </c>
      <c r="N583" s="5" t="str">
        <f>VLOOKUP($K583,'Property names'!$A$1:$D$100,4,FALSE)</f>
        <v>%</v>
      </c>
      <c r="O583" s="5" t="str">
        <f t="shared" si="15"/>
        <v>Lamine_Moussa_TS017_soil_moisture_45cm</v>
      </c>
      <c r="P583" s="5" t="str">
        <f t="shared" si="16"/>
        <v>The datastream containing mesures of field Lamine Moussa by sensor TS017 which measures Soil Moisture.</v>
      </c>
      <c r="Q583" s="5" t="s">
        <v>653</v>
      </c>
    </row>
    <row r="584" spans="1:17" ht="12.75">
      <c r="A584" s="5" t="s">
        <v>437</v>
      </c>
      <c r="B584" s="5" t="s">
        <v>1315</v>
      </c>
      <c r="C584" s="5" t="s">
        <v>1316</v>
      </c>
      <c r="D584" s="213">
        <v>33.309654999999999</v>
      </c>
      <c r="E584" s="213">
        <v>10.336111000000001</v>
      </c>
      <c r="F584" s="5" t="s">
        <v>526</v>
      </c>
      <c r="G584" s="5" t="s">
        <v>1302</v>
      </c>
      <c r="H584" s="5" t="s">
        <v>1210</v>
      </c>
      <c r="I584" s="5" t="s">
        <v>1210</v>
      </c>
      <c r="J584" s="5" t="s">
        <v>1314</v>
      </c>
      <c r="K584" s="5" t="s">
        <v>662</v>
      </c>
      <c r="L584" s="5" t="str">
        <f>VLOOKUP($K584,'Property names'!$A$1:$D$100,2,FALSE)</f>
        <v>The measure of temperature of the soil.</v>
      </c>
      <c r="M584" s="5" t="str">
        <f>VLOOKUP($K584,'Property names'!$A$1:$D$100,3,FALSE)</f>
        <v>Degrees Celsius</v>
      </c>
      <c r="N584" s="5" t="str">
        <f>VLOOKUP($K584,'Property names'!$A$1:$D$100,4,FALSE)</f>
        <v>ºC</v>
      </c>
      <c r="O584" s="5" t="str">
        <f t="shared" si="15"/>
        <v>Lamine_Moussa_TS017_soil_temperature_45cm</v>
      </c>
      <c r="P584" s="5" t="str">
        <f t="shared" si="16"/>
        <v>The datastream containing mesures of field Lamine Moussa by sensor TS017 which measures Soil Temperature.</v>
      </c>
      <c r="Q584" s="5" t="s">
        <v>653</v>
      </c>
    </row>
    <row r="585" spans="1:17" ht="12.75">
      <c r="A585" s="5" t="s">
        <v>437</v>
      </c>
      <c r="B585" s="5" t="s">
        <v>1315</v>
      </c>
      <c r="C585" s="5" t="s">
        <v>1316</v>
      </c>
      <c r="D585" s="213">
        <v>33.309654999999999</v>
      </c>
      <c r="E585" s="213">
        <v>10.336111000000001</v>
      </c>
      <c r="F585" s="5" t="s">
        <v>527</v>
      </c>
      <c r="G585" s="5" t="s">
        <v>1302</v>
      </c>
      <c r="H585" s="5" t="s">
        <v>1210</v>
      </c>
      <c r="I585" s="5" t="s">
        <v>1210</v>
      </c>
      <c r="J585" s="5" t="s">
        <v>1311</v>
      </c>
      <c r="K585" s="5" t="s">
        <v>660</v>
      </c>
      <c r="L585" s="5" t="str">
        <f>VLOOKUP($K585,'Property names'!$A$1:$D$100,2,FALSE)</f>
        <v>The amount of moisture present in the soil, often expressed as a percentage of the maximum amount the soil could hold at a given temperature.</v>
      </c>
      <c r="M585" s="5" t="str">
        <f>VLOOKUP($K585,'Property names'!$A$1:$D$100,3,FALSE)</f>
        <v>Percentage</v>
      </c>
      <c r="N585" s="5" t="str">
        <f>VLOOKUP($K585,'Property names'!$A$1:$D$100,4,FALSE)</f>
        <v>%</v>
      </c>
      <c r="O585" s="5" t="str">
        <f t="shared" si="15"/>
        <v>Lamine_Moussa_TS018_soil_moisture_15cm</v>
      </c>
      <c r="P585" s="5" t="str">
        <f t="shared" si="16"/>
        <v>The datastream containing mesures of field Lamine Moussa by sensor TS018 which measures Soil Moisture.</v>
      </c>
      <c r="Q585" s="5" t="s">
        <v>653</v>
      </c>
    </row>
    <row r="586" spans="1:17" ht="12.75">
      <c r="A586" s="5" t="s">
        <v>437</v>
      </c>
      <c r="B586" s="5" t="s">
        <v>1315</v>
      </c>
      <c r="C586" s="5" t="s">
        <v>1316</v>
      </c>
      <c r="D586" s="213">
        <v>33.309654999999999</v>
      </c>
      <c r="E586" s="213">
        <v>10.336111000000001</v>
      </c>
      <c r="F586" s="5" t="s">
        <v>527</v>
      </c>
      <c r="G586" s="5" t="s">
        <v>1302</v>
      </c>
      <c r="H586" s="5" t="s">
        <v>1210</v>
      </c>
      <c r="I586" s="5" t="s">
        <v>1210</v>
      </c>
      <c r="J586" s="5" t="s">
        <v>1312</v>
      </c>
      <c r="K586" s="5" t="s">
        <v>662</v>
      </c>
      <c r="L586" s="5" t="str">
        <f>VLOOKUP($K586,'Property names'!$A$1:$D$100,2,FALSE)</f>
        <v>The measure of temperature of the soil.</v>
      </c>
      <c r="M586" s="5" t="str">
        <f>VLOOKUP($K586,'Property names'!$A$1:$D$100,3,FALSE)</f>
        <v>Degrees Celsius</v>
      </c>
      <c r="N586" s="5" t="str">
        <f>VLOOKUP($K586,'Property names'!$A$1:$D$100,4,FALSE)</f>
        <v>ºC</v>
      </c>
      <c r="O586" s="5" t="str">
        <f t="shared" si="15"/>
        <v>Lamine_Moussa_TS018_soil_temperature_15cm</v>
      </c>
      <c r="P586" s="5" t="str">
        <f t="shared" si="16"/>
        <v>The datastream containing mesures of field Lamine Moussa by sensor TS018 which measures Soil Temperature.</v>
      </c>
      <c r="Q586" s="5" t="s">
        <v>653</v>
      </c>
    </row>
    <row r="587" spans="1:17" ht="12.75">
      <c r="A587" s="5" t="s">
        <v>437</v>
      </c>
      <c r="B587" s="5" t="s">
        <v>1315</v>
      </c>
      <c r="C587" s="5" t="s">
        <v>1316</v>
      </c>
      <c r="D587" s="213">
        <v>33.309654999999999</v>
      </c>
      <c r="E587" s="213">
        <v>10.336111000000001</v>
      </c>
      <c r="F587" s="5" t="s">
        <v>528</v>
      </c>
      <c r="G587" s="5" t="s">
        <v>1302</v>
      </c>
      <c r="H587" s="5" t="s">
        <v>1210</v>
      </c>
      <c r="I587" s="5" t="s">
        <v>1210</v>
      </c>
      <c r="J587" s="5" t="s">
        <v>1307</v>
      </c>
      <c r="K587" s="5" t="s">
        <v>660</v>
      </c>
      <c r="L587" s="5" t="str">
        <f>VLOOKUP($K587,'Property names'!$A$1:$D$100,2,FALSE)</f>
        <v>The amount of moisture present in the soil, often expressed as a percentage of the maximum amount the soil could hold at a given temperature.</v>
      </c>
      <c r="M587" s="5" t="str">
        <f>VLOOKUP($K587,'Property names'!$A$1:$D$100,3,FALSE)</f>
        <v>Percentage</v>
      </c>
      <c r="N587" s="5" t="str">
        <f>VLOOKUP($K587,'Property names'!$A$1:$D$100,4,FALSE)</f>
        <v>%</v>
      </c>
      <c r="O587" s="5" t="str">
        <f t="shared" si="15"/>
        <v>Lamine_Moussa_TS019_soil_moisture_30cm</v>
      </c>
      <c r="P587" s="5" t="str">
        <f t="shared" si="16"/>
        <v>The datastream containing mesures of field Lamine Moussa by sensor TS019 which measures Soil Moisture.</v>
      </c>
      <c r="Q587" s="5" t="s">
        <v>653</v>
      </c>
    </row>
    <row r="588" spans="1:17" ht="12.75">
      <c r="A588" s="5" t="s">
        <v>437</v>
      </c>
      <c r="B588" s="5" t="s">
        <v>1315</v>
      </c>
      <c r="C588" s="5" t="s">
        <v>1316</v>
      </c>
      <c r="D588" s="213">
        <v>33.309654999999999</v>
      </c>
      <c r="E588" s="213">
        <v>10.336111000000001</v>
      </c>
      <c r="F588" s="5" t="s">
        <v>528</v>
      </c>
      <c r="G588" s="5" t="s">
        <v>1302</v>
      </c>
      <c r="H588" s="5" t="s">
        <v>1210</v>
      </c>
      <c r="I588" s="5" t="s">
        <v>1210</v>
      </c>
      <c r="J588" s="5" t="s">
        <v>1308</v>
      </c>
      <c r="K588" s="5" t="s">
        <v>662</v>
      </c>
      <c r="L588" s="5" t="str">
        <f>VLOOKUP($K588,'Property names'!$A$1:$D$100,2,FALSE)</f>
        <v>The measure of temperature of the soil.</v>
      </c>
      <c r="M588" s="5" t="str">
        <f>VLOOKUP($K588,'Property names'!$A$1:$D$100,3,FALSE)</f>
        <v>Degrees Celsius</v>
      </c>
      <c r="N588" s="5" t="str">
        <f>VLOOKUP($K588,'Property names'!$A$1:$D$100,4,FALSE)</f>
        <v>ºC</v>
      </c>
      <c r="O588" s="5" t="str">
        <f t="shared" si="15"/>
        <v>Lamine_Moussa_TS019_soil_temperature_30cm</v>
      </c>
      <c r="P588" s="5" t="str">
        <f t="shared" si="16"/>
        <v>The datastream containing mesures of field Lamine Moussa by sensor TS019 which measures Soil Temperature.</v>
      </c>
      <c r="Q588" s="5" t="s">
        <v>653</v>
      </c>
    </row>
    <row r="589" spans="1:17" ht="12.75">
      <c r="A589" s="5" t="s">
        <v>437</v>
      </c>
      <c r="B589" s="5" t="s">
        <v>1315</v>
      </c>
      <c r="C589" s="5" t="s">
        <v>1316</v>
      </c>
      <c r="D589" s="213">
        <v>33.309654999999999</v>
      </c>
      <c r="E589" s="213">
        <v>10.336111000000001</v>
      </c>
      <c r="F589" s="5" t="s">
        <v>529</v>
      </c>
      <c r="G589" s="5" t="s">
        <v>1302</v>
      </c>
      <c r="H589" s="5" t="s">
        <v>1210</v>
      </c>
      <c r="I589" s="5" t="s">
        <v>1210</v>
      </c>
      <c r="J589" s="5" t="s">
        <v>1313</v>
      </c>
      <c r="K589" s="5" t="s">
        <v>660</v>
      </c>
      <c r="L589" s="5" t="str">
        <f>VLOOKUP($K589,'Property names'!$A$1:$D$100,2,FALSE)</f>
        <v>The amount of moisture present in the soil, often expressed as a percentage of the maximum amount the soil could hold at a given temperature.</v>
      </c>
      <c r="M589" s="5" t="str">
        <f>VLOOKUP($K589,'Property names'!$A$1:$D$100,3,FALSE)</f>
        <v>Percentage</v>
      </c>
      <c r="N589" s="5" t="str">
        <f>VLOOKUP($K589,'Property names'!$A$1:$D$100,4,FALSE)</f>
        <v>%</v>
      </c>
      <c r="O589" s="5" t="str">
        <f t="shared" si="15"/>
        <v>Lamine_Moussa_TS020_soil_moisture_45cm</v>
      </c>
      <c r="P589" s="5" t="str">
        <f t="shared" si="16"/>
        <v>The datastream containing mesures of field Lamine Moussa by sensor TS020 which measures Soil Moisture.</v>
      </c>
      <c r="Q589" s="5" t="s">
        <v>653</v>
      </c>
    </row>
    <row r="590" spans="1:17" ht="12.75">
      <c r="A590" s="5" t="s">
        <v>437</v>
      </c>
      <c r="B590" s="5" t="s">
        <v>1315</v>
      </c>
      <c r="C590" s="5" t="s">
        <v>1316</v>
      </c>
      <c r="D590" s="213">
        <v>33.309654999999999</v>
      </c>
      <c r="E590" s="213">
        <v>10.336111000000001</v>
      </c>
      <c r="F590" s="5" t="s">
        <v>529</v>
      </c>
      <c r="G590" s="5" t="s">
        <v>1302</v>
      </c>
      <c r="H590" s="5" t="s">
        <v>1210</v>
      </c>
      <c r="I590" s="5" t="s">
        <v>1210</v>
      </c>
      <c r="J590" s="5" t="s">
        <v>1314</v>
      </c>
      <c r="K590" s="5" t="s">
        <v>662</v>
      </c>
      <c r="L590" s="5" t="str">
        <f>VLOOKUP($K590,'Property names'!$A$1:$D$100,2,FALSE)</f>
        <v>The measure of temperature of the soil.</v>
      </c>
      <c r="M590" s="5" t="str">
        <f>VLOOKUP($K590,'Property names'!$A$1:$D$100,3,FALSE)</f>
        <v>Degrees Celsius</v>
      </c>
      <c r="N590" s="5" t="str">
        <f>VLOOKUP($K590,'Property names'!$A$1:$D$100,4,FALSE)</f>
        <v>ºC</v>
      </c>
      <c r="O590" s="5" t="str">
        <f t="shared" si="15"/>
        <v>Lamine_Moussa_TS020_soil_temperature_45cm</v>
      </c>
      <c r="P590" s="5" t="str">
        <f t="shared" si="16"/>
        <v>The datastream containing mesures of field Lamine Moussa by sensor TS020 which measures Soil Temperature.</v>
      </c>
      <c r="Q590" s="5" t="s">
        <v>653</v>
      </c>
    </row>
    <row r="591" spans="1:17" ht="12.75">
      <c r="A591" s="5" t="s">
        <v>437</v>
      </c>
      <c r="B591" s="5" t="s">
        <v>1315</v>
      </c>
      <c r="C591" s="5" t="s">
        <v>1316</v>
      </c>
      <c r="D591" s="213">
        <v>33.309654999999999</v>
      </c>
      <c r="E591" s="213">
        <v>10.336111000000001</v>
      </c>
      <c r="F591" s="5" t="s">
        <v>530</v>
      </c>
      <c r="G591" s="5" t="s">
        <v>1309</v>
      </c>
      <c r="H591" s="5" t="s">
        <v>1210</v>
      </c>
      <c r="I591" s="5" t="s">
        <v>1210</v>
      </c>
      <c r="J591" s="5" t="s">
        <v>1255</v>
      </c>
      <c r="K591" s="5" t="s">
        <v>487</v>
      </c>
      <c r="L591" s="5" t="str">
        <f>VLOOKUP($K591,'Property names'!$A$1:$D$100,2,FALSE)</f>
        <v>The continuous movement of water in a particular direction.</v>
      </c>
      <c r="M591" s="5" t="str">
        <f>VLOOKUP($K591,'Property names'!$A$1:$D$100,3,FALSE)</f>
        <v>Cubic meters per second</v>
      </c>
      <c r="N591" s="5" t="str">
        <f>VLOOKUP($K591,'Property names'!$A$1:$D$100,4,FALSE)</f>
        <v>m^3/s</v>
      </c>
      <c r="O591" s="5" t="str">
        <f t="shared" si="15"/>
        <v>Lamine_Moussa_TS029_water_flow</v>
      </c>
      <c r="P591" s="5" t="str">
        <f t="shared" si="16"/>
        <v>The datastream containing mesures of field Lamine Moussa by sensor TS029 which measures Water Flow.</v>
      </c>
      <c r="Q591" s="5" t="s">
        <v>653</v>
      </c>
    </row>
    <row r="592" spans="1:17" ht="12.75">
      <c r="A592" s="5" t="s">
        <v>437</v>
      </c>
      <c r="B592" s="5" t="s">
        <v>1315</v>
      </c>
      <c r="C592" s="5" t="s">
        <v>1316</v>
      </c>
      <c r="D592" s="213">
        <v>33.309654999999999</v>
      </c>
      <c r="E592" s="213">
        <v>10.336111000000001</v>
      </c>
      <c r="F592" s="5" t="s">
        <v>532</v>
      </c>
      <c r="G592" s="5" t="s">
        <v>1309</v>
      </c>
      <c r="H592" s="5" t="s">
        <v>1210</v>
      </c>
      <c r="I592" s="5" t="s">
        <v>1210</v>
      </c>
      <c r="J592" s="5" t="s">
        <v>1255</v>
      </c>
      <c r="K592" s="5" t="s">
        <v>487</v>
      </c>
      <c r="L592" s="5" t="str">
        <f>VLOOKUP($K592,'Property names'!$A$1:$D$100,2,FALSE)</f>
        <v>The continuous movement of water in a particular direction.</v>
      </c>
      <c r="M592" s="5" t="str">
        <f>VLOOKUP($K592,'Property names'!$A$1:$D$100,3,FALSE)</f>
        <v>Cubic meters per second</v>
      </c>
      <c r="N592" s="5" t="str">
        <f>VLOOKUP($K592,'Property names'!$A$1:$D$100,4,FALSE)</f>
        <v>m^3/s</v>
      </c>
      <c r="O592" s="5" t="str">
        <f t="shared" si="15"/>
        <v>Lamine_Moussa_TS043_water_flow</v>
      </c>
      <c r="P592" s="5" t="str">
        <f t="shared" si="16"/>
        <v>The datastream containing mesures of field Lamine Moussa by sensor TS043 which measures Water Flow.</v>
      </c>
      <c r="Q592" s="5" t="s">
        <v>653</v>
      </c>
    </row>
    <row r="593" spans="1:17" ht="12.75">
      <c r="A593" s="5" t="s">
        <v>437</v>
      </c>
      <c r="B593" s="5" t="s">
        <v>1317</v>
      </c>
      <c r="C593" s="5" t="s">
        <v>1293</v>
      </c>
      <c r="D593" s="213">
        <v>33.341304000000001</v>
      </c>
      <c r="E593" s="213">
        <v>10.324999999999999</v>
      </c>
      <c r="F593" s="5" t="s">
        <v>543</v>
      </c>
      <c r="G593" s="5" t="s">
        <v>1302</v>
      </c>
      <c r="H593" s="5" t="s">
        <v>1210</v>
      </c>
      <c r="I593" s="5" t="s">
        <v>1210</v>
      </c>
      <c r="J593" s="5" t="s">
        <v>1311</v>
      </c>
      <c r="K593" s="5" t="s">
        <v>660</v>
      </c>
      <c r="L593" s="5" t="str">
        <f>VLOOKUP($K593,'Property names'!$A$1:$D$100,2,FALSE)</f>
        <v>The amount of moisture present in the soil, often expressed as a percentage of the maximum amount the soil could hold at a given temperature.</v>
      </c>
      <c r="M593" s="5" t="str">
        <f>VLOOKUP($K593,'Property names'!$A$1:$D$100,3,FALSE)</f>
        <v>Percentage</v>
      </c>
      <c r="N593" s="5" t="str">
        <f>VLOOKUP($K593,'Property names'!$A$1:$D$100,4,FALSE)</f>
        <v>%</v>
      </c>
      <c r="O593" s="5" t="str">
        <f t="shared" si="15"/>
        <v>Mabrouka_Company_TS021_soil_moisture_15cm</v>
      </c>
      <c r="P593" s="5" t="str">
        <f t="shared" si="16"/>
        <v>The datastream containing mesures of field Mabrouka Company by sensor TS021 which measures Soil Moisture.</v>
      </c>
      <c r="Q593" s="5" t="s">
        <v>653</v>
      </c>
    </row>
    <row r="594" spans="1:17" ht="12.75">
      <c r="A594" s="5" t="s">
        <v>437</v>
      </c>
      <c r="B594" s="5" t="s">
        <v>1317</v>
      </c>
      <c r="C594" s="5" t="s">
        <v>1293</v>
      </c>
      <c r="D594" s="213">
        <v>33.341304000000001</v>
      </c>
      <c r="E594" s="213">
        <v>10.324999999999999</v>
      </c>
      <c r="F594" s="5" t="s">
        <v>543</v>
      </c>
      <c r="G594" s="5" t="s">
        <v>1302</v>
      </c>
      <c r="H594" s="5" t="s">
        <v>1210</v>
      </c>
      <c r="I594" s="5" t="s">
        <v>1210</v>
      </c>
      <c r="J594" s="5" t="s">
        <v>1312</v>
      </c>
      <c r="K594" s="5" t="s">
        <v>662</v>
      </c>
      <c r="L594" s="5" t="str">
        <f>VLOOKUP($K594,'Property names'!$A$1:$D$100,2,FALSE)</f>
        <v>The measure of temperature of the soil.</v>
      </c>
      <c r="M594" s="5" t="str">
        <f>VLOOKUP($K594,'Property names'!$A$1:$D$100,3,FALSE)</f>
        <v>Degrees Celsius</v>
      </c>
      <c r="N594" s="5" t="str">
        <f>VLOOKUP($K594,'Property names'!$A$1:$D$100,4,FALSE)</f>
        <v>ºC</v>
      </c>
      <c r="O594" s="5" t="str">
        <f t="shared" si="15"/>
        <v>Mabrouka_Company_TS021_soil_temperature_15cm</v>
      </c>
      <c r="P594" s="5" t="str">
        <f t="shared" si="16"/>
        <v>The datastream containing mesures of field Mabrouka Company by sensor TS021 which measures Soil Temperature.</v>
      </c>
      <c r="Q594" s="5" t="s">
        <v>653</v>
      </c>
    </row>
    <row r="595" spans="1:17" ht="12.75">
      <c r="A595" s="5" t="s">
        <v>437</v>
      </c>
      <c r="B595" s="5" t="s">
        <v>1317</v>
      </c>
      <c r="C595" s="5" t="s">
        <v>1293</v>
      </c>
      <c r="D595" s="213">
        <v>33.341304000000001</v>
      </c>
      <c r="E595" s="213">
        <v>10.324999999999999</v>
      </c>
      <c r="F595" s="5" t="s">
        <v>544</v>
      </c>
      <c r="G595" s="5" t="s">
        <v>1302</v>
      </c>
      <c r="H595" s="5" t="s">
        <v>1210</v>
      </c>
      <c r="I595" s="5" t="s">
        <v>1210</v>
      </c>
      <c r="J595" s="5" t="s">
        <v>1307</v>
      </c>
      <c r="K595" s="5" t="s">
        <v>660</v>
      </c>
      <c r="L595" s="5" t="str">
        <f>VLOOKUP($K595,'Property names'!$A$1:$D$100,2,FALSE)</f>
        <v>The amount of moisture present in the soil, often expressed as a percentage of the maximum amount the soil could hold at a given temperature.</v>
      </c>
      <c r="M595" s="5" t="str">
        <f>VLOOKUP($K595,'Property names'!$A$1:$D$100,3,FALSE)</f>
        <v>Percentage</v>
      </c>
      <c r="N595" s="5" t="str">
        <f>VLOOKUP($K595,'Property names'!$A$1:$D$100,4,FALSE)</f>
        <v>%</v>
      </c>
      <c r="O595" s="5" t="str">
        <f t="shared" si="15"/>
        <v>Mabrouka_Company_TS022_soil_moisture_30cm</v>
      </c>
      <c r="P595" s="5" t="str">
        <f t="shared" si="16"/>
        <v>The datastream containing mesures of field Mabrouka Company by sensor TS022 which measures Soil Moisture.</v>
      </c>
      <c r="Q595" s="5" t="s">
        <v>653</v>
      </c>
    </row>
    <row r="596" spans="1:17" ht="12.75">
      <c r="A596" s="5" t="s">
        <v>437</v>
      </c>
      <c r="B596" s="5" t="s">
        <v>1317</v>
      </c>
      <c r="C596" s="5" t="s">
        <v>1293</v>
      </c>
      <c r="D596" s="213">
        <v>33.341304000000001</v>
      </c>
      <c r="E596" s="213">
        <v>10.324999999999999</v>
      </c>
      <c r="F596" s="5" t="s">
        <v>544</v>
      </c>
      <c r="G596" s="5" t="s">
        <v>1302</v>
      </c>
      <c r="H596" s="5" t="s">
        <v>1210</v>
      </c>
      <c r="I596" s="5" t="s">
        <v>1210</v>
      </c>
      <c r="J596" s="5" t="s">
        <v>1308</v>
      </c>
      <c r="K596" s="5" t="s">
        <v>662</v>
      </c>
      <c r="L596" s="5" t="str">
        <f>VLOOKUP($K596,'Property names'!$A$1:$D$100,2,FALSE)</f>
        <v>The measure of temperature of the soil.</v>
      </c>
      <c r="M596" s="5" t="str">
        <f>VLOOKUP($K596,'Property names'!$A$1:$D$100,3,FALSE)</f>
        <v>Degrees Celsius</v>
      </c>
      <c r="N596" s="5" t="str">
        <f>VLOOKUP($K596,'Property names'!$A$1:$D$100,4,FALSE)</f>
        <v>ºC</v>
      </c>
      <c r="O596" s="5" t="str">
        <f t="shared" si="15"/>
        <v>Mabrouka_Company_TS022_soil_temperature_30cm</v>
      </c>
      <c r="P596" s="5" t="str">
        <f t="shared" si="16"/>
        <v>The datastream containing mesures of field Mabrouka Company by sensor TS022 which measures Soil Temperature.</v>
      </c>
      <c r="Q596" s="5" t="s">
        <v>653</v>
      </c>
    </row>
    <row r="597" spans="1:17" ht="12.75">
      <c r="A597" s="5" t="s">
        <v>437</v>
      </c>
      <c r="B597" s="5" t="s">
        <v>1317</v>
      </c>
      <c r="C597" s="5" t="s">
        <v>1293</v>
      </c>
      <c r="D597" s="213">
        <v>33.341304000000001</v>
      </c>
      <c r="E597" s="213">
        <v>10.324999999999999</v>
      </c>
      <c r="F597" s="5" t="s">
        <v>545</v>
      </c>
      <c r="G597" s="5" t="s">
        <v>1302</v>
      </c>
      <c r="H597" s="5" t="s">
        <v>1210</v>
      </c>
      <c r="I597" s="5" t="s">
        <v>1210</v>
      </c>
      <c r="J597" s="5" t="s">
        <v>1313</v>
      </c>
      <c r="K597" s="5" t="s">
        <v>660</v>
      </c>
      <c r="L597" s="5" t="str">
        <f>VLOOKUP($K597,'Property names'!$A$1:$D$100,2,FALSE)</f>
        <v>The amount of moisture present in the soil, often expressed as a percentage of the maximum amount the soil could hold at a given temperature.</v>
      </c>
      <c r="M597" s="5" t="str">
        <f>VLOOKUP($K597,'Property names'!$A$1:$D$100,3,FALSE)</f>
        <v>Percentage</v>
      </c>
      <c r="N597" s="5" t="str">
        <f>VLOOKUP($K597,'Property names'!$A$1:$D$100,4,FALSE)</f>
        <v>%</v>
      </c>
      <c r="O597" s="5" t="str">
        <f t="shared" si="15"/>
        <v>Mabrouka_Company_TS023_soil_moisture_45cm</v>
      </c>
      <c r="P597" s="5" t="str">
        <f t="shared" si="16"/>
        <v>The datastream containing mesures of field Mabrouka Company by sensor TS023 which measures Soil Moisture.</v>
      </c>
      <c r="Q597" s="5" t="s">
        <v>653</v>
      </c>
    </row>
    <row r="598" spans="1:17" ht="12.75">
      <c r="A598" s="5" t="s">
        <v>437</v>
      </c>
      <c r="B598" s="5" t="s">
        <v>1317</v>
      </c>
      <c r="C598" s="5" t="s">
        <v>1293</v>
      </c>
      <c r="D598" s="213">
        <v>33.341304000000001</v>
      </c>
      <c r="E598" s="213">
        <v>10.324999999999999</v>
      </c>
      <c r="F598" s="5" t="s">
        <v>545</v>
      </c>
      <c r="G598" s="5" t="s">
        <v>1302</v>
      </c>
      <c r="H598" s="5" t="s">
        <v>1210</v>
      </c>
      <c r="I598" s="5" t="s">
        <v>1210</v>
      </c>
      <c r="J598" s="5" t="s">
        <v>1314</v>
      </c>
      <c r="K598" s="5" t="s">
        <v>662</v>
      </c>
      <c r="L598" s="5" t="str">
        <f>VLOOKUP($K598,'Property names'!$A$1:$D$100,2,FALSE)</f>
        <v>The measure of temperature of the soil.</v>
      </c>
      <c r="M598" s="5" t="str">
        <f>VLOOKUP($K598,'Property names'!$A$1:$D$100,3,FALSE)</f>
        <v>Degrees Celsius</v>
      </c>
      <c r="N598" s="5" t="str">
        <f>VLOOKUP($K598,'Property names'!$A$1:$D$100,4,FALSE)</f>
        <v>ºC</v>
      </c>
      <c r="O598" s="5" t="str">
        <f t="shared" si="15"/>
        <v>Mabrouka_Company_TS023_soil_temperature_45cm</v>
      </c>
      <c r="P598" s="5" t="str">
        <f t="shared" si="16"/>
        <v>The datastream containing mesures of field Mabrouka Company by sensor TS023 which measures Soil Temperature.</v>
      </c>
      <c r="Q598" s="5" t="s">
        <v>653</v>
      </c>
    </row>
    <row r="599" spans="1:17" ht="12.75">
      <c r="A599" s="5" t="s">
        <v>437</v>
      </c>
      <c r="B599" s="5" t="s">
        <v>1317</v>
      </c>
      <c r="C599" s="5" t="s">
        <v>1293</v>
      </c>
      <c r="D599" s="213">
        <v>33.341304000000001</v>
      </c>
      <c r="E599" s="213">
        <v>10.324999999999999</v>
      </c>
      <c r="F599" s="5" t="s">
        <v>546</v>
      </c>
      <c r="G599" s="5" t="s">
        <v>1302</v>
      </c>
      <c r="H599" s="5" t="s">
        <v>1210</v>
      </c>
      <c r="I599" s="5" t="s">
        <v>1210</v>
      </c>
      <c r="J599" s="5" t="s">
        <v>1311</v>
      </c>
      <c r="K599" s="5" t="s">
        <v>660</v>
      </c>
      <c r="L599" s="5" t="str">
        <f>VLOOKUP($K599,'Property names'!$A$1:$D$100,2,FALSE)</f>
        <v>The amount of moisture present in the soil, often expressed as a percentage of the maximum amount the soil could hold at a given temperature.</v>
      </c>
      <c r="M599" s="5" t="str">
        <f>VLOOKUP($K599,'Property names'!$A$1:$D$100,3,FALSE)</f>
        <v>Percentage</v>
      </c>
      <c r="N599" s="5" t="str">
        <f>VLOOKUP($K599,'Property names'!$A$1:$D$100,4,FALSE)</f>
        <v>%</v>
      </c>
      <c r="O599" s="5" t="str">
        <f t="shared" si="15"/>
        <v>Mabrouka_Company_TS024_soil_moisture_15cm</v>
      </c>
      <c r="P599" s="5" t="str">
        <f t="shared" si="16"/>
        <v>The datastream containing mesures of field Mabrouka Company by sensor TS024 which measures Soil Moisture.</v>
      </c>
      <c r="Q599" s="5" t="s">
        <v>653</v>
      </c>
    </row>
    <row r="600" spans="1:17" ht="12.75">
      <c r="A600" s="5" t="s">
        <v>437</v>
      </c>
      <c r="B600" s="5" t="s">
        <v>1317</v>
      </c>
      <c r="C600" s="5" t="s">
        <v>1293</v>
      </c>
      <c r="D600" s="213">
        <v>33.341304000000001</v>
      </c>
      <c r="E600" s="213">
        <v>10.324999999999999</v>
      </c>
      <c r="F600" s="5" t="s">
        <v>546</v>
      </c>
      <c r="G600" s="5" t="s">
        <v>1302</v>
      </c>
      <c r="H600" s="5" t="s">
        <v>1210</v>
      </c>
      <c r="I600" s="5" t="s">
        <v>1210</v>
      </c>
      <c r="J600" s="5" t="s">
        <v>1312</v>
      </c>
      <c r="K600" s="5" t="s">
        <v>662</v>
      </c>
      <c r="L600" s="5" t="str">
        <f>VLOOKUP($K600,'Property names'!$A$1:$D$100,2,FALSE)</f>
        <v>The measure of temperature of the soil.</v>
      </c>
      <c r="M600" s="5" t="str">
        <f>VLOOKUP($K600,'Property names'!$A$1:$D$100,3,FALSE)</f>
        <v>Degrees Celsius</v>
      </c>
      <c r="N600" s="5" t="str">
        <f>VLOOKUP($K600,'Property names'!$A$1:$D$100,4,FALSE)</f>
        <v>ºC</v>
      </c>
      <c r="O600" s="5" t="str">
        <f t="shared" si="15"/>
        <v>Mabrouka_Company_TS024_soil_temperature_15cm</v>
      </c>
      <c r="P600" s="5" t="str">
        <f t="shared" si="16"/>
        <v>The datastream containing mesures of field Mabrouka Company by sensor TS024 which measures Soil Temperature.</v>
      </c>
      <c r="Q600" s="5" t="s">
        <v>653</v>
      </c>
    </row>
    <row r="601" spans="1:17" ht="12.75">
      <c r="A601" s="5" t="s">
        <v>437</v>
      </c>
      <c r="B601" s="5" t="s">
        <v>1317</v>
      </c>
      <c r="C601" s="5" t="s">
        <v>1293</v>
      </c>
      <c r="D601" s="213">
        <v>33.341304000000001</v>
      </c>
      <c r="E601" s="213">
        <v>10.324999999999999</v>
      </c>
      <c r="F601" s="5" t="s">
        <v>547</v>
      </c>
      <c r="G601" s="5" t="s">
        <v>1302</v>
      </c>
      <c r="H601" s="5" t="s">
        <v>1210</v>
      </c>
      <c r="I601" s="5" t="s">
        <v>1210</v>
      </c>
      <c r="J601" s="5" t="s">
        <v>1307</v>
      </c>
      <c r="K601" s="5" t="s">
        <v>660</v>
      </c>
      <c r="L601" s="5" t="str">
        <f>VLOOKUP($K601,'Property names'!$A$1:$D$100,2,FALSE)</f>
        <v>The amount of moisture present in the soil, often expressed as a percentage of the maximum amount the soil could hold at a given temperature.</v>
      </c>
      <c r="M601" s="5" t="str">
        <f>VLOOKUP($K601,'Property names'!$A$1:$D$100,3,FALSE)</f>
        <v>Percentage</v>
      </c>
      <c r="N601" s="5" t="str">
        <f>VLOOKUP($K601,'Property names'!$A$1:$D$100,4,FALSE)</f>
        <v>%</v>
      </c>
      <c r="O601" s="5" t="str">
        <f t="shared" si="15"/>
        <v>Mabrouka_Company_TS025_soil_moisture_30cm</v>
      </c>
      <c r="P601" s="5" t="str">
        <f t="shared" si="16"/>
        <v>The datastream containing mesures of field Mabrouka Company by sensor TS025 which measures Soil Moisture.</v>
      </c>
      <c r="Q601" s="5" t="s">
        <v>653</v>
      </c>
    </row>
    <row r="602" spans="1:17" ht="12.75">
      <c r="A602" s="5" t="s">
        <v>437</v>
      </c>
      <c r="B602" s="5" t="s">
        <v>1317</v>
      </c>
      <c r="C602" s="5" t="s">
        <v>1293</v>
      </c>
      <c r="D602" s="213">
        <v>33.341304000000001</v>
      </c>
      <c r="E602" s="213">
        <v>10.324999999999999</v>
      </c>
      <c r="F602" s="5" t="s">
        <v>547</v>
      </c>
      <c r="G602" s="5" t="s">
        <v>1302</v>
      </c>
      <c r="H602" s="5" t="s">
        <v>1210</v>
      </c>
      <c r="I602" s="5" t="s">
        <v>1210</v>
      </c>
      <c r="J602" s="5" t="s">
        <v>1308</v>
      </c>
      <c r="K602" s="5" t="s">
        <v>662</v>
      </c>
      <c r="L602" s="5" t="str">
        <f>VLOOKUP($K602,'Property names'!$A$1:$D$100,2,FALSE)</f>
        <v>The measure of temperature of the soil.</v>
      </c>
      <c r="M602" s="5" t="str">
        <f>VLOOKUP($K602,'Property names'!$A$1:$D$100,3,FALSE)</f>
        <v>Degrees Celsius</v>
      </c>
      <c r="N602" s="5" t="str">
        <f>VLOOKUP($K602,'Property names'!$A$1:$D$100,4,FALSE)</f>
        <v>ºC</v>
      </c>
      <c r="O602" s="5" t="str">
        <f t="shared" si="15"/>
        <v>Mabrouka_Company_TS025_soil_temperature_30cm</v>
      </c>
      <c r="P602" s="5" t="str">
        <f t="shared" si="16"/>
        <v>The datastream containing mesures of field Mabrouka Company by sensor TS025 which measures Soil Temperature.</v>
      </c>
      <c r="Q602" s="5" t="s">
        <v>653</v>
      </c>
    </row>
    <row r="603" spans="1:17" ht="12.75">
      <c r="A603" s="5" t="s">
        <v>437</v>
      </c>
      <c r="B603" s="5" t="s">
        <v>1317</v>
      </c>
      <c r="C603" s="5" t="s">
        <v>1293</v>
      </c>
      <c r="D603" s="213">
        <v>33.341304000000001</v>
      </c>
      <c r="E603" s="213">
        <v>10.324999999999999</v>
      </c>
      <c r="F603" s="5" t="s">
        <v>548</v>
      </c>
      <c r="G603" s="5" t="s">
        <v>1302</v>
      </c>
      <c r="H603" s="5" t="s">
        <v>1210</v>
      </c>
      <c r="I603" s="5" t="s">
        <v>1210</v>
      </c>
      <c r="J603" s="5" t="s">
        <v>1313</v>
      </c>
      <c r="K603" s="5" t="s">
        <v>660</v>
      </c>
      <c r="L603" s="5" t="str">
        <f>VLOOKUP($K603,'Property names'!$A$1:$D$100,2,FALSE)</f>
        <v>The amount of moisture present in the soil, often expressed as a percentage of the maximum amount the soil could hold at a given temperature.</v>
      </c>
      <c r="M603" s="5" t="str">
        <f>VLOOKUP($K603,'Property names'!$A$1:$D$100,3,FALSE)</f>
        <v>Percentage</v>
      </c>
      <c r="N603" s="5" t="str">
        <f>VLOOKUP($K603,'Property names'!$A$1:$D$100,4,FALSE)</f>
        <v>%</v>
      </c>
      <c r="O603" s="5" t="str">
        <f t="shared" si="15"/>
        <v>Mabrouka_Company_TS026_soil_moisture_45cm</v>
      </c>
      <c r="P603" s="5" t="str">
        <f t="shared" si="16"/>
        <v>The datastream containing mesures of field Mabrouka Company by sensor TS026 which measures Soil Moisture.</v>
      </c>
      <c r="Q603" s="5" t="s">
        <v>653</v>
      </c>
    </row>
    <row r="604" spans="1:17" ht="12.75">
      <c r="A604" s="5" t="s">
        <v>437</v>
      </c>
      <c r="B604" s="5" t="s">
        <v>1317</v>
      </c>
      <c r="C604" s="5" t="s">
        <v>1293</v>
      </c>
      <c r="D604" s="213">
        <v>33.341304000000001</v>
      </c>
      <c r="E604" s="213">
        <v>10.324999999999999</v>
      </c>
      <c r="F604" s="5" t="s">
        <v>548</v>
      </c>
      <c r="G604" s="5" t="s">
        <v>1302</v>
      </c>
      <c r="H604" s="5" t="s">
        <v>1210</v>
      </c>
      <c r="I604" s="5" t="s">
        <v>1210</v>
      </c>
      <c r="J604" s="5" t="s">
        <v>1314</v>
      </c>
      <c r="K604" s="5" t="s">
        <v>662</v>
      </c>
      <c r="L604" s="5" t="str">
        <f>VLOOKUP($K604,'Property names'!$A$1:$D$100,2,FALSE)</f>
        <v>The measure of temperature of the soil.</v>
      </c>
      <c r="M604" s="5" t="str">
        <f>VLOOKUP($K604,'Property names'!$A$1:$D$100,3,FALSE)</f>
        <v>Degrees Celsius</v>
      </c>
      <c r="N604" s="5" t="str">
        <f>VLOOKUP($K604,'Property names'!$A$1:$D$100,4,FALSE)</f>
        <v>ºC</v>
      </c>
      <c r="O604" s="5" t="str">
        <f t="shared" si="15"/>
        <v>Mabrouka_Company_TS026_soil_temperature_45cm</v>
      </c>
      <c r="P604" s="5" t="str">
        <f t="shared" si="16"/>
        <v>The datastream containing mesures of field Mabrouka Company by sensor TS026 which measures Soil Temperature.</v>
      </c>
      <c r="Q604" s="5" t="s">
        <v>653</v>
      </c>
    </row>
    <row r="605" spans="1:17" ht="12.75">
      <c r="A605" s="5" t="s">
        <v>437</v>
      </c>
      <c r="B605" s="5" t="s">
        <v>1317</v>
      </c>
      <c r="C605" s="5" t="s">
        <v>1293</v>
      </c>
      <c r="D605" s="213">
        <v>33.341304000000001</v>
      </c>
      <c r="E605" s="213">
        <v>10.324999999999999</v>
      </c>
      <c r="F605" s="5" t="s">
        <v>549</v>
      </c>
      <c r="G605" s="5" t="s">
        <v>1309</v>
      </c>
      <c r="H605" s="5" t="s">
        <v>1210</v>
      </c>
      <c r="I605" s="5" t="s">
        <v>1210</v>
      </c>
      <c r="J605" s="5" t="s">
        <v>1255</v>
      </c>
      <c r="K605" s="5" t="s">
        <v>487</v>
      </c>
      <c r="L605" s="5" t="str">
        <f>VLOOKUP($K605,'Property names'!$A$1:$D$100,2,FALSE)</f>
        <v>The continuous movement of water in a particular direction.</v>
      </c>
      <c r="M605" s="5" t="str">
        <f>VLOOKUP($K605,'Property names'!$A$1:$D$100,3,FALSE)</f>
        <v>Cubic meters per second</v>
      </c>
      <c r="N605" s="5" t="str">
        <f>VLOOKUP($K605,'Property names'!$A$1:$D$100,4,FALSE)</f>
        <v>m^3/s</v>
      </c>
      <c r="O605" s="5" t="str">
        <f t="shared" si="15"/>
        <v>Mabrouka_Company_TS030_water_flow</v>
      </c>
      <c r="P605" s="5" t="str">
        <f t="shared" si="16"/>
        <v>The datastream containing mesures of field Mabrouka Company by sensor TS030 which measures Water Flow.</v>
      </c>
      <c r="Q605" s="5" t="s">
        <v>653</v>
      </c>
    </row>
    <row r="606" spans="1:17" ht="12.75">
      <c r="A606" s="5" t="s">
        <v>437</v>
      </c>
      <c r="B606" s="5" t="s">
        <v>1317</v>
      </c>
      <c r="C606" s="5" t="s">
        <v>1293</v>
      </c>
      <c r="D606" s="213">
        <v>33.341304000000001</v>
      </c>
      <c r="E606" s="213">
        <v>10.324999999999999</v>
      </c>
      <c r="F606" s="5" t="s">
        <v>551</v>
      </c>
      <c r="G606" s="5" t="s">
        <v>1309</v>
      </c>
      <c r="H606" s="5" t="s">
        <v>1210</v>
      </c>
      <c r="I606" s="5" t="s">
        <v>1210</v>
      </c>
      <c r="J606" s="5" t="s">
        <v>1255</v>
      </c>
      <c r="K606" s="5" t="s">
        <v>487</v>
      </c>
      <c r="L606" s="5" t="str">
        <f>VLOOKUP($K606,'Property names'!$A$1:$D$100,2,FALSE)</f>
        <v>The continuous movement of water in a particular direction.</v>
      </c>
      <c r="M606" s="5" t="str">
        <f>VLOOKUP($K606,'Property names'!$A$1:$D$100,3,FALSE)</f>
        <v>Cubic meters per second</v>
      </c>
      <c r="N606" s="5" t="str">
        <f>VLOOKUP($K606,'Property names'!$A$1:$D$100,4,FALSE)</f>
        <v>m^3/s</v>
      </c>
      <c r="O606" s="5" t="str">
        <f t="shared" si="15"/>
        <v>Mabrouka_Company_TS045_water_flow</v>
      </c>
      <c r="P606" s="5" t="str">
        <f t="shared" si="16"/>
        <v>The datastream containing mesures of field Mabrouka Company by sensor TS045 which measures Water Flow.</v>
      </c>
      <c r="Q606" s="5" t="s">
        <v>653</v>
      </c>
    </row>
    <row r="607" spans="1:17" ht="12.75">
      <c r="A607" s="5" t="s">
        <v>437</v>
      </c>
      <c r="B607" s="5" t="s">
        <v>1318</v>
      </c>
      <c r="C607" s="5" t="s">
        <v>1319</v>
      </c>
      <c r="D607" s="213">
        <v>33.340522999999997</v>
      </c>
      <c r="E607" s="213">
        <v>10.357336</v>
      </c>
      <c r="F607" s="5" t="s">
        <v>558</v>
      </c>
      <c r="G607" s="5" t="s">
        <v>1309</v>
      </c>
      <c r="H607" s="5" t="s">
        <v>1210</v>
      </c>
      <c r="I607" s="5" t="s">
        <v>1210</v>
      </c>
      <c r="J607" s="5" t="s">
        <v>1255</v>
      </c>
      <c r="K607" s="5" t="s">
        <v>487</v>
      </c>
      <c r="L607" s="5" t="str">
        <f>VLOOKUP($K607,'Property names'!$A$1:$D$100,2,FALSE)</f>
        <v>The continuous movement of water in a particular direction.</v>
      </c>
      <c r="M607" s="5" t="str">
        <f>VLOOKUP($K607,'Property names'!$A$1:$D$100,3,FALSE)</f>
        <v>Cubic meters per second</v>
      </c>
      <c r="N607" s="5" t="str">
        <f>VLOOKUP($K607,'Property names'!$A$1:$D$100,4,FALSE)</f>
        <v>m^3/s</v>
      </c>
      <c r="O607" s="5" t="str">
        <f t="shared" si="15"/>
        <v>SONEDE_-_Well_Drilling_1_TS037_water_flow</v>
      </c>
      <c r="P607" s="5" t="str">
        <f t="shared" si="16"/>
        <v>The datastream containing mesures of field SONEDE - Well Drilling 1 by sensor TS037 which measures Water Flow.</v>
      </c>
      <c r="Q607" s="5" t="s">
        <v>1269</v>
      </c>
    </row>
    <row r="608" spans="1:17" ht="12.75">
      <c r="A608" s="5" t="s">
        <v>437</v>
      </c>
      <c r="B608" s="5" t="s">
        <v>1320</v>
      </c>
      <c r="C608" s="5" t="s">
        <v>1319</v>
      </c>
      <c r="D608" s="213">
        <v>33.321849</v>
      </c>
      <c r="E608" s="213">
        <v>10.384967</v>
      </c>
      <c r="F608" s="5" t="s">
        <v>566</v>
      </c>
      <c r="G608" s="5" t="s">
        <v>1309</v>
      </c>
      <c r="H608" s="5" t="s">
        <v>1210</v>
      </c>
      <c r="I608" s="5" t="s">
        <v>1210</v>
      </c>
      <c r="J608" s="5" t="s">
        <v>1255</v>
      </c>
      <c r="K608" s="5" t="s">
        <v>487</v>
      </c>
      <c r="L608" s="5" t="str">
        <f>VLOOKUP($K608,'Property names'!$A$1:$D$100,2,FALSE)</f>
        <v>The continuous movement of water in a particular direction.</v>
      </c>
      <c r="M608" s="5" t="str">
        <f>VLOOKUP($K608,'Property names'!$A$1:$D$100,3,FALSE)</f>
        <v>Cubic meters per second</v>
      </c>
      <c r="N608" s="5" t="str">
        <f>VLOOKUP($K608,'Property names'!$A$1:$D$100,4,FALSE)</f>
        <v>m^3/s</v>
      </c>
      <c r="O608" s="5" t="str">
        <f t="shared" si="15"/>
        <v>SONEDE_-_Well_Drilling_2_TS038_water_flow</v>
      </c>
      <c r="P608" s="5" t="str">
        <f t="shared" si="16"/>
        <v>The datastream containing mesures of field SONEDE - Well Drilling 2 by sensor TS038 which measures Water Flow.</v>
      </c>
      <c r="Q608" s="5" t="s">
        <v>1269</v>
      </c>
    </row>
    <row r="609" spans="1:17" ht="12.75">
      <c r="A609" s="5" t="s">
        <v>437</v>
      </c>
      <c r="B609" s="5" t="s">
        <v>1321</v>
      </c>
      <c r="C609" s="5" t="s">
        <v>1319</v>
      </c>
      <c r="D609" s="213">
        <v>33.283906999999999</v>
      </c>
      <c r="E609" s="213">
        <v>10.427504000000001</v>
      </c>
      <c r="F609" s="5" t="s">
        <v>573</v>
      </c>
      <c r="G609" s="5" t="s">
        <v>1309</v>
      </c>
      <c r="H609" s="5" t="s">
        <v>1210</v>
      </c>
      <c r="I609" s="5" t="s">
        <v>1210</v>
      </c>
      <c r="J609" s="5" t="s">
        <v>1255</v>
      </c>
      <c r="K609" s="5" t="s">
        <v>487</v>
      </c>
      <c r="L609" s="5" t="str">
        <f>VLOOKUP($K609,'Property names'!$A$1:$D$100,2,FALSE)</f>
        <v>The continuous movement of water in a particular direction.</v>
      </c>
      <c r="M609" s="5" t="str">
        <f>VLOOKUP($K609,'Property names'!$A$1:$D$100,3,FALSE)</f>
        <v>Cubic meters per second</v>
      </c>
      <c r="N609" s="5" t="str">
        <f>VLOOKUP($K609,'Property names'!$A$1:$D$100,4,FALSE)</f>
        <v>m^3/s</v>
      </c>
      <c r="O609" s="5" t="str">
        <f t="shared" si="15"/>
        <v>SONEDE_-_Well_Drilling_3_TS039_water_flow</v>
      </c>
      <c r="P609" s="5" t="str">
        <f t="shared" si="16"/>
        <v>The datastream containing mesures of field SONEDE - Well Drilling 3 by sensor TS039 which measures Water Flow.</v>
      </c>
      <c r="Q609" s="5" t="s">
        <v>1269</v>
      </c>
    </row>
    <row r="610" spans="1:17" ht="12.75">
      <c r="A610" s="5" t="s">
        <v>437</v>
      </c>
      <c r="B610" s="5" t="s">
        <v>1322</v>
      </c>
      <c r="C610" s="5" t="s">
        <v>1319</v>
      </c>
      <c r="D610" s="213">
        <v>33.306838999999997</v>
      </c>
      <c r="E610" s="213">
        <v>10.371282000000001</v>
      </c>
      <c r="F610" s="5" t="s">
        <v>580</v>
      </c>
      <c r="G610" s="5" t="s">
        <v>1309</v>
      </c>
      <c r="H610" s="5" t="s">
        <v>1210</v>
      </c>
      <c r="I610" s="5" t="s">
        <v>1210</v>
      </c>
      <c r="J610" s="5" t="s">
        <v>1255</v>
      </c>
      <c r="K610" s="5" t="s">
        <v>487</v>
      </c>
      <c r="L610" s="5" t="str">
        <f>VLOOKUP($K610,'Property names'!$A$1:$D$100,2,FALSE)</f>
        <v>The continuous movement of water in a particular direction.</v>
      </c>
      <c r="M610" s="5" t="str">
        <f>VLOOKUP($K610,'Property names'!$A$1:$D$100,3,FALSE)</f>
        <v>Cubic meters per second</v>
      </c>
      <c r="N610" s="5" t="str">
        <f>VLOOKUP($K610,'Property names'!$A$1:$D$100,4,FALSE)</f>
        <v>m^3/s</v>
      </c>
      <c r="O610" s="5" t="str">
        <f t="shared" si="15"/>
        <v>SONEDE_-_Well_Drilling_4_TS040_water_flow</v>
      </c>
      <c r="P610" s="5" t="str">
        <f t="shared" si="16"/>
        <v>The datastream containing mesures of field SONEDE - Well Drilling 4 by sensor TS040 which measures Water Flow.</v>
      </c>
      <c r="Q610" s="5" t="s">
        <v>1269</v>
      </c>
    </row>
    <row r="611" spans="1:17" ht="12.75">
      <c r="A611" s="5" t="s">
        <v>437</v>
      </c>
      <c r="B611" s="5" t="s">
        <v>1323</v>
      </c>
      <c r="C611" s="5" t="s">
        <v>1319</v>
      </c>
      <c r="D611" s="213">
        <v>33.406332999999997</v>
      </c>
      <c r="E611" s="213">
        <v>10.433408</v>
      </c>
      <c r="F611" s="5" t="s">
        <v>588</v>
      </c>
      <c r="G611" s="5" t="s">
        <v>1309</v>
      </c>
      <c r="H611" s="5" t="s">
        <v>1210</v>
      </c>
      <c r="I611" s="5" t="s">
        <v>1210</v>
      </c>
      <c r="J611" s="5" t="s">
        <v>1255</v>
      </c>
      <c r="K611" s="5" t="s">
        <v>487</v>
      </c>
      <c r="L611" s="5" t="str">
        <f>VLOOKUP($K611,'Property names'!$A$1:$D$100,2,FALSE)</f>
        <v>The continuous movement of water in a particular direction.</v>
      </c>
      <c r="M611" s="5" t="str">
        <f>VLOOKUP($K611,'Property names'!$A$1:$D$100,3,FALSE)</f>
        <v>Cubic meters per second</v>
      </c>
      <c r="N611" s="5" t="str">
        <f>VLOOKUP($K611,'Property names'!$A$1:$D$100,4,FALSE)</f>
        <v>m^3/s</v>
      </c>
      <c r="O611" s="5" t="str">
        <f t="shared" si="15"/>
        <v>SONEDE_-_Well_Drilling_5_TS031_water_flow</v>
      </c>
      <c r="P611" s="5" t="str">
        <f t="shared" si="16"/>
        <v>The datastream containing mesures of field SONEDE - Well Drilling 5 by sensor TS031 which measures Water Flow.</v>
      </c>
      <c r="Q611" s="5" t="s">
        <v>1269</v>
      </c>
    </row>
    <row r="612" spans="1:17" ht="12.75">
      <c r="A612" s="5" t="s">
        <v>437</v>
      </c>
      <c r="B612" s="5" t="s">
        <v>1324</v>
      </c>
      <c r="C612" s="5" t="s">
        <v>1319</v>
      </c>
      <c r="D612" s="213">
        <v>33.406332999999997</v>
      </c>
      <c r="E612" s="213">
        <v>10.433408</v>
      </c>
      <c r="F612" s="5" t="s">
        <v>592</v>
      </c>
      <c r="G612" s="5" t="s">
        <v>1309</v>
      </c>
      <c r="H612" s="5" t="s">
        <v>1210</v>
      </c>
      <c r="I612" s="5" t="s">
        <v>1210</v>
      </c>
      <c r="J612" s="5" t="s">
        <v>1255</v>
      </c>
      <c r="K612" s="5" t="s">
        <v>487</v>
      </c>
      <c r="L612" s="5" t="str">
        <f>VLOOKUP($K612,'Property names'!$A$1:$D$100,2,FALSE)</f>
        <v>The continuous movement of water in a particular direction.</v>
      </c>
      <c r="M612" s="5" t="str">
        <f>VLOOKUP($K612,'Property names'!$A$1:$D$100,3,FALSE)</f>
        <v>Cubic meters per second</v>
      </c>
      <c r="N612" s="5" t="str">
        <f>VLOOKUP($K612,'Property names'!$A$1:$D$100,4,FALSE)</f>
        <v>m^3/s</v>
      </c>
      <c r="O612" s="5" t="str">
        <f t="shared" si="15"/>
        <v>SONEDE_-_Well_Drilling_6_TS036_water_flow</v>
      </c>
      <c r="P612" s="5" t="str">
        <f t="shared" si="16"/>
        <v>The datastream containing mesures of field SONEDE - Well Drilling 6 by sensor TS036 which measures Water Flow.</v>
      </c>
      <c r="Q612" s="5" t="s">
        <v>1269</v>
      </c>
    </row>
    <row r="613" spans="1:17" ht="12.75">
      <c r="A613" s="5" t="s">
        <v>437</v>
      </c>
      <c r="B613" s="5" t="s">
        <v>1325</v>
      </c>
      <c r="C613" s="5" t="s">
        <v>1326</v>
      </c>
      <c r="D613" s="213">
        <v>33.245896000000002</v>
      </c>
      <c r="E613" s="213">
        <v>10.444596000000001</v>
      </c>
      <c r="F613" s="5" t="s">
        <v>602</v>
      </c>
      <c r="G613" s="5" t="s">
        <v>1327</v>
      </c>
      <c r="H613" s="5" t="s">
        <v>1210</v>
      </c>
      <c r="I613" s="5" t="s">
        <v>1210</v>
      </c>
      <c r="J613" s="5" t="s">
        <v>1328</v>
      </c>
      <c r="K613" s="5" t="s">
        <v>1329</v>
      </c>
      <c r="L613" s="5" t="str">
        <f>VLOOKUP($K613,'Property names'!$A$1:$D$100,2,FALSE)</f>
        <v>The depth at which the water table is found beneath the Earth's surface.</v>
      </c>
      <c r="M613" s="5" t="str">
        <f>VLOOKUP($K613,'Property names'!$A$1:$D$100,3,FALSE)</f>
        <v>Meters</v>
      </c>
      <c r="N613" s="5" t="str">
        <f>VLOOKUP($K613,'Property names'!$A$1:$D$100,4,FALSE)</f>
        <v>m</v>
      </c>
      <c r="O613" s="5" t="str">
        <f t="shared" si="15"/>
        <v>DRW_1_TS048_level</v>
      </c>
      <c r="P613" s="5" t="str">
        <f t="shared" si="16"/>
        <v>The datastream containing mesures of field DRW 1 by sensor TS048 which measures Groundwater Level.</v>
      </c>
      <c r="Q613" s="5" t="s">
        <v>1269</v>
      </c>
    </row>
    <row r="614" spans="1:17" ht="12.75">
      <c r="A614" s="5" t="s">
        <v>437</v>
      </c>
      <c r="B614" s="5" t="s">
        <v>1325</v>
      </c>
      <c r="C614" s="5" t="s">
        <v>1326</v>
      </c>
      <c r="D614" s="213">
        <v>33.245896000000002</v>
      </c>
      <c r="E614" s="213">
        <v>10.444596000000001</v>
      </c>
      <c r="F614" s="5" t="s">
        <v>602</v>
      </c>
      <c r="G614" s="5" t="s">
        <v>1327</v>
      </c>
      <c r="H614" s="5" t="s">
        <v>1210</v>
      </c>
      <c r="I614" s="5" t="s">
        <v>1210</v>
      </c>
      <c r="J614" s="5" t="s">
        <v>1330</v>
      </c>
      <c r="K614" s="5" t="s">
        <v>1331</v>
      </c>
      <c r="L614" s="5" t="str">
        <f>VLOOKUP($K614,'Property names'!$A$1:$D$100,2,FALSE)</f>
        <v>A standard pressure value used as a basis for comparison in meteorology.</v>
      </c>
      <c r="M614" s="5" t="str">
        <f>VLOOKUP($K614,'Property names'!$A$1:$D$100,3,FALSE)</f>
        <v>Kilopascal</v>
      </c>
      <c r="N614" s="5" t="str">
        <f>VLOOKUP($K614,'Property names'!$A$1:$D$100,4,FALSE)</f>
        <v>kPa</v>
      </c>
      <c r="O614" s="5" t="str">
        <f t="shared" si="15"/>
        <v>DRW_1_TS048_pressure</v>
      </c>
      <c r="P614" s="5" t="str">
        <f t="shared" si="16"/>
        <v>The datastream containing mesures of field DRW 1 by sensor TS048 which measures Reference Pressure.</v>
      </c>
      <c r="Q614" s="5" t="s">
        <v>1269</v>
      </c>
    </row>
    <row r="615" spans="1:17" ht="12.75">
      <c r="A615" s="5" t="s">
        <v>437</v>
      </c>
      <c r="B615" s="5" t="s">
        <v>1332</v>
      </c>
      <c r="C615" s="5" t="s">
        <v>1326</v>
      </c>
      <c r="D615" s="213">
        <v>33.318260000000002</v>
      </c>
      <c r="E615" s="213">
        <v>10.380013</v>
      </c>
      <c r="F615" s="5" t="s">
        <v>612</v>
      </c>
      <c r="G615" s="5" t="s">
        <v>1327</v>
      </c>
      <c r="H615" s="5" t="s">
        <v>1210</v>
      </c>
      <c r="I615" s="5" t="s">
        <v>1210</v>
      </c>
      <c r="J615" s="5" t="s">
        <v>1328</v>
      </c>
      <c r="K615" s="5" t="s">
        <v>1329</v>
      </c>
      <c r="L615" s="5" t="str">
        <f>VLOOKUP($K615,'Property names'!$A$1:$D$100,2,FALSE)</f>
        <v>The depth at which the water table is found beneath the Earth's surface.</v>
      </c>
      <c r="M615" s="5" t="str">
        <f>VLOOKUP($K615,'Property names'!$A$1:$D$100,3,FALSE)</f>
        <v>Meters</v>
      </c>
      <c r="N615" s="5" t="str">
        <f>VLOOKUP($K615,'Property names'!$A$1:$D$100,4,FALSE)</f>
        <v>m</v>
      </c>
      <c r="O615" s="5" t="str">
        <f t="shared" si="15"/>
        <v>DRW_2_TS049_level</v>
      </c>
      <c r="P615" s="5" t="str">
        <f t="shared" si="16"/>
        <v>The datastream containing mesures of field DRW 2 by sensor TS049 which measures Groundwater Level.</v>
      </c>
      <c r="Q615" s="5" t="s">
        <v>1269</v>
      </c>
    </row>
    <row r="616" spans="1:17" ht="12.75">
      <c r="A616" s="5" t="s">
        <v>437</v>
      </c>
      <c r="B616" s="5" t="s">
        <v>1332</v>
      </c>
      <c r="C616" s="5" t="s">
        <v>1326</v>
      </c>
      <c r="D616" s="213">
        <v>33.318260000000002</v>
      </c>
      <c r="E616" s="213">
        <v>10.380013</v>
      </c>
      <c r="F616" s="5" t="s">
        <v>612</v>
      </c>
      <c r="G616" s="5" t="s">
        <v>1327</v>
      </c>
      <c r="H616" s="5" t="s">
        <v>1210</v>
      </c>
      <c r="I616" s="5" t="s">
        <v>1210</v>
      </c>
      <c r="J616" s="5" t="s">
        <v>1330</v>
      </c>
      <c r="K616" s="5" t="s">
        <v>1331</v>
      </c>
      <c r="L616" s="5" t="str">
        <f>VLOOKUP($K616,'Property names'!$A$1:$D$100,2,FALSE)</f>
        <v>A standard pressure value used as a basis for comparison in meteorology.</v>
      </c>
      <c r="M616" s="5" t="str">
        <f>VLOOKUP($K616,'Property names'!$A$1:$D$100,3,FALSE)</f>
        <v>Kilopascal</v>
      </c>
      <c r="N616" s="5" t="str">
        <f>VLOOKUP($K616,'Property names'!$A$1:$D$100,4,FALSE)</f>
        <v>kPa</v>
      </c>
      <c r="O616" s="5" t="str">
        <f t="shared" si="15"/>
        <v>DRW_2_TS049_pressure</v>
      </c>
      <c r="P616" s="5" t="str">
        <f t="shared" si="16"/>
        <v>The datastream containing mesures of field DRW 2 by sensor TS049 which measures Reference Pressure.</v>
      </c>
      <c r="Q616" s="5" t="s">
        <v>1269</v>
      </c>
    </row>
    <row r="617" spans="1:17" ht="12.75">
      <c r="A617" s="5" t="s">
        <v>437</v>
      </c>
      <c r="B617" s="5" t="s">
        <v>1333</v>
      </c>
      <c r="C617" s="5" t="s">
        <v>1334</v>
      </c>
      <c r="D617" s="213">
        <v>33.241616</v>
      </c>
      <c r="E617" s="213">
        <v>10.443274000000001</v>
      </c>
      <c r="F617" s="213" t="s">
        <v>622</v>
      </c>
      <c r="G617" s="5" t="s">
        <v>1335</v>
      </c>
      <c r="H617" s="5" t="s">
        <v>1210</v>
      </c>
      <c r="I617" s="5" t="s">
        <v>1210</v>
      </c>
      <c r="J617" s="5" t="s">
        <v>1267</v>
      </c>
      <c r="K617" s="5" t="s">
        <v>1268</v>
      </c>
      <c r="L617" s="5" t="str">
        <f>VLOOKUP($K617,'Property names'!$A$1:$D$100,2,FALSE)</f>
        <v>Measure of the acidity or alkalinity of a solution.</v>
      </c>
      <c r="M617" s="5" t="str">
        <f>VLOOKUP($K617,'Property names'!$A$1:$D$100,3,FALSE)</f>
        <v>-</v>
      </c>
      <c r="N617" s="5" t="str">
        <f>VLOOKUP($K617,'Property names'!$A$1:$D$100,4,FALSE)</f>
        <v>-</v>
      </c>
      <c r="O617" s="5" t="str">
        <f t="shared" si="15"/>
        <v>WWQ_1_TS046_ph</v>
      </c>
      <c r="P617" s="5" t="str">
        <f t="shared" si="16"/>
        <v>The datastream containing mesures of field WWQ 1 by sensor TS046 which measures pH.</v>
      </c>
      <c r="Q617" s="5" t="s">
        <v>1269</v>
      </c>
    </row>
    <row r="618" spans="1:17" ht="12.75">
      <c r="A618" s="5" t="s">
        <v>437</v>
      </c>
      <c r="B618" s="5" t="s">
        <v>1333</v>
      </c>
      <c r="C618" s="5" t="s">
        <v>1334</v>
      </c>
      <c r="D618" s="213">
        <v>33.241616</v>
      </c>
      <c r="E618" s="213">
        <v>10.443274000000001</v>
      </c>
      <c r="F618" s="213" t="s">
        <v>622</v>
      </c>
      <c r="G618" s="5" t="s">
        <v>1335</v>
      </c>
      <c r="H618" s="5" t="s">
        <v>1210</v>
      </c>
      <c r="I618" s="5" t="s">
        <v>1210</v>
      </c>
      <c r="J618" s="5" t="s">
        <v>1276</v>
      </c>
      <c r="K618" s="5" t="s">
        <v>1277</v>
      </c>
      <c r="L618" s="5" t="str">
        <f>VLOOKUP($K618,'Property names'!$A$1:$D$100,2,FALSE)</f>
        <v>The measure of the hotness or coldness of something.</v>
      </c>
      <c r="M618" s="5" t="str">
        <f>VLOOKUP($K618,'Property names'!$A$1:$D$100,3,FALSE)</f>
        <v>Degrees Celsius</v>
      </c>
      <c r="N618" s="5" t="str">
        <f>VLOOKUP($K618,'Property names'!$A$1:$D$100,4,FALSE)</f>
        <v>ºC</v>
      </c>
      <c r="O618" s="5" t="str">
        <f t="shared" si="15"/>
        <v>WWQ_1_TS046_temperature</v>
      </c>
      <c r="P618" s="5" t="str">
        <f t="shared" si="16"/>
        <v>The datastream containing mesures of field WWQ 1 by sensor TS046 which measures Temperature.</v>
      </c>
      <c r="Q618" s="5" t="s">
        <v>1269</v>
      </c>
    </row>
    <row r="619" spans="1:17" ht="12.75">
      <c r="A619" s="5" t="s">
        <v>437</v>
      </c>
      <c r="B619" s="5" t="s">
        <v>1333</v>
      </c>
      <c r="C619" s="5" t="s">
        <v>1334</v>
      </c>
      <c r="D619" s="213">
        <v>33.241616</v>
      </c>
      <c r="E619" s="213">
        <v>10.443274000000001</v>
      </c>
      <c r="F619" s="213" t="s">
        <v>622</v>
      </c>
      <c r="G619" s="5" t="s">
        <v>1335</v>
      </c>
      <c r="H619" s="5" t="s">
        <v>1210</v>
      </c>
      <c r="I619" s="5" t="s">
        <v>1210</v>
      </c>
      <c r="J619" s="5" t="s">
        <v>1336</v>
      </c>
      <c r="K619" s="5" t="s">
        <v>1271</v>
      </c>
      <c r="L619" s="5" t="str">
        <f>VLOOKUP($K619,'Property names'!$A$1:$D$100,2,FALSE)</f>
        <v>Measure of the ability of a solution to conduct electricity.</v>
      </c>
      <c r="M619" s="5" t="str">
        <f>VLOOKUP($K619,'Property names'!$A$1:$D$100,3,FALSE)</f>
        <v>Microsiemens per centimeter</v>
      </c>
      <c r="N619" s="5" t="str">
        <f>VLOOKUP($K619,'Property names'!$A$1:$D$100,4,FALSE)</f>
        <v>μS/cm</v>
      </c>
      <c r="O619" s="5" t="str">
        <f t="shared" si="15"/>
        <v>WWQ_1_TS046_electric_conductivity</v>
      </c>
      <c r="P619" s="5" t="str">
        <f t="shared" si="16"/>
        <v>The datastream containing mesures of field WWQ 1 by sensor TS046 which measures Electric Conductivity.</v>
      </c>
      <c r="Q619" s="5" t="s">
        <v>1269</v>
      </c>
    </row>
    <row r="620" spans="1:17" ht="12.75">
      <c r="A620" s="5" t="s">
        <v>437</v>
      </c>
      <c r="B620" s="5" t="s">
        <v>1333</v>
      </c>
      <c r="C620" s="5" t="s">
        <v>1334</v>
      </c>
      <c r="D620" s="213">
        <v>33.241616</v>
      </c>
      <c r="E620" s="213">
        <v>10.443274000000001</v>
      </c>
      <c r="F620" s="213" t="s">
        <v>622</v>
      </c>
      <c r="G620" s="5" t="s">
        <v>1335</v>
      </c>
      <c r="H620" s="5" t="s">
        <v>1210</v>
      </c>
      <c r="I620" s="5" t="s">
        <v>1210</v>
      </c>
      <c r="J620" s="5" t="s">
        <v>1337</v>
      </c>
      <c r="K620" s="5" t="s">
        <v>1275</v>
      </c>
      <c r="L620" s="5" t="str">
        <f>VLOOKUP($K620,'Property names'!$A$1:$D$100,2,FALSE)</f>
        <v>Concentration of nitrogen.</v>
      </c>
      <c r="M620" s="5" t="str">
        <f>VLOOKUP($K620,'Property names'!$A$1:$D$100,3,FALSE)</f>
        <v>Milligrams per liter</v>
      </c>
      <c r="N620" s="5" t="str">
        <f>VLOOKUP($K620,'Property names'!$A$1:$D$100,4,FALSE)</f>
        <v>mg/L</v>
      </c>
      <c r="O620" s="5" t="str">
        <f t="shared" si="15"/>
        <v>WWQ_1_TS046_nitrate</v>
      </c>
      <c r="P620" s="5" t="str">
        <f t="shared" si="16"/>
        <v>The datastream containing mesures of field WWQ 1 by sensor TS046 which measures NO4 / Nitrate.</v>
      </c>
      <c r="Q620" s="5" t="s">
        <v>1269</v>
      </c>
    </row>
    <row r="621" spans="1:17" ht="12.75">
      <c r="A621" s="5" t="s">
        <v>437</v>
      </c>
      <c r="B621" s="5" t="s">
        <v>1333</v>
      </c>
      <c r="C621" s="5" t="s">
        <v>1334</v>
      </c>
      <c r="D621" s="213">
        <v>33.241616</v>
      </c>
      <c r="E621" s="213">
        <v>10.443274000000001</v>
      </c>
      <c r="F621" s="213" t="s">
        <v>622</v>
      </c>
      <c r="G621" s="5" t="s">
        <v>1335</v>
      </c>
      <c r="H621" s="5" t="s">
        <v>1210</v>
      </c>
      <c r="I621" s="5" t="s">
        <v>1210</v>
      </c>
      <c r="J621" s="5" t="s">
        <v>1279</v>
      </c>
      <c r="K621" s="5" t="s">
        <v>1329</v>
      </c>
      <c r="L621" s="5" t="str">
        <f>VLOOKUP($K621,'Property names'!$A$1:$D$100,2,FALSE)</f>
        <v>The depth at which the water table is found beneath the Earth's surface.</v>
      </c>
      <c r="M621" s="5" t="str">
        <f>VLOOKUP($K621,'Property names'!$A$1:$D$100,3,FALSE)</f>
        <v>Meters</v>
      </c>
      <c r="N621" s="5" t="str">
        <f>VLOOKUP($K621,'Property names'!$A$1:$D$100,4,FALSE)</f>
        <v>m</v>
      </c>
      <c r="O621" s="5" t="str">
        <f t="shared" si="15"/>
        <v>WWQ_1_TS046_water_level</v>
      </c>
      <c r="P621" s="5" t="str">
        <f t="shared" si="16"/>
        <v>The datastream containing mesures of field WWQ 1 by sensor TS046 which measures Groundwater Level.</v>
      </c>
      <c r="Q621" s="5" t="s">
        <v>1269</v>
      </c>
    </row>
    <row r="622" spans="1:17" ht="12.75">
      <c r="A622" s="5" t="s">
        <v>437</v>
      </c>
      <c r="B622" s="5" t="s">
        <v>1338</v>
      </c>
      <c r="C622" s="5" t="s">
        <v>1334</v>
      </c>
      <c r="D622" s="213">
        <v>33.306815999999998</v>
      </c>
      <c r="E622" s="213">
        <v>10.371316</v>
      </c>
      <c r="F622" s="213" t="s">
        <v>632</v>
      </c>
      <c r="G622" s="5" t="s">
        <v>1335</v>
      </c>
      <c r="H622" s="5" t="s">
        <v>1210</v>
      </c>
      <c r="I622" s="5" t="s">
        <v>1210</v>
      </c>
      <c r="J622" s="5" t="s">
        <v>1267</v>
      </c>
      <c r="K622" s="5" t="s">
        <v>1268</v>
      </c>
      <c r="L622" s="5" t="str">
        <f>VLOOKUP($K622,'Property names'!$A$1:$D$100,2,FALSE)</f>
        <v>Measure of the acidity or alkalinity of a solution.</v>
      </c>
      <c r="M622" s="5" t="str">
        <f>VLOOKUP($K622,'Property names'!$A$1:$D$100,3,FALSE)</f>
        <v>-</v>
      </c>
      <c r="N622" s="5" t="str">
        <f>VLOOKUP($K622,'Property names'!$A$1:$D$100,4,FALSE)</f>
        <v>-</v>
      </c>
      <c r="O622" s="5" t="str">
        <f t="shared" si="15"/>
        <v>WWQ_2_TS047_ph</v>
      </c>
      <c r="P622" s="5" t="str">
        <f t="shared" si="16"/>
        <v>The datastream containing mesures of field WWQ 2 by sensor TS047 which measures pH.</v>
      </c>
      <c r="Q622" s="5" t="s">
        <v>1269</v>
      </c>
    </row>
    <row r="623" spans="1:17" ht="12.75">
      <c r="A623" s="5" t="s">
        <v>437</v>
      </c>
      <c r="B623" s="5" t="s">
        <v>1338</v>
      </c>
      <c r="C623" s="5" t="s">
        <v>1334</v>
      </c>
      <c r="D623" s="213">
        <v>33.306815999999998</v>
      </c>
      <c r="E623" s="213">
        <v>10.371316</v>
      </c>
      <c r="F623" s="213" t="s">
        <v>632</v>
      </c>
      <c r="G623" s="5" t="s">
        <v>1335</v>
      </c>
      <c r="H623" s="5" t="s">
        <v>1210</v>
      </c>
      <c r="I623" s="5" t="s">
        <v>1210</v>
      </c>
      <c r="J623" s="5" t="s">
        <v>1276</v>
      </c>
      <c r="K623" s="5" t="s">
        <v>1277</v>
      </c>
      <c r="L623" s="5" t="str">
        <f>VLOOKUP($K623,'Property names'!$A$1:$D$100,2,FALSE)</f>
        <v>The measure of the hotness or coldness of something.</v>
      </c>
      <c r="M623" s="5" t="str">
        <f>VLOOKUP($K623,'Property names'!$A$1:$D$100,3,FALSE)</f>
        <v>Degrees Celsius</v>
      </c>
      <c r="N623" s="5" t="str">
        <f>VLOOKUP($K623,'Property names'!$A$1:$D$100,4,FALSE)</f>
        <v>ºC</v>
      </c>
      <c r="O623" s="5" t="str">
        <f t="shared" si="15"/>
        <v>WWQ_2_TS047_temperature</v>
      </c>
      <c r="P623" s="5" t="str">
        <f t="shared" si="16"/>
        <v>The datastream containing mesures of field WWQ 2 by sensor TS047 which measures Temperature.</v>
      </c>
      <c r="Q623" s="5" t="s">
        <v>1269</v>
      </c>
    </row>
    <row r="624" spans="1:17" ht="12.75">
      <c r="A624" s="5" t="s">
        <v>437</v>
      </c>
      <c r="B624" s="5" t="s">
        <v>1338</v>
      </c>
      <c r="C624" s="5" t="s">
        <v>1334</v>
      </c>
      <c r="D624" s="213">
        <v>33.306815999999998</v>
      </c>
      <c r="E624" s="213">
        <v>10.371316</v>
      </c>
      <c r="F624" s="213" t="s">
        <v>632</v>
      </c>
      <c r="G624" s="5" t="s">
        <v>1335</v>
      </c>
      <c r="H624" s="5" t="s">
        <v>1210</v>
      </c>
      <c r="I624" s="5" t="s">
        <v>1210</v>
      </c>
      <c r="J624" s="5" t="s">
        <v>1336</v>
      </c>
      <c r="K624" s="5" t="s">
        <v>1271</v>
      </c>
      <c r="L624" s="5" t="str">
        <f>VLOOKUP($K624,'Property names'!$A$1:$D$100,2,FALSE)</f>
        <v>Measure of the ability of a solution to conduct electricity.</v>
      </c>
      <c r="M624" s="5" t="str">
        <f>VLOOKUP($K624,'Property names'!$A$1:$D$100,3,FALSE)</f>
        <v>Microsiemens per centimeter</v>
      </c>
      <c r="N624" s="5" t="str">
        <f>VLOOKUP($K624,'Property names'!$A$1:$D$100,4,FALSE)</f>
        <v>μS/cm</v>
      </c>
      <c r="O624" s="5" t="str">
        <f t="shared" si="15"/>
        <v>WWQ_2_TS047_electric_conductivity</v>
      </c>
      <c r="P624" s="5" t="str">
        <f t="shared" si="16"/>
        <v>The datastream containing mesures of field WWQ 2 by sensor TS047 which measures Electric Conductivity.</v>
      </c>
      <c r="Q624" s="5" t="s">
        <v>1269</v>
      </c>
    </row>
    <row r="625" spans="1:17" ht="12.75">
      <c r="A625" s="5" t="s">
        <v>437</v>
      </c>
      <c r="B625" s="5" t="s">
        <v>1338</v>
      </c>
      <c r="C625" s="5" t="s">
        <v>1334</v>
      </c>
      <c r="D625" s="213">
        <v>33.306815999999998</v>
      </c>
      <c r="E625" s="213">
        <v>10.371316</v>
      </c>
      <c r="F625" s="213" t="s">
        <v>632</v>
      </c>
      <c r="G625" s="5" t="s">
        <v>1335</v>
      </c>
      <c r="H625" s="5" t="s">
        <v>1210</v>
      </c>
      <c r="I625" s="5" t="s">
        <v>1210</v>
      </c>
      <c r="J625" s="5" t="s">
        <v>1337</v>
      </c>
      <c r="K625" s="5" t="s">
        <v>1275</v>
      </c>
      <c r="L625" s="5" t="str">
        <f>VLOOKUP($K625,'Property names'!$A$1:$D$100,2,FALSE)</f>
        <v>Concentration of nitrogen.</v>
      </c>
      <c r="M625" s="5" t="str">
        <f>VLOOKUP($K625,'Property names'!$A$1:$D$100,3,FALSE)</f>
        <v>Milligrams per liter</v>
      </c>
      <c r="N625" s="5" t="str">
        <f>VLOOKUP($K625,'Property names'!$A$1:$D$100,4,FALSE)</f>
        <v>mg/L</v>
      </c>
      <c r="O625" s="5" t="str">
        <f t="shared" si="15"/>
        <v>WWQ_2_TS047_nitrate</v>
      </c>
      <c r="P625" s="5" t="str">
        <f t="shared" si="16"/>
        <v>The datastream containing mesures of field WWQ 2 by sensor TS047 which measures NO4 / Nitrate.</v>
      </c>
      <c r="Q625" s="5" t="s">
        <v>1269</v>
      </c>
    </row>
    <row r="626" spans="1:17" ht="12.75">
      <c r="A626" s="5" t="s">
        <v>437</v>
      </c>
      <c r="B626" s="5" t="s">
        <v>1338</v>
      </c>
      <c r="C626" s="5" t="s">
        <v>1334</v>
      </c>
      <c r="D626" s="213">
        <v>33.306815999999998</v>
      </c>
      <c r="E626" s="213">
        <v>10.371316</v>
      </c>
      <c r="F626" s="213" t="s">
        <v>632</v>
      </c>
      <c r="G626" s="5" t="s">
        <v>1335</v>
      </c>
      <c r="H626" s="5" t="s">
        <v>1210</v>
      </c>
      <c r="I626" s="5" t="s">
        <v>1210</v>
      </c>
      <c r="J626" s="5" t="s">
        <v>1279</v>
      </c>
      <c r="K626" s="5" t="s">
        <v>1329</v>
      </c>
      <c r="L626" s="5" t="str">
        <f>VLOOKUP($K626,'Property names'!$A$1:$D$100,2,FALSE)</f>
        <v>The depth at which the water table is found beneath the Earth's surface.</v>
      </c>
      <c r="M626" s="5" t="str">
        <f>VLOOKUP($K626,'Property names'!$A$1:$D$100,3,FALSE)</f>
        <v>Meters</v>
      </c>
      <c r="N626" s="5" t="str">
        <f>VLOOKUP($K626,'Property names'!$A$1:$D$100,4,FALSE)</f>
        <v>m</v>
      </c>
      <c r="O626" s="5" t="str">
        <f t="shared" si="15"/>
        <v>WWQ_2_TS047_water_level</v>
      </c>
      <c r="P626" s="5" t="str">
        <f t="shared" si="16"/>
        <v>The datastream containing mesures of field WWQ 2 by sensor TS047 which measures Groundwater Level.</v>
      </c>
      <c r="Q626" s="5" t="s">
        <v>1269</v>
      </c>
    </row>
    <row r="627" spans="1:17" ht="12.75">
      <c r="A627" s="5" t="s">
        <v>437</v>
      </c>
      <c r="B627" s="5" t="s">
        <v>1339</v>
      </c>
      <c r="C627" s="5" t="s">
        <v>1340</v>
      </c>
      <c r="D627" s="213">
        <v>33.545830000000002</v>
      </c>
      <c r="E627" s="213">
        <v>9.9681200000000008</v>
      </c>
      <c r="F627" s="213" t="s">
        <v>1341</v>
      </c>
      <c r="G627" s="5" t="s">
        <v>1210</v>
      </c>
      <c r="H627" s="5" t="s">
        <v>1210</v>
      </c>
      <c r="I627" s="5" t="s">
        <v>1210</v>
      </c>
      <c r="J627" s="5" t="s">
        <v>1276</v>
      </c>
      <c r="K627" s="5" t="s">
        <v>1277</v>
      </c>
      <c r="L627" s="5" t="str">
        <f>VLOOKUP($K627,'Property names'!$A$1:$D$100,2,FALSE)</f>
        <v>The measure of the hotness or coldness of something.</v>
      </c>
      <c r="M627" s="5" t="str">
        <f>VLOOKUP($K627,'Property names'!$A$1:$D$100,3,FALSE)</f>
        <v>Degrees Celsius</v>
      </c>
      <c r="N627" s="5" t="str">
        <f>VLOOKUP($K627,'Property names'!$A$1:$D$100,4,FALSE)</f>
        <v>ºC</v>
      </c>
      <c r="O627" s="5" t="str">
        <f t="shared" si="15"/>
        <v>Old_Matmata_TSXX_temperature</v>
      </c>
      <c r="P627" s="5" t="str">
        <f t="shared" si="16"/>
        <v>The datastream containing mesures of field Old Matmata by sensor TSXX which measures Temperature.</v>
      </c>
      <c r="Q627" s="5" t="s">
        <v>653</v>
      </c>
    </row>
    <row r="628" spans="1:17" ht="12.75">
      <c r="A628" s="5" t="s">
        <v>437</v>
      </c>
      <c r="B628" s="5" t="s">
        <v>1339</v>
      </c>
      <c r="C628" s="5" t="s">
        <v>1340</v>
      </c>
      <c r="D628" s="213">
        <v>33.545830000000002</v>
      </c>
      <c r="E628" s="213">
        <v>9.9681200000000008</v>
      </c>
      <c r="F628" s="213" t="s">
        <v>1341</v>
      </c>
      <c r="G628" s="5" t="s">
        <v>1210</v>
      </c>
      <c r="H628" s="5" t="s">
        <v>1210</v>
      </c>
      <c r="I628" s="5" t="s">
        <v>1210</v>
      </c>
      <c r="J628" s="5" t="s">
        <v>1299</v>
      </c>
      <c r="K628" s="5" t="s">
        <v>1300</v>
      </c>
      <c r="L628" s="5" t="str">
        <f>VLOOKUP($K628,'Property names'!$A$1:$D$100,2,FALSE)</f>
        <v>The highest rate at which rain or other forms of precipitation fall in a given period.</v>
      </c>
      <c r="M628" s="5" t="str">
        <f>VLOOKUP($K628,'Property names'!$A$1:$D$100,3,FALSE)</f>
        <v>Millimeters per hour</v>
      </c>
      <c r="N628" s="5" t="str">
        <f>VLOOKUP($K628,'Property names'!$A$1:$D$100,4,FALSE)</f>
        <v>mm/h</v>
      </c>
      <c r="O628" s="5" t="str">
        <f t="shared" si="15"/>
        <v>Old_Matmata_TSXX_rain_intensity</v>
      </c>
      <c r="P628" s="5" t="str">
        <f t="shared" si="16"/>
        <v>The datastream containing mesures of field Old Matmata by sensor TSXX which measures Max Precipitation Rate.</v>
      </c>
      <c r="Q628" s="5" t="s">
        <v>653</v>
      </c>
    </row>
    <row r="629" spans="1:17" ht="12.75">
      <c r="A629" s="5" t="s">
        <v>437</v>
      </c>
      <c r="B629" s="5" t="s">
        <v>1339</v>
      </c>
      <c r="C629" s="5" t="s">
        <v>1340</v>
      </c>
      <c r="D629" s="213">
        <v>33.545830000000002</v>
      </c>
      <c r="E629" s="213">
        <v>9.9681200000000008</v>
      </c>
      <c r="F629" s="213" t="s">
        <v>1341</v>
      </c>
      <c r="G629" s="5" t="s">
        <v>1210</v>
      </c>
      <c r="H629" s="5" t="s">
        <v>1210</v>
      </c>
      <c r="I629" s="5" t="s">
        <v>1210</v>
      </c>
      <c r="J629" s="5" t="s">
        <v>1301</v>
      </c>
      <c r="K629" s="5" t="s">
        <v>711</v>
      </c>
      <c r="L629" s="5" t="str">
        <f>VLOOKUP($K629,'Property names'!$A$1:$D$100,2,FALSE)</f>
        <v>Cumulatime Rainfall.</v>
      </c>
      <c r="M629" s="5" t="str">
        <f>VLOOKUP($K629,'Property names'!$A$1:$D$100,3,FALSE)</f>
        <v>Millimeters</v>
      </c>
      <c r="N629" s="5" t="str">
        <f>VLOOKUP($K629,'Property names'!$A$1:$D$100,4,FALSE)</f>
        <v>mm</v>
      </c>
      <c r="O629" s="5" t="str">
        <f t="shared" si="15"/>
        <v>Old_Matmata_TSXX_cumulative_rainfall</v>
      </c>
      <c r="P629" s="5" t="str">
        <f t="shared" si="16"/>
        <v>The datastream containing mesures of field Old Matmata by sensor TSXX which measures Cumulative Rainfall.</v>
      </c>
      <c r="Q629" s="5" t="s">
        <v>653</v>
      </c>
    </row>
    <row r="630" spans="1:17" ht="12.75">
      <c r="A630" s="5" t="s">
        <v>437</v>
      </c>
      <c r="B630" s="5" t="s">
        <v>1339</v>
      </c>
      <c r="C630" s="5" t="s">
        <v>1340</v>
      </c>
      <c r="D630" s="213">
        <v>33.545830000000002</v>
      </c>
      <c r="E630" s="213">
        <v>9.9681200000000008</v>
      </c>
      <c r="F630" s="213" t="s">
        <v>1341</v>
      </c>
      <c r="G630" s="5" t="s">
        <v>1210</v>
      </c>
      <c r="H630" s="5" t="s">
        <v>1210</v>
      </c>
      <c r="I630" s="5" t="s">
        <v>1210</v>
      </c>
      <c r="J630" s="5" t="s">
        <v>1295</v>
      </c>
      <c r="K630" s="5" t="s">
        <v>1296</v>
      </c>
      <c r="L630" s="5" t="str">
        <f>VLOOKUP($K630,'Property names'!$A$1:$D$100,2,FALSE)</f>
        <v>The rate at which the air is moving horizontally, often measured in miles per hour or meters per second.</v>
      </c>
      <c r="M630" s="5" t="str">
        <f>VLOOKUP($K630,'Property names'!$A$1:$D$100,3,FALSE)</f>
        <v>Meters per second</v>
      </c>
      <c r="N630" s="5" t="str">
        <f>VLOOKUP($K630,'Property names'!$A$1:$D$100,4,FALSE)</f>
        <v>m/s</v>
      </c>
      <c r="O630" s="5" t="str">
        <f t="shared" si="15"/>
        <v>Old_Matmata_TSXX_wind_speed</v>
      </c>
      <c r="P630" s="5" t="str">
        <f t="shared" si="16"/>
        <v>The datastream containing mesures of field Old Matmata by sensor TSXX which measures Wind Speed.</v>
      </c>
      <c r="Q630" s="5" t="s">
        <v>653</v>
      </c>
    </row>
    <row r="631" spans="1:17" ht="12.75">
      <c r="A631" s="5" t="s">
        <v>437</v>
      </c>
      <c r="B631" s="5" t="s">
        <v>1339</v>
      </c>
      <c r="C631" s="5" t="s">
        <v>1340</v>
      </c>
      <c r="D631" s="213">
        <v>33.545830000000002</v>
      </c>
      <c r="E631" s="213">
        <v>9.9681200000000008</v>
      </c>
      <c r="F631" s="213" t="s">
        <v>1341</v>
      </c>
      <c r="G631" s="5" t="s">
        <v>1210</v>
      </c>
      <c r="H631" s="5" t="s">
        <v>1210</v>
      </c>
      <c r="I631" s="5" t="s">
        <v>1210</v>
      </c>
      <c r="J631" s="5" t="s">
        <v>708</v>
      </c>
      <c r="K631" s="5" t="s">
        <v>709</v>
      </c>
      <c r="L631" s="5" t="str">
        <f>VLOOKUP($K631,'Property names'!$A$1:$D$100,2,FALSE)</f>
        <v>Energy from the sun in the form of electromagnetic waves.</v>
      </c>
      <c r="M631" s="5" t="str">
        <f>VLOOKUP($K631,'Property names'!$A$1:$D$100,3,FALSE)</f>
        <v>Watts per square meter</v>
      </c>
      <c r="N631" s="5" t="str">
        <f>VLOOKUP($K631,'Property names'!$A$1:$D$100,4,FALSE)</f>
        <v>W/m²</v>
      </c>
      <c r="O631" s="5" t="str">
        <f t="shared" si="15"/>
        <v>Old_Matmata_TSXX_solar_radiation</v>
      </c>
      <c r="P631" s="5" t="str">
        <f t="shared" si="16"/>
        <v>The datastream containing mesures of field Old Matmata by sensor TSXX which measures Solar Radiation.</v>
      </c>
      <c r="Q631" s="5" t="s">
        <v>653</v>
      </c>
    </row>
    <row r="632" spans="1:17" ht="12.75">
      <c r="A632" s="5" t="s">
        <v>437</v>
      </c>
      <c r="B632" s="5" t="s">
        <v>1339</v>
      </c>
      <c r="C632" s="5" t="s">
        <v>1340</v>
      </c>
      <c r="D632" s="213">
        <v>33.545830000000002</v>
      </c>
      <c r="E632" s="213">
        <v>9.9681200000000008</v>
      </c>
      <c r="F632" s="213" t="s">
        <v>1341</v>
      </c>
      <c r="G632" s="5" t="s">
        <v>1210</v>
      </c>
      <c r="H632" s="5" t="s">
        <v>1210</v>
      </c>
      <c r="I632" s="5" t="s">
        <v>1210</v>
      </c>
      <c r="J632" s="5" t="s">
        <v>1297</v>
      </c>
      <c r="K632" s="5" t="s">
        <v>1230</v>
      </c>
      <c r="L632" s="5" t="str">
        <f>VLOOKUP($K632,'Property names'!$A$1:$D$100,2,FALSE)</f>
        <v>The compass direction from which the wind is blowing.</v>
      </c>
      <c r="M632" s="5" t="str">
        <f>VLOOKUP($K632,'Property names'!$A$1:$D$100,3,FALSE)</f>
        <v>Degrees</v>
      </c>
      <c r="N632" s="5" t="str">
        <f>VLOOKUP($K632,'Property names'!$A$1:$D$100,4,FALSE)</f>
        <v>º</v>
      </c>
      <c r="O632" s="5" t="str">
        <f t="shared" si="15"/>
        <v>Old_Matmata_TSXX_wind_direction</v>
      </c>
      <c r="P632" s="5" t="str">
        <f t="shared" si="16"/>
        <v>The datastream containing mesures of field Old Matmata by sensor TSXX which measures Wind Direction.</v>
      </c>
      <c r="Q632" s="5" t="s">
        <v>653</v>
      </c>
    </row>
    <row r="633" spans="1:17" ht="12.75">
      <c r="A633" s="5" t="s">
        <v>437</v>
      </c>
      <c r="B633" s="5" t="s">
        <v>1339</v>
      </c>
      <c r="C633" s="5" t="s">
        <v>1340</v>
      </c>
      <c r="D633" s="213">
        <v>33.545830000000002</v>
      </c>
      <c r="E633" s="213">
        <v>9.9681200000000008</v>
      </c>
      <c r="F633" s="213" t="s">
        <v>1341</v>
      </c>
      <c r="G633" s="5" t="s">
        <v>1210</v>
      </c>
      <c r="H633" s="5" t="s">
        <v>1210</v>
      </c>
      <c r="I633" s="5" t="s">
        <v>1210</v>
      </c>
      <c r="J633" s="5" t="s">
        <v>654</v>
      </c>
      <c r="K633" s="5" t="s">
        <v>655</v>
      </c>
      <c r="L633" s="5" t="str">
        <f>VLOOKUP($K633,'Property names'!$A$1:$D$100,2,FALSE)</f>
        <v>The amount of moisture or water vapor present in the air, often expressed as a percentage of the maximum amount the air could hold at a given temperature.</v>
      </c>
      <c r="M633" s="5" t="str">
        <f>VLOOKUP($K633,'Property names'!$A$1:$D$100,3,FALSE)</f>
        <v>Percentage</v>
      </c>
      <c r="N633" s="5" t="str">
        <f>VLOOKUP($K633,'Property names'!$A$1:$D$100,4,FALSE)</f>
        <v>%</v>
      </c>
      <c r="O633" s="5" t="str">
        <f t="shared" si="15"/>
        <v>Old_Matmata_TSXX_air_humidity</v>
      </c>
      <c r="P633" s="5" t="str">
        <f t="shared" si="16"/>
        <v>The datastream containing mesures of field Old Matmata by sensor TSXX which measures Air Humidity.</v>
      </c>
      <c r="Q633" s="5" t="s">
        <v>653</v>
      </c>
    </row>
    <row r="634" spans="1:17" ht="12.75">
      <c r="A634" s="214" t="s">
        <v>437</v>
      </c>
      <c r="B634" s="26" t="s">
        <v>1342</v>
      </c>
      <c r="C634" s="26" t="s">
        <v>1340</v>
      </c>
      <c r="D634" s="215">
        <v>33.682250000000003</v>
      </c>
      <c r="E634" s="215">
        <v>9.9943000000000008</v>
      </c>
      <c r="F634" s="216" t="s">
        <v>1343</v>
      </c>
      <c r="G634" s="26" t="s">
        <v>1210</v>
      </c>
      <c r="H634" s="26" t="s">
        <v>1210</v>
      </c>
      <c r="I634" s="26" t="s">
        <v>1210</v>
      </c>
      <c r="J634" s="26" t="s">
        <v>1276</v>
      </c>
      <c r="K634" s="26" t="s">
        <v>1277</v>
      </c>
      <c r="L634" s="26" t="str">
        <f>VLOOKUP($K634,'Property names'!$A$1:$D$100,2,FALSE)</f>
        <v>The measure of the hotness or coldness of something.</v>
      </c>
      <c r="M634" s="26" t="str">
        <f>VLOOKUP($K634,'Property names'!$A$1:$D$100,3,FALSE)</f>
        <v>Degrees Celsius</v>
      </c>
      <c r="N634" s="26" t="str">
        <f>VLOOKUP($K634,'Property names'!$A$1:$D$100,4,FALSE)</f>
        <v>ºC</v>
      </c>
      <c r="O634" s="26" t="str">
        <f t="shared" si="15"/>
        <v>Matmata_Nouvelle_TSXX2_temperature</v>
      </c>
      <c r="P634" s="5" t="str">
        <f t="shared" si="16"/>
        <v>The datastream containing mesures of field Matmata Nouvelle by sensor TSXX2 which measures Temperature.</v>
      </c>
      <c r="Q634" s="5" t="s">
        <v>653</v>
      </c>
    </row>
    <row r="635" spans="1:17" ht="12.75">
      <c r="A635" s="214" t="s">
        <v>437</v>
      </c>
      <c r="B635" s="26" t="s">
        <v>1342</v>
      </c>
      <c r="C635" s="26" t="s">
        <v>1340</v>
      </c>
      <c r="D635" s="215">
        <v>33.682250000000003</v>
      </c>
      <c r="E635" s="215">
        <v>9.9943000000000008</v>
      </c>
      <c r="F635" s="216" t="s">
        <v>1343</v>
      </c>
      <c r="G635" s="26" t="s">
        <v>1210</v>
      </c>
      <c r="H635" s="26" t="s">
        <v>1210</v>
      </c>
      <c r="I635" s="26" t="s">
        <v>1210</v>
      </c>
      <c r="J635" s="26" t="s">
        <v>1299</v>
      </c>
      <c r="K635" s="26" t="s">
        <v>1300</v>
      </c>
      <c r="L635" s="26" t="str">
        <f>VLOOKUP($K635,'Property names'!$A$1:$D$100,2,FALSE)</f>
        <v>The highest rate at which rain or other forms of precipitation fall in a given period.</v>
      </c>
      <c r="M635" s="26" t="str">
        <f>VLOOKUP($K635,'Property names'!$A$1:$D$100,3,FALSE)</f>
        <v>Millimeters per hour</v>
      </c>
      <c r="N635" s="26" t="str">
        <f>VLOOKUP($K635,'Property names'!$A$1:$D$100,4,FALSE)</f>
        <v>mm/h</v>
      </c>
      <c r="O635" s="26" t="str">
        <f t="shared" si="15"/>
        <v>Matmata_Nouvelle_TSXX2_rain_intensity</v>
      </c>
      <c r="P635" s="5" t="str">
        <f t="shared" si="16"/>
        <v>The datastream containing mesures of field Matmata Nouvelle by sensor TSXX2 which measures Max Precipitation Rate.</v>
      </c>
      <c r="Q635" s="5" t="s">
        <v>653</v>
      </c>
    </row>
    <row r="636" spans="1:17" ht="12.75">
      <c r="A636" s="214" t="s">
        <v>437</v>
      </c>
      <c r="B636" s="26" t="s">
        <v>1342</v>
      </c>
      <c r="C636" s="26" t="s">
        <v>1340</v>
      </c>
      <c r="D636" s="215">
        <v>33.682250000000003</v>
      </c>
      <c r="E636" s="215">
        <v>9.9943000000000008</v>
      </c>
      <c r="F636" s="216" t="s">
        <v>1343</v>
      </c>
      <c r="G636" s="26" t="s">
        <v>1210</v>
      </c>
      <c r="H636" s="26" t="s">
        <v>1210</v>
      </c>
      <c r="I636" s="26" t="s">
        <v>1210</v>
      </c>
      <c r="J636" s="26" t="s">
        <v>1301</v>
      </c>
      <c r="K636" s="26" t="s">
        <v>711</v>
      </c>
      <c r="L636" s="26" t="str">
        <f>VLOOKUP($K636,'Property names'!$A$1:$D$100,2,FALSE)</f>
        <v>Cumulatime Rainfall.</v>
      </c>
      <c r="M636" s="26" t="str">
        <f>VLOOKUP($K636,'Property names'!$A$1:$D$100,3,FALSE)</f>
        <v>Millimeters</v>
      </c>
      <c r="N636" s="26" t="str">
        <f>VLOOKUP($K636,'Property names'!$A$1:$D$100,4,FALSE)</f>
        <v>mm</v>
      </c>
      <c r="O636" s="26" t="str">
        <f t="shared" si="15"/>
        <v>Matmata_Nouvelle_TSXX2_cumulative_rainfall</v>
      </c>
      <c r="P636" s="5" t="str">
        <f t="shared" si="16"/>
        <v>The datastream containing mesures of field Matmata Nouvelle by sensor TSXX2 which measures Cumulative Rainfall.</v>
      </c>
      <c r="Q636" s="5" t="s">
        <v>653</v>
      </c>
    </row>
    <row r="637" spans="1:17" ht="12.75">
      <c r="A637" s="214" t="s">
        <v>437</v>
      </c>
      <c r="B637" s="26" t="s">
        <v>1342</v>
      </c>
      <c r="C637" s="26" t="s">
        <v>1340</v>
      </c>
      <c r="D637" s="215">
        <v>33.682250000000003</v>
      </c>
      <c r="E637" s="215">
        <v>9.9943000000000008</v>
      </c>
      <c r="F637" s="216" t="s">
        <v>1343</v>
      </c>
      <c r="G637" s="26" t="s">
        <v>1210</v>
      </c>
      <c r="H637" s="26" t="s">
        <v>1210</v>
      </c>
      <c r="I637" s="26" t="s">
        <v>1210</v>
      </c>
      <c r="J637" s="26" t="s">
        <v>1295</v>
      </c>
      <c r="K637" s="26" t="s">
        <v>1296</v>
      </c>
      <c r="L637" s="26" t="str">
        <f>VLOOKUP($K637,'Property names'!$A$1:$D$100,2,FALSE)</f>
        <v>The rate at which the air is moving horizontally, often measured in miles per hour or meters per second.</v>
      </c>
      <c r="M637" s="26" t="str">
        <f>VLOOKUP($K637,'Property names'!$A$1:$D$100,3,FALSE)</f>
        <v>Meters per second</v>
      </c>
      <c r="N637" s="26" t="str">
        <f>VLOOKUP($K637,'Property names'!$A$1:$D$100,4,FALSE)</f>
        <v>m/s</v>
      </c>
      <c r="O637" s="26" t="str">
        <f t="shared" si="15"/>
        <v>Matmata_Nouvelle_TSXX2_wind_speed</v>
      </c>
      <c r="P637" s="5" t="str">
        <f t="shared" si="16"/>
        <v>The datastream containing mesures of field Matmata Nouvelle by sensor TSXX2 which measures Wind Speed.</v>
      </c>
      <c r="Q637" s="5" t="s">
        <v>653</v>
      </c>
    </row>
    <row r="638" spans="1:17" ht="12.75">
      <c r="A638" s="214" t="s">
        <v>437</v>
      </c>
      <c r="B638" s="26" t="s">
        <v>1342</v>
      </c>
      <c r="C638" s="26" t="s">
        <v>1340</v>
      </c>
      <c r="D638" s="215">
        <v>33.682250000000003</v>
      </c>
      <c r="E638" s="215">
        <v>9.9943000000000008</v>
      </c>
      <c r="F638" s="216" t="s">
        <v>1343</v>
      </c>
      <c r="G638" s="26" t="s">
        <v>1210</v>
      </c>
      <c r="H638" s="26" t="s">
        <v>1210</v>
      </c>
      <c r="I638" s="26" t="s">
        <v>1210</v>
      </c>
      <c r="J638" s="26" t="s">
        <v>708</v>
      </c>
      <c r="K638" s="26" t="s">
        <v>709</v>
      </c>
      <c r="L638" s="26" t="str">
        <f>VLOOKUP($K638,'Property names'!$A$1:$D$100,2,FALSE)</f>
        <v>Energy from the sun in the form of electromagnetic waves.</v>
      </c>
      <c r="M638" s="26" t="str">
        <f>VLOOKUP($K638,'Property names'!$A$1:$D$100,3,FALSE)</f>
        <v>Watts per square meter</v>
      </c>
      <c r="N638" s="26" t="str">
        <f>VLOOKUP($K638,'Property names'!$A$1:$D$100,4,FALSE)</f>
        <v>W/m²</v>
      </c>
      <c r="O638" s="26" t="str">
        <f t="shared" si="15"/>
        <v>Matmata_Nouvelle_TSXX2_solar_radiation</v>
      </c>
      <c r="P638" s="5" t="str">
        <f t="shared" si="16"/>
        <v>The datastream containing mesures of field Matmata Nouvelle by sensor TSXX2 which measures Solar Radiation.</v>
      </c>
      <c r="Q638" s="5" t="s">
        <v>653</v>
      </c>
    </row>
    <row r="639" spans="1:17" ht="12.75">
      <c r="A639" s="214" t="s">
        <v>437</v>
      </c>
      <c r="B639" s="26" t="s">
        <v>1342</v>
      </c>
      <c r="C639" s="26" t="s">
        <v>1340</v>
      </c>
      <c r="D639" s="215">
        <v>33.682250000000003</v>
      </c>
      <c r="E639" s="215">
        <v>9.9943000000000008</v>
      </c>
      <c r="F639" s="216" t="s">
        <v>1343</v>
      </c>
      <c r="G639" s="26" t="s">
        <v>1210</v>
      </c>
      <c r="H639" s="26" t="s">
        <v>1210</v>
      </c>
      <c r="I639" s="26" t="s">
        <v>1210</v>
      </c>
      <c r="J639" s="26" t="s">
        <v>1297</v>
      </c>
      <c r="K639" s="26" t="s">
        <v>1230</v>
      </c>
      <c r="L639" s="26" t="str">
        <f>VLOOKUP($K639,'Property names'!$A$1:$D$100,2,FALSE)</f>
        <v>The compass direction from which the wind is blowing.</v>
      </c>
      <c r="M639" s="26" t="str">
        <f>VLOOKUP($K639,'Property names'!$A$1:$D$100,3,FALSE)</f>
        <v>Degrees</v>
      </c>
      <c r="N639" s="26" t="str">
        <f>VLOOKUP($K639,'Property names'!$A$1:$D$100,4,FALSE)</f>
        <v>º</v>
      </c>
      <c r="O639" s="26" t="str">
        <f t="shared" si="15"/>
        <v>Matmata_Nouvelle_TSXX2_wind_direction</v>
      </c>
      <c r="P639" s="5" t="str">
        <f t="shared" si="16"/>
        <v>The datastream containing mesures of field Matmata Nouvelle by sensor TSXX2 which measures Wind Direction.</v>
      </c>
      <c r="Q639" s="5" t="s">
        <v>653</v>
      </c>
    </row>
    <row r="640" spans="1:17" ht="12.75">
      <c r="A640" s="214" t="s">
        <v>437</v>
      </c>
      <c r="B640" s="26" t="s">
        <v>1342</v>
      </c>
      <c r="C640" s="26" t="s">
        <v>1340</v>
      </c>
      <c r="D640" s="215">
        <v>33.682250000000003</v>
      </c>
      <c r="E640" s="215">
        <v>9.9943000000000008</v>
      </c>
      <c r="F640" s="216" t="s">
        <v>1343</v>
      </c>
      <c r="G640" s="26" t="s">
        <v>1210</v>
      </c>
      <c r="H640" s="26" t="s">
        <v>1210</v>
      </c>
      <c r="I640" s="26" t="s">
        <v>1210</v>
      </c>
      <c r="J640" s="26" t="s">
        <v>654</v>
      </c>
      <c r="K640" s="26" t="s">
        <v>655</v>
      </c>
      <c r="L640" s="26" t="str">
        <f>VLOOKUP($K640,'Property names'!$A$1:$D$100,2,FALSE)</f>
        <v>The amount of moisture or water vapor present in the air, often expressed as a percentage of the maximum amount the air could hold at a given temperature.</v>
      </c>
      <c r="M640" s="26" t="str">
        <f>VLOOKUP($K640,'Property names'!$A$1:$D$100,3,FALSE)</f>
        <v>Percentage</v>
      </c>
      <c r="N640" s="26" t="str">
        <f>VLOOKUP($K640,'Property names'!$A$1:$D$100,4,FALSE)</f>
        <v>%</v>
      </c>
      <c r="O640" s="26" t="str">
        <f t="shared" si="15"/>
        <v>Matmata_Nouvelle_TSXX2_air_humidity</v>
      </c>
      <c r="P640" s="5" t="str">
        <f t="shared" si="16"/>
        <v>The datastream containing mesures of field Matmata Nouvelle by sensor TSXX2 which measures Air Humidity.</v>
      </c>
      <c r="Q640" s="5" t="s">
        <v>653</v>
      </c>
    </row>
    <row r="641" spans="1:17" ht="12.75">
      <c r="A641" s="5" t="s">
        <v>693</v>
      </c>
      <c r="B641" s="5" t="s">
        <v>1344</v>
      </c>
      <c r="C641" s="5" t="s">
        <v>1345</v>
      </c>
      <c r="D641" s="5" t="s">
        <v>1210</v>
      </c>
      <c r="E641" s="5" t="s">
        <v>1210</v>
      </c>
      <c r="F641" s="195" t="s">
        <v>1346</v>
      </c>
      <c r="G641" s="5" t="s">
        <v>1210</v>
      </c>
      <c r="H641" s="5" t="s">
        <v>1210</v>
      </c>
      <c r="I641" s="5" t="s">
        <v>1210</v>
      </c>
      <c r="J641" s="5" t="s">
        <v>1347</v>
      </c>
      <c r="K641" s="5" t="s">
        <v>1329</v>
      </c>
      <c r="L641" s="5" t="str">
        <f>VLOOKUP($K641,'Property names'!$A$1:$D$100,2,FALSE)</f>
        <v>The depth at which the water table is found beneath the Earth's surface.</v>
      </c>
      <c r="M641" s="5" t="str">
        <f>VLOOKUP($K641,'Property names'!$A$1:$D$100,3,FALSE)</f>
        <v>Meters</v>
      </c>
      <c r="N641" s="5" t="str">
        <f>VLOOKUP($K641,'Property names'!$A$1:$D$100,4,FALSE)</f>
        <v>m</v>
      </c>
      <c r="O641" s="5" t="str">
        <f t="shared" si="15"/>
        <v>Tirso_Aquifer_000269_Water_Level_mH2O_TOW</v>
      </c>
      <c r="P641" s="5" t="str">
        <f t="shared" si="16"/>
        <v>The datastream containing mesures of field Tirso_Aquifer by sensor 000269 which measures Groundwater Level.</v>
      </c>
      <c r="Q641" s="5" t="s">
        <v>1269</v>
      </c>
    </row>
    <row r="642" spans="1:17" ht="12.75">
      <c r="A642" s="5" t="s">
        <v>693</v>
      </c>
      <c r="B642" s="5" t="s">
        <v>1344</v>
      </c>
      <c r="C642" s="5" t="s">
        <v>1345</v>
      </c>
      <c r="D642" s="5" t="s">
        <v>1210</v>
      </c>
      <c r="E642" s="5" t="s">
        <v>1210</v>
      </c>
      <c r="F642" s="195" t="s">
        <v>1348</v>
      </c>
      <c r="G642" s="5" t="s">
        <v>1210</v>
      </c>
      <c r="H642" s="5" t="s">
        <v>1210</v>
      </c>
      <c r="I642" s="5" t="s">
        <v>1210</v>
      </c>
      <c r="J642" s="5" t="s">
        <v>1349</v>
      </c>
      <c r="K642" s="5" t="s">
        <v>1329</v>
      </c>
      <c r="L642" s="5" t="str">
        <f>VLOOKUP($K642,'Property names'!$A$1:$D$100,2,FALSE)</f>
        <v>The depth at which the water table is found beneath the Earth's surface.</v>
      </c>
      <c r="M642" s="5" t="str">
        <f>VLOOKUP($K642,'Property names'!$A$1:$D$100,3,FALSE)</f>
        <v>Meters</v>
      </c>
      <c r="N642" s="5" t="str">
        <f>VLOOKUP($K642,'Property names'!$A$1:$D$100,4,FALSE)</f>
        <v>m</v>
      </c>
      <c r="O642" s="5" t="str">
        <f t="shared" ref="O642:O676" si="17">SUBSTITUTE(CONCATENATE(B642,"_",F642,"_",J642)," ","_")</f>
        <v>Tirso_Aquifer_000279_Depth_mH2O</v>
      </c>
      <c r="P642" s="5" t="str">
        <f t="shared" ref="P642:P676" si="18">CONCATENATE("The datastream containing mesures of field ",B642," by sensor ",F642," which measures ",K642,".")</f>
        <v>The datastream containing mesures of field Tirso_Aquifer by sensor 000279 which measures Groundwater Level.</v>
      </c>
      <c r="Q642" s="5" t="s">
        <v>1269</v>
      </c>
    </row>
    <row r="643" spans="1:17" ht="12.75">
      <c r="A643" s="5" t="s">
        <v>693</v>
      </c>
      <c r="B643" s="5" t="s">
        <v>1344</v>
      </c>
      <c r="C643" s="5" t="s">
        <v>1345</v>
      </c>
      <c r="D643" s="5" t="s">
        <v>1210</v>
      </c>
      <c r="E643" s="5" t="s">
        <v>1210</v>
      </c>
      <c r="F643" s="195" t="s">
        <v>1348</v>
      </c>
      <c r="G643" s="5" t="s">
        <v>1210</v>
      </c>
      <c r="H643" s="5" t="s">
        <v>1210</v>
      </c>
      <c r="I643" s="5" t="s">
        <v>1210</v>
      </c>
      <c r="J643" s="5" t="s">
        <v>1350</v>
      </c>
      <c r="K643" s="5" t="s">
        <v>1351</v>
      </c>
      <c r="L643" s="5" t="str">
        <f>VLOOKUP($K643,'Property names'!$A$1:$D$100,2,FALSE)</f>
        <v>Turbidity of water</v>
      </c>
      <c r="M643" s="5" t="str">
        <f>VLOOKUP($K643,'Property names'!$A$1:$D$100,3,FALSE)</f>
        <v>Nephelometric Turbidity Units</v>
      </c>
      <c r="N643" s="5" t="str">
        <f>VLOOKUP($K643,'Property names'!$A$1:$D$100,4,FALSE)</f>
        <v>NTU</v>
      </c>
      <c r="O643" s="5" t="str">
        <f t="shared" si="17"/>
        <v>Tirso_Aquifer_000279_Turbidity_NTU</v>
      </c>
      <c r="P643" s="5" t="str">
        <f t="shared" si="18"/>
        <v>The datastream containing mesures of field Tirso_Aquifer by sensor 000279 which measures Turbidity.</v>
      </c>
      <c r="Q643" s="5" t="s">
        <v>1269</v>
      </c>
    </row>
    <row r="644" spans="1:17" ht="12.75">
      <c r="A644" s="5" t="s">
        <v>693</v>
      </c>
      <c r="B644" s="5" t="s">
        <v>1344</v>
      </c>
      <c r="C644" s="5" t="s">
        <v>1345</v>
      </c>
      <c r="D644" s="5" t="s">
        <v>1210</v>
      </c>
      <c r="E644" s="5" t="s">
        <v>1210</v>
      </c>
      <c r="F644" s="195" t="s">
        <v>1348</v>
      </c>
      <c r="G644" s="5" t="s">
        <v>1210</v>
      </c>
      <c r="H644" s="5" t="s">
        <v>1210</v>
      </c>
      <c r="I644" s="5" t="s">
        <v>1210</v>
      </c>
      <c r="J644" s="5" t="s">
        <v>1352</v>
      </c>
      <c r="K644" s="5" t="s">
        <v>652</v>
      </c>
      <c r="L644" s="5" t="str">
        <f>VLOOKUP($K644,'Property names'!$A$1:$D$100,2,FALSE)</f>
        <v>The measure of the hotness or coldness of the air.</v>
      </c>
      <c r="M644" s="5" t="str">
        <f>VLOOKUP($K644,'Property names'!$A$1:$D$100,3,FALSE)</f>
        <v>Degrees Celsius</v>
      </c>
      <c r="N644" s="5" t="str">
        <f>VLOOKUP($K644,'Property names'!$A$1:$D$100,4,FALSE)</f>
        <v>ºC</v>
      </c>
      <c r="O644" s="5" t="str">
        <f t="shared" si="17"/>
        <v>Tirso_Aquifer_000279_Temperature_C</v>
      </c>
      <c r="P644" s="5" t="str">
        <f t="shared" si="18"/>
        <v>The datastream containing mesures of field Tirso_Aquifer by sensor 000279 which measures Air Temperature.</v>
      </c>
      <c r="Q644" s="5" t="s">
        <v>1269</v>
      </c>
    </row>
    <row r="645" spans="1:17" ht="12.75">
      <c r="A645" s="5" t="s">
        <v>693</v>
      </c>
      <c r="B645" s="5" t="s">
        <v>1344</v>
      </c>
      <c r="C645" s="5" t="s">
        <v>1345</v>
      </c>
      <c r="D645" s="5" t="s">
        <v>1210</v>
      </c>
      <c r="E645" s="5" t="s">
        <v>1210</v>
      </c>
      <c r="F645" s="195" t="s">
        <v>1348</v>
      </c>
      <c r="G645" s="5" t="s">
        <v>1210</v>
      </c>
      <c r="H645" s="5" t="s">
        <v>1210</v>
      </c>
      <c r="I645" s="5" t="s">
        <v>1210</v>
      </c>
      <c r="J645" s="5" t="s">
        <v>1268</v>
      </c>
      <c r="K645" s="5" t="s">
        <v>1268</v>
      </c>
      <c r="L645" s="5" t="str">
        <f>VLOOKUP($K645,'Property names'!$A$1:$D$100,2,FALSE)</f>
        <v>Measure of the acidity or alkalinity of a solution.</v>
      </c>
      <c r="M645" s="5" t="str">
        <f>VLOOKUP($K645,'Property names'!$A$1:$D$100,3,FALSE)</f>
        <v>-</v>
      </c>
      <c r="N645" s="5" t="str">
        <f>VLOOKUP($K645,'Property names'!$A$1:$D$100,4,FALSE)</f>
        <v>-</v>
      </c>
      <c r="O645" s="5" t="str">
        <f t="shared" si="17"/>
        <v>Tirso_Aquifer_000279_pH</v>
      </c>
      <c r="P645" s="5" t="str">
        <f t="shared" si="18"/>
        <v>The datastream containing mesures of field Tirso_Aquifer by sensor 000279 which measures pH.</v>
      </c>
      <c r="Q645" s="5" t="s">
        <v>1269</v>
      </c>
    </row>
    <row r="646" spans="1:17" ht="12.75">
      <c r="A646" s="5" t="s">
        <v>693</v>
      </c>
      <c r="B646" s="5" t="s">
        <v>1344</v>
      </c>
      <c r="C646" s="5" t="s">
        <v>1345</v>
      </c>
      <c r="D646" s="5" t="s">
        <v>1210</v>
      </c>
      <c r="E646" s="5" t="s">
        <v>1210</v>
      </c>
      <c r="F646" s="195" t="s">
        <v>1348</v>
      </c>
      <c r="G646" s="5" t="s">
        <v>1210</v>
      </c>
      <c r="H646" s="5" t="s">
        <v>1210</v>
      </c>
      <c r="I646" s="5" t="s">
        <v>1210</v>
      </c>
      <c r="J646" s="5" t="s">
        <v>1353</v>
      </c>
      <c r="K646" s="5" t="s">
        <v>1354</v>
      </c>
      <c r="L646" s="5" t="str">
        <f>VLOOKUP($K646,'Property names'!$A$1:$D$100,2,FALSE)</f>
        <v>Oxidation and Reduction Potential</v>
      </c>
      <c r="M646" s="5" t="str">
        <f>VLOOKUP($K646,'Property names'!$A$1:$D$100,3,FALSE)</f>
        <v>Millivolts</v>
      </c>
      <c r="N646" s="5" t="str">
        <f>VLOOKUP($K646,'Property names'!$A$1:$D$100,4,FALSE)</f>
        <v>mV</v>
      </c>
      <c r="O646" s="5" t="str">
        <f t="shared" si="17"/>
        <v>Tirso_Aquifer_000279_ORP_mV</v>
      </c>
      <c r="P646" s="5" t="str">
        <f t="shared" si="18"/>
        <v>The datastream containing mesures of field Tirso_Aquifer by sensor 000279 which measures ORP.</v>
      </c>
      <c r="Q646" s="5" t="s">
        <v>1269</v>
      </c>
    </row>
    <row r="647" spans="1:17" ht="12.75">
      <c r="A647" s="5" t="s">
        <v>693</v>
      </c>
      <c r="B647" s="5" t="s">
        <v>1344</v>
      </c>
      <c r="C647" s="5" t="s">
        <v>1345</v>
      </c>
      <c r="D647" s="5" t="s">
        <v>1210</v>
      </c>
      <c r="E647" s="5" t="s">
        <v>1210</v>
      </c>
      <c r="F647" s="195" t="s">
        <v>1348</v>
      </c>
      <c r="G647" s="5" t="s">
        <v>1210</v>
      </c>
      <c r="H647" s="5" t="s">
        <v>1210</v>
      </c>
      <c r="I647" s="5" t="s">
        <v>1210</v>
      </c>
      <c r="J647" s="5" t="s">
        <v>1355</v>
      </c>
      <c r="K647" s="5" t="s">
        <v>1271</v>
      </c>
      <c r="L647" s="5" t="str">
        <f>VLOOKUP($K647,'Property names'!$A$1:$D$100,2,FALSE)</f>
        <v>Measure of the ability of a solution to conduct electricity.</v>
      </c>
      <c r="M647" s="5" t="str">
        <f>VLOOKUP($K647,'Property names'!$A$1:$D$100,3,FALSE)</f>
        <v>Microsiemens per centimeter</v>
      </c>
      <c r="N647" s="5" t="str">
        <f>VLOOKUP($K647,'Property names'!$A$1:$D$100,4,FALSE)</f>
        <v>μS/cm</v>
      </c>
      <c r="O647" s="5" t="str">
        <f t="shared" si="17"/>
        <v>Tirso_Aquifer_000279_Specific_Conductivity_us/cm</v>
      </c>
      <c r="P647" s="5" t="str">
        <f t="shared" si="18"/>
        <v>The datastream containing mesures of field Tirso_Aquifer by sensor 000279 which measures Electric Conductivity.</v>
      </c>
      <c r="Q647" s="5" t="s">
        <v>1269</v>
      </c>
    </row>
    <row r="648" spans="1:17" ht="12.75">
      <c r="A648" s="5" t="s">
        <v>693</v>
      </c>
      <c r="B648" s="5" t="s">
        <v>1344</v>
      </c>
      <c r="C648" s="5" t="s">
        <v>1345</v>
      </c>
      <c r="D648" s="5" t="s">
        <v>1210</v>
      </c>
      <c r="E648" s="5" t="s">
        <v>1210</v>
      </c>
      <c r="F648" s="195" t="s">
        <v>1348</v>
      </c>
      <c r="G648" s="5" t="s">
        <v>1210</v>
      </c>
      <c r="H648" s="5" t="s">
        <v>1210</v>
      </c>
      <c r="I648" s="5" t="s">
        <v>1210</v>
      </c>
      <c r="J648" s="5" t="s">
        <v>1356</v>
      </c>
      <c r="K648" s="5" t="s">
        <v>1275</v>
      </c>
      <c r="L648" s="5" t="str">
        <f>VLOOKUP($K648,'Property names'!$A$1:$D$100,2,FALSE)</f>
        <v>Concentration of nitrogen.</v>
      </c>
      <c r="M648" s="5" t="str">
        <f>VLOOKUP($K648,'Property names'!$A$1:$D$100,3,FALSE)</f>
        <v>Milligrams per liter</v>
      </c>
      <c r="N648" s="5" t="str">
        <f>VLOOKUP($K648,'Property names'!$A$1:$D$100,4,FALSE)</f>
        <v>mg/L</v>
      </c>
      <c r="O648" s="5" t="str">
        <f t="shared" si="17"/>
        <v>Tirso_Aquifer_000279_Nitrate_Sensor_Temperature_C</v>
      </c>
      <c r="P648" s="5" t="str">
        <f t="shared" si="18"/>
        <v>The datastream containing mesures of field Tirso_Aquifer by sensor 000279 which measures NO4 / Nitrate.</v>
      </c>
      <c r="Q648" s="5" t="s">
        <v>1269</v>
      </c>
    </row>
    <row r="649" spans="1:17" ht="12.75">
      <c r="A649" s="5" t="s">
        <v>693</v>
      </c>
      <c r="B649" s="5" t="s">
        <v>1344</v>
      </c>
      <c r="C649" s="5" t="s">
        <v>1345</v>
      </c>
      <c r="D649" s="5" t="s">
        <v>1210</v>
      </c>
      <c r="E649" s="5" t="s">
        <v>1210</v>
      </c>
      <c r="F649" s="195" t="s">
        <v>1348</v>
      </c>
      <c r="G649" s="5" t="s">
        <v>1210</v>
      </c>
      <c r="H649" s="5" t="s">
        <v>1210</v>
      </c>
      <c r="I649" s="5" t="s">
        <v>1210</v>
      </c>
      <c r="J649" s="5" t="s">
        <v>1357</v>
      </c>
      <c r="K649" s="5" t="s">
        <v>1329</v>
      </c>
      <c r="L649" s="5" t="str">
        <f>VLOOKUP($K649,'Property names'!$A$1:$D$100,2,FALSE)</f>
        <v>The depth at which the water table is found beneath the Earth's surface.</v>
      </c>
      <c r="M649" s="5" t="str">
        <f>VLOOKUP($K649,'Property names'!$A$1:$D$100,3,FALSE)</f>
        <v>Meters</v>
      </c>
      <c r="N649" s="5" t="str">
        <f>VLOOKUP($K649,'Property names'!$A$1:$D$100,4,FALSE)</f>
        <v>m</v>
      </c>
      <c r="O649" s="5" t="str">
        <f t="shared" si="17"/>
        <v>Tirso_Aquifer_000279_Wave_Length_ABS_220</v>
      </c>
      <c r="P649" s="5" t="str">
        <f t="shared" si="18"/>
        <v>The datastream containing mesures of field Tirso_Aquifer by sensor 000279 which measures Groundwater Level.</v>
      </c>
      <c r="Q649" s="5" t="s">
        <v>1269</v>
      </c>
    </row>
    <row r="650" spans="1:17" ht="12.75">
      <c r="A650" s="5" t="s">
        <v>693</v>
      </c>
      <c r="B650" s="5" t="s">
        <v>1344</v>
      </c>
      <c r="C650" s="5" t="s">
        <v>1345</v>
      </c>
      <c r="D650" s="5" t="s">
        <v>1210</v>
      </c>
      <c r="E650" s="5" t="s">
        <v>1210</v>
      </c>
      <c r="F650" s="195" t="s">
        <v>1348</v>
      </c>
      <c r="G650" s="5" t="s">
        <v>1210</v>
      </c>
      <c r="H650" s="5" t="s">
        <v>1210</v>
      </c>
      <c r="I650" s="5" t="s">
        <v>1210</v>
      </c>
      <c r="J650" s="5" t="s">
        <v>1358</v>
      </c>
      <c r="K650" s="5" t="s">
        <v>1329</v>
      </c>
      <c r="L650" s="5" t="str">
        <f>VLOOKUP($K650,'Property names'!$A$1:$D$100,2,FALSE)</f>
        <v>The depth at which the water table is found beneath the Earth's surface.</v>
      </c>
      <c r="M650" s="5" t="str">
        <f>VLOOKUP($K650,'Property names'!$A$1:$D$100,3,FALSE)</f>
        <v>Meters</v>
      </c>
      <c r="N650" s="5" t="str">
        <f>VLOOKUP($K650,'Property names'!$A$1:$D$100,4,FALSE)</f>
        <v>m</v>
      </c>
      <c r="O650" s="5" t="str">
        <f t="shared" si="17"/>
        <v>Tirso_Aquifer_000279_Wave_Length_ABS_270</v>
      </c>
      <c r="P650" s="5" t="str">
        <f t="shared" si="18"/>
        <v>The datastream containing mesures of field Tirso_Aquifer by sensor 000279 which measures Groundwater Level.</v>
      </c>
      <c r="Q650" s="5" t="s">
        <v>1269</v>
      </c>
    </row>
    <row r="651" spans="1:17" ht="12.75">
      <c r="A651" s="5" t="s">
        <v>693</v>
      </c>
      <c r="B651" s="5" t="s">
        <v>1344</v>
      </c>
      <c r="C651" s="5" t="s">
        <v>1345</v>
      </c>
      <c r="D651" s="5" t="s">
        <v>1210</v>
      </c>
      <c r="E651" s="5" t="s">
        <v>1210</v>
      </c>
      <c r="F651" s="195" t="s">
        <v>1348</v>
      </c>
      <c r="G651" s="5" t="s">
        <v>1210</v>
      </c>
      <c r="H651" s="5" t="s">
        <v>1210</v>
      </c>
      <c r="I651" s="5" t="s">
        <v>1210</v>
      </c>
      <c r="J651" s="5" t="s">
        <v>1359</v>
      </c>
      <c r="K651" s="5" t="s">
        <v>1275</v>
      </c>
      <c r="L651" s="5" t="str">
        <f>VLOOKUP($K651,'Property names'!$A$1:$D$100,2,FALSE)</f>
        <v>Concentration of nitrogen.</v>
      </c>
      <c r="M651" s="5" t="str">
        <f>VLOOKUP($K651,'Property names'!$A$1:$D$100,3,FALSE)</f>
        <v>Milligrams per liter</v>
      </c>
      <c r="N651" s="5" t="str">
        <f>VLOOKUP($K651,'Property names'!$A$1:$D$100,4,FALSE)</f>
        <v>mg/L</v>
      </c>
      <c r="O651" s="5" t="str">
        <f t="shared" si="17"/>
        <v>Tirso_Aquifer_000279_Nitrate_PPm</v>
      </c>
      <c r="P651" s="5" t="str">
        <f t="shared" si="18"/>
        <v>The datastream containing mesures of field Tirso_Aquifer by sensor 000279 which measures NO4 / Nitrate.</v>
      </c>
      <c r="Q651" s="5" t="s">
        <v>1269</v>
      </c>
    </row>
    <row r="652" spans="1:17" ht="12.75">
      <c r="A652" s="5" t="s">
        <v>693</v>
      </c>
      <c r="B652" s="5" t="s">
        <v>1344</v>
      </c>
      <c r="C652" s="5" t="s">
        <v>1345</v>
      </c>
      <c r="D652" s="5" t="s">
        <v>1210</v>
      </c>
      <c r="E652" s="5" t="s">
        <v>1210</v>
      </c>
      <c r="F652" s="195" t="s">
        <v>1348</v>
      </c>
      <c r="G652" s="5" t="s">
        <v>1210</v>
      </c>
      <c r="H652" s="5" t="s">
        <v>1210</v>
      </c>
      <c r="I652" s="5" t="s">
        <v>1210</v>
      </c>
      <c r="J652" s="5" t="s">
        <v>1360</v>
      </c>
      <c r="K652" s="5" t="s">
        <v>692</v>
      </c>
      <c r="L652" s="5" t="str">
        <f>VLOOKUP($K652,'Property names'!$A$1:$D$100,2,FALSE)</f>
        <v>The electrical potential in a battery, indicating its charge level.</v>
      </c>
      <c r="M652" s="5" t="str">
        <f>VLOOKUP($K652,'Property names'!$A$1:$D$100,3,FALSE)</f>
        <v>Millivolts</v>
      </c>
      <c r="N652" s="5" t="str">
        <f>VLOOKUP($K652,'Property names'!$A$1:$D$100,4,FALSE)</f>
        <v>mV</v>
      </c>
      <c r="O652" s="5" t="str">
        <f t="shared" si="17"/>
        <v>Tirso_Aquifer_000279_Voltage</v>
      </c>
      <c r="P652" s="5" t="str">
        <f t="shared" si="18"/>
        <v>The datastream containing mesures of field Tirso_Aquifer by sensor 000279 which measures Battery Voltage.</v>
      </c>
      <c r="Q652" s="5" t="s">
        <v>1269</v>
      </c>
    </row>
    <row r="653" spans="1:17" ht="12.75">
      <c r="A653" s="5" t="s">
        <v>693</v>
      </c>
      <c r="B653" s="5" t="s">
        <v>1344</v>
      </c>
      <c r="C653" s="5" t="s">
        <v>1345</v>
      </c>
      <c r="D653" s="5" t="s">
        <v>1210</v>
      </c>
      <c r="E653" s="5" t="s">
        <v>1210</v>
      </c>
      <c r="F653" s="195" t="s">
        <v>1348</v>
      </c>
      <c r="G653" s="5" t="s">
        <v>1210</v>
      </c>
      <c r="H653" s="5" t="s">
        <v>1210</v>
      </c>
      <c r="I653" s="5" t="s">
        <v>1210</v>
      </c>
      <c r="J653" s="5" t="s">
        <v>1361</v>
      </c>
      <c r="K653" s="5" t="s">
        <v>1329</v>
      </c>
      <c r="L653" s="5" t="str">
        <f>VLOOKUP($K653,'Property names'!$A$1:$D$100,2,FALSE)</f>
        <v>The depth at which the water table is found beneath the Earth's surface.</v>
      </c>
      <c r="M653" s="5" t="str">
        <f>VLOOKUP($K653,'Property names'!$A$1:$D$100,3,FALSE)</f>
        <v>Meters</v>
      </c>
      <c r="N653" s="5" t="str">
        <f>VLOOKUP($K653,'Property names'!$A$1:$D$100,4,FALSE)</f>
        <v>m</v>
      </c>
      <c r="O653" s="5" t="str">
        <f t="shared" si="17"/>
        <v>Tirso_Aquifer_000279_Water_Level_mH2O_TOW</v>
      </c>
      <c r="P653" s="5" t="str">
        <f t="shared" si="18"/>
        <v>The datastream containing mesures of field Tirso_Aquifer by sensor 000279 which measures Groundwater Level.</v>
      </c>
      <c r="Q653" s="5" t="s">
        <v>1269</v>
      </c>
    </row>
    <row r="654" spans="1:17" ht="12.75">
      <c r="A654" s="5" t="s">
        <v>693</v>
      </c>
      <c r="B654" s="5" t="s">
        <v>1344</v>
      </c>
      <c r="C654" s="5" t="s">
        <v>1345</v>
      </c>
      <c r="D654" s="5" t="s">
        <v>1210</v>
      </c>
      <c r="E654" s="5" t="s">
        <v>1210</v>
      </c>
      <c r="F654" s="195" t="s">
        <v>1362</v>
      </c>
      <c r="G654" s="5" t="s">
        <v>1210</v>
      </c>
      <c r="H654" s="5" t="s">
        <v>1210</v>
      </c>
      <c r="I654" s="5" t="s">
        <v>1210</v>
      </c>
      <c r="J654" s="5" t="s">
        <v>1363</v>
      </c>
      <c r="K654" s="5" t="s">
        <v>1329</v>
      </c>
      <c r="L654" s="5" t="str">
        <f>VLOOKUP($K654,'Property names'!$A$1:$D$100,2,FALSE)</f>
        <v>The depth at which the water table is found beneath the Earth's surface.</v>
      </c>
      <c r="M654" s="5" t="str">
        <f>VLOOKUP($K654,'Property names'!$A$1:$D$100,3,FALSE)</f>
        <v>Meters</v>
      </c>
      <c r="N654" s="5" t="str">
        <f>VLOOKUP($K654,'Property names'!$A$1:$D$100,4,FALSE)</f>
        <v>m</v>
      </c>
      <c r="O654" s="5" t="str">
        <f t="shared" si="17"/>
        <v>Tirso_Aquifer_000282_AQT_Param1</v>
      </c>
      <c r="P654" s="5" t="str">
        <f t="shared" si="18"/>
        <v>The datastream containing mesures of field Tirso_Aquifer by sensor 000282 which measures Groundwater Level.</v>
      </c>
      <c r="Q654" s="5" t="s">
        <v>1269</v>
      </c>
    </row>
    <row r="655" spans="1:17" ht="12.75">
      <c r="A655" s="5" t="s">
        <v>693</v>
      </c>
      <c r="B655" s="5" t="s">
        <v>1344</v>
      </c>
      <c r="C655" s="5" t="s">
        <v>1345</v>
      </c>
      <c r="D655" s="5" t="s">
        <v>1210</v>
      </c>
      <c r="E655" s="5" t="s">
        <v>1210</v>
      </c>
      <c r="F655" s="195" t="s">
        <v>1362</v>
      </c>
      <c r="G655" s="5" t="s">
        <v>1210</v>
      </c>
      <c r="H655" s="5" t="s">
        <v>1210</v>
      </c>
      <c r="I655" s="5" t="s">
        <v>1210</v>
      </c>
      <c r="J655" s="5" t="s">
        <v>1364</v>
      </c>
      <c r="K655" s="5" t="s">
        <v>1329</v>
      </c>
      <c r="L655" s="5" t="str">
        <f>VLOOKUP($K655,'Property names'!$A$1:$D$100,2,FALSE)</f>
        <v>The depth at which the water table is found beneath the Earth's surface.</v>
      </c>
      <c r="M655" s="5" t="str">
        <f>VLOOKUP($K655,'Property names'!$A$1:$D$100,3,FALSE)</f>
        <v>Meters</v>
      </c>
      <c r="N655" s="5" t="str">
        <f>VLOOKUP($K655,'Property names'!$A$1:$D$100,4,FALSE)</f>
        <v>m</v>
      </c>
      <c r="O655" s="5" t="str">
        <f t="shared" si="17"/>
        <v>Tirso_Aquifer_000282_AQT_Param2</v>
      </c>
      <c r="P655" s="5" t="str">
        <f t="shared" si="18"/>
        <v>The datastream containing mesures of field Tirso_Aquifer by sensor 000282 which measures Groundwater Level.</v>
      </c>
      <c r="Q655" s="5" t="s">
        <v>1269</v>
      </c>
    </row>
    <row r="656" spans="1:17" ht="12.75">
      <c r="A656" s="5" t="s">
        <v>693</v>
      </c>
      <c r="B656" s="5" t="s">
        <v>1344</v>
      </c>
      <c r="C656" s="5" t="s">
        <v>1345</v>
      </c>
      <c r="D656" s="5" t="s">
        <v>1210</v>
      </c>
      <c r="E656" s="5" t="s">
        <v>1210</v>
      </c>
      <c r="F656" s="195" t="s">
        <v>1362</v>
      </c>
      <c r="G656" s="5" t="s">
        <v>1210</v>
      </c>
      <c r="H656" s="5" t="s">
        <v>1210</v>
      </c>
      <c r="I656" s="5" t="s">
        <v>1210</v>
      </c>
      <c r="J656" s="5" t="s">
        <v>1365</v>
      </c>
      <c r="K656" s="5" t="s">
        <v>1329</v>
      </c>
      <c r="L656" s="5" t="str">
        <f>VLOOKUP($K656,'Property names'!$A$1:$D$100,2,FALSE)</f>
        <v>The depth at which the water table is found beneath the Earth's surface.</v>
      </c>
      <c r="M656" s="5" t="str">
        <f>VLOOKUP($K656,'Property names'!$A$1:$D$100,3,FALSE)</f>
        <v>Meters</v>
      </c>
      <c r="N656" s="5" t="str">
        <f>VLOOKUP($K656,'Property names'!$A$1:$D$100,4,FALSE)</f>
        <v>m</v>
      </c>
      <c r="O656" s="5" t="str">
        <f t="shared" si="17"/>
        <v>Tirso_Aquifer_000282_AQT_Param3</v>
      </c>
      <c r="P656" s="5" t="str">
        <f t="shared" si="18"/>
        <v>The datastream containing mesures of field Tirso_Aquifer by sensor 000282 which measures Groundwater Level.</v>
      </c>
      <c r="Q656" s="5" t="s">
        <v>1269</v>
      </c>
    </row>
    <row r="657" spans="1:17" ht="12.75">
      <c r="A657" s="5" t="s">
        <v>693</v>
      </c>
      <c r="B657" s="5" t="s">
        <v>1344</v>
      </c>
      <c r="C657" s="5" t="s">
        <v>1345</v>
      </c>
      <c r="D657" s="5" t="s">
        <v>1210</v>
      </c>
      <c r="E657" s="5" t="s">
        <v>1210</v>
      </c>
      <c r="F657" s="195" t="s">
        <v>1362</v>
      </c>
      <c r="G657" s="5" t="s">
        <v>1210</v>
      </c>
      <c r="H657" s="5" t="s">
        <v>1210</v>
      </c>
      <c r="I657" s="5" t="s">
        <v>1210</v>
      </c>
      <c r="J657" s="5" t="s">
        <v>1366</v>
      </c>
      <c r="K657" s="5" t="s">
        <v>1329</v>
      </c>
      <c r="L657" s="5" t="str">
        <f>VLOOKUP($K657,'Property names'!$A$1:$D$100,2,FALSE)</f>
        <v>The depth at which the water table is found beneath the Earth's surface.</v>
      </c>
      <c r="M657" s="5" t="str">
        <f>VLOOKUP($K657,'Property names'!$A$1:$D$100,3,FALSE)</f>
        <v>Meters</v>
      </c>
      <c r="N657" s="5" t="str">
        <f>VLOOKUP($K657,'Property names'!$A$1:$D$100,4,FALSE)</f>
        <v>m</v>
      </c>
      <c r="O657" s="5" t="str">
        <f t="shared" si="17"/>
        <v>Tirso_Aquifer_000282_AQT_Param4</v>
      </c>
      <c r="P657" s="5" t="str">
        <f t="shared" si="18"/>
        <v>The datastream containing mesures of field Tirso_Aquifer by sensor 000282 which measures Groundwater Level.</v>
      </c>
      <c r="Q657" s="5" t="s">
        <v>1269</v>
      </c>
    </row>
    <row r="658" spans="1:17" ht="12.75">
      <c r="A658" s="5" t="s">
        <v>693</v>
      </c>
      <c r="B658" s="5" t="s">
        <v>1344</v>
      </c>
      <c r="C658" s="5" t="s">
        <v>1345</v>
      </c>
      <c r="D658" s="5" t="s">
        <v>1210</v>
      </c>
      <c r="E658" s="5" t="s">
        <v>1210</v>
      </c>
      <c r="F658" s="195" t="s">
        <v>1362</v>
      </c>
      <c r="G658" s="5" t="s">
        <v>1210</v>
      </c>
      <c r="H658" s="5" t="s">
        <v>1210</v>
      </c>
      <c r="I658" s="5" t="s">
        <v>1210</v>
      </c>
      <c r="J658" s="5" t="s">
        <v>1367</v>
      </c>
      <c r="K658" s="5" t="s">
        <v>1329</v>
      </c>
      <c r="L658" s="5" t="str">
        <f>VLOOKUP($K658,'Property names'!$A$1:$D$100,2,FALSE)</f>
        <v>The depth at which the water table is found beneath the Earth's surface.</v>
      </c>
      <c r="M658" s="5" t="str">
        <f>VLOOKUP($K658,'Property names'!$A$1:$D$100,3,FALSE)</f>
        <v>Meters</v>
      </c>
      <c r="N658" s="5" t="str">
        <f>VLOOKUP($K658,'Property names'!$A$1:$D$100,4,FALSE)</f>
        <v>m</v>
      </c>
      <c r="O658" s="5" t="str">
        <f t="shared" si="17"/>
        <v>Tirso_Aquifer_000282_AQT_Param6</v>
      </c>
      <c r="P658" s="5" t="str">
        <f t="shared" si="18"/>
        <v>The datastream containing mesures of field Tirso_Aquifer by sensor 000282 which measures Groundwater Level.</v>
      </c>
      <c r="Q658" s="5" t="s">
        <v>1269</v>
      </c>
    </row>
    <row r="659" spans="1:17" ht="12.75">
      <c r="A659" s="5" t="s">
        <v>693</v>
      </c>
      <c r="B659" s="5" t="s">
        <v>1344</v>
      </c>
      <c r="C659" s="5" t="s">
        <v>1345</v>
      </c>
      <c r="D659" s="5" t="s">
        <v>1210</v>
      </c>
      <c r="E659" s="5" t="s">
        <v>1210</v>
      </c>
      <c r="F659" s="195" t="s">
        <v>1362</v>
      </c>
      <c r="G659" s="5" t="s">
        <v>1210</v>
      </c>
      <c r="H659" s="5" t="s">
        <v>1210</v>
      </c>
      <c r="I659" s="5" t="s">
        <v>1210</v>
      </c>
      <c r="J659" s="5" t="s">
        <v>1368</v>
      </c>
      <c r="K659" s="5" t="s">
        <v>1329</v>
      </c>
      <c r="L659" s="5" t="str">
        <f>VLOOKUP($K659,'Property names'!$A$1:$D$100,2,FALSE)</f>
        <v>The depth at which the water table is found beneath the Earth's surface.</v>
      </c>
      <c r="M659" s="5" t="str">
        <f>VLOOKUP($K659,'Property names'!$A$1:$D$100,3,FALSE)</f>
        <v>Meters</v>
      </c>
      <c r="N659" s="5" t="str">
        <f>VLOOKUP($K659,'Property names'!$A$1:$D$100,4,FALSE)</f>
        <v>m</v>
      </c>
      <c r="O659" s="5" t="str">
        <f t="shared" si="17"/>
        <v>Tirso_Aquifer_000282_AQT_Param7</v>
      </c>
      <c r="P659" s="5" t="str">
        <f t="shared" si="18"/>
        <v>The datastream containing mesures of field Tirso_Aquifer by sensor 000282 which measures Groundwater Level.</v>
      </c>
      <c r="Q659" s="5" t="s">
        <v>1269</v>
      </c>
    </row>
    <row r="660" spans="1:17" ht="12.75">
      <c r="A660" s="5" t="s">
        <v>693</v>
      </c>
      <c r="B660" s="5" t="s">
        <v>1344</v>
      </c>
      <c r="C660" s="5" t="s">
        <v>1345</v>
      </c>
      <c r="D660" s="5" t="s">
        <v>1210</v>
      </c>
      <c r="E660" s="5" t="s">
        <v>1210</v>
      </c>
      <c r="F660" s="195" t="s">
        <v>1362</v>
      </c>
      <c r="G660" s="5" t="s">
        <v>1210</v>
      </c>
      <c r="H660" s="5" t="s">
        <v>1210</v>
      </c>
      <c r="I660" s="5" t="s">
        <v>1210</v>
      </c>
      <c r="J660" s="5" t="s">
        <v>1277</v>
      </c>
      <c r="K660" s="5" t="s">
        <v>652</v>
      </c>
      <c r="L660" s="5" t="str">
        <f>VLOOKUP($K660,'Property names'!$A$1:$D$100,2,FALSE)</f>
        <v>The measure of the hotness or coldness of the air.</v>
      </c>
      <c r="M660" s="5" t="str">
        <f>VLOOKUP($K660,'Property names'!$A$1:$D$100,3,FALSE)</f>
        <v>Degrees Celsius</v>
      </c>
      <c r="N660" s="5" t="str">
        <f>VLOOKUP($K660,'Property names'!$A$1:$D$100,4,FALSE)</f>
        <v>ºC</v>
      </c>
      <c r="O660" s="5" t="str">
        <f t="shared" si="17"/>
        <v>Tirso_Aquifer_000282_Temperature</v>
      </c>
      <c r="P660" s="5" t="str">
        <f t="shared" si="18"/>
        <v>The datastream containing mesures of field Tirso_Aquifer by sensor 000282 which measures Air Temperature.</v>
      </c>
      <c r="Q660" s="5" t="s">
        <v>1269</v>
      </c>
    </row>
    <row r="661" spans="1:17" ht="12.75">
      <c r="A661" s="5" t="s">
        <v>693</v>
      </c>
      <c r="B661" s="5" t="s">
        <v>1344</v>
      </c>
      <c r="C661" s="5" t="s">
        <v>1345</v>
      </c>
      <c r="D661" s="5" t="s">
        <v>1210</v>
      </c>
      <c r="E661" s="5" t="s">
        <v>1210</v>
      </c>
      <c r="F661" s="195" t="s">
        <v>1362</v>
      </c>
      <c r="G661" s="5" t="s">
        <v>1210</v>
      </c>
      <c r="H661" s="5" t="s">
        <v>1210</v>
      </c>
      <c r="I661" s="5" t="s">
        <v>1210</v>
      </c>
      <c r="J661" s="195" t="s">
        <v>1369</v>
      </c>
      <c r="K661" s="5" t="s">
        <v>1329</v>
      </c>
      <c r="L661" s="5" t="str">
        <f>VLOOKUP($K661,'Property names'!$A$1:$D$100,2,FALSE)</f>
        <v>The depth at which the water table is found beneath the Earth's surface.</v>
      </c>
      <c r="M661" s="5" t="str">
        <f>VLOOKUP($K661,'Property names'!$A$1:$D$100,3,FALSE)</f>
        <v>Meters</v>
      </c>
      <c r="N661" s="5" t="str">
        <f>VLOOKUP($K661,'Property names'!$A$1:$D$100,4,FALSE)</f>
        <v>m</v>
      </c>
      <c r="O661" s="5" t="str">
        <f t="shared" si="17"/>
        <v>Tirso_Aquifer_000282_220</v>
      </c>
      <c r="P661" s="5" t="str">
        <f t="shared" si="18"/>
        <v>The datastream containing mesures of field Tirso_Aquifer by sensor 000282 which measures Groundwater Level.</v>
      </c>
      <c r="Q661" s="5" t="s">
        <v>1269</v>
      </c>
    </row>
    <row r="662" spans="1:17" ht="12.75">
      <c r="A662" s="5" t="s">
        <v>693</v>
      </c>
      <c r="B662" s="5" t="s">
        <v>1344</v>
      </c>
      <c r="C662" s="5" t="s">
        <v>1345</v>
      </c>
      <c r="D662" s="5" t="s">
        <v>1210</v>
      </c>
      <c r="E662" s="5" t="s">
        <v>1210</v>
      </c>
      <c r="F662" s="195" t="s">
        <v>1362</v>
      </c>
      <c r="G662" s="5" t="s">
        <v>1210</v>
      </c>
      <c r="H662" s="5" t="s">
        <v>1210</v>
      </c>
      <c r="I662" s="5" t="s">
        <v>1210</v>
      </c>
      <c r="J662" s="195" t="s">
        <v>1370</v>
      </c>
      <c r="K662" s="5" t="s">
        <v>1329</v>
      </c>
      <c r="L662" s="5" t="str">
        <f>VLOOKUP($K662,'Property names'!$A$1:$D$100,2,FALSE)</f>
        <v>The depth at which the water table is found beneath the Earth's surface.</v>
      </c>
      <c r="M662" s="5" t="str">
        <f>VLOOKUP($K662,'Property names'!$A$1:$D$100,3,FALSE)</f>
        <v>Meters</v>
      </c>
      <c r="N662" s="5" t="str">
        <f>VLOOKUP($K662,'Property names'!$A$1:$D$100,4,FALSE)</f>
        <v>m</v>
      </c>
      <c r="O662" s="5" t="str">
        <f t="shared" si="17"/>
        <v>Tirso_Aquifer_000282_270</v>
      </c>
      <c r="P662" s="5" t="str">
        <f t="shared" si="18"/>
        <v>The datastream containing mesures of field Tirso_Aquifer by sensor 000282 which measures Groundwater Level.</v>
      </c>
      <c r="Q662" s="5" t="s">
        <v>1269</v>
      </c>
    </row>
    <row r="663" spans="1:17" ht="12.75">
      <c r="A663" s="5" t="s">
        <v>693</v>
      </c>
      <c r="B663" s="5" t="s">
        <v>1344</v>
      </c>
      <c r="C663" s="5" t="s">
        <v>1345</v>
      </c>
      <c r="D663" s="5" t="s">
        <v>1210</v>
      </c>
      <c r="E663" s="5" t="s">
        <v>1210</v>
      </c>
      <c r="F663" s="195" t="s">
        <v>1362</v>
      </c>
      <c r="G663" s="5" t="s">
        <v>1210</v>
      </c>
      <c r="H663" s="5" t="s">
        <v>1210</v>
      </c>
      <c r="I663" s="5" t="s">
        <v>1210</v>
      </c>
      <c r="J663" s="5" t="s">
        <v>1371</v>
      </c>
      <c r="K663" s="5" t="s">
        <v>1329</v>
      </c>
      <c r="L663" s="5" t="str">
        <f>VLOOKUP($K663,'Property names'!$A$1:$D$100,2,FALSE)</f>
        <v>The depth at which the water table is found beneath the Earth's surface.</v>
      </c>
      <c r="M663" s="5" t="str">
        <f>VLOOKUP($K663,'Property names'!$A$1:$D$100,3,FALSE)</f>
        <v>Meters</v>
      </c>
      <c r="N663" s="5" t="str">
        <f>VLOOKUP($K663,'Property names'!$A$1:$D$100,4,FALSE)</f>
        <v>m</v>
      </c>
      <c r="O663" s="5" t="str">
        <f t="shared" si="17"/>
        <v>Tirso_Aquifer_000282_PPm</v>
      </c>
      <c r="P663" s="5" t="str">
        <f t="shared" si="18"/>
        <v>The datastream containing mesures of field Tirso_Aquifer by sensor 000282 which measures Groundwater Level.</v>
      </c>
      <c r="Q663" s="5" t="s">
        <v>1269</v>
      </c>
    </row>
    <row r="664" spans="1:17" ht="12.75">
      <c r="A664" s="5" t="s">
        <v>693</v>
      </c>
      <c r="B664" s="5" t="s">
        <v>1344</v>
      </c>
      <c r="C664" s="5" t="s">
        <v>1345</v>
      </c>
      <c r="D664" s="5" t="s">
        <v>1210</v>
      </c>
      <c r="E664" s="5" t="s">
        <v>1210</v>
      </c>
      <c r="F664" s="195" t="s">
        <v>1362</v>
      </c>
      <c r="G664" s="5" t="s">
        <v>1210</v>
      </c>
      <c r="H664" s="5" t="s">
        <v>1210</v>
      </c>
      <c r="I664" s="5" t="s">
        <v>1210</v>
      </c>
      <c r="J664" s="5" t="s">
        <v>1372</v>
      </c>
      <c r="K664" s="5" t="s">
        <v>1271</v>
      </c>
      <c r="L664" s="5" t="str">
        <f>VLOOKUP($K664,'Property names'!$A$1:$D$100,2,FALSE)</f>
        <v>Measure of the ability of a solution to conduct electricity.</v>
      </c>
      <c r="M664" s="5" t="str">
        <f>VLOOKUP($K664,'Property names'!$A$1:$D$100,3,FALSE)</f>
        <v>Microsiemens per centimeter</v>
      </c>
      <c r="N664" s="5" t="str">
        <f>VLOOKUP($K664,'Property names'!$A$1:$D$100,4,FALSE)</f>
        <v>μS/cm</v>
      </c>
      <c r="O664" s="5" t="str">
        <f t="shared" si="17"/>
        <v>Tirso_Aquifer_000282_Power_Supply_(V)</v>
      </c>
      <c r="P664" s="5" t="str">
        <f t="shared" si="18"/>
        <v>The datastream containing mesures of field Tirso_Aquifer by sensor 000282 which measures Electric Conductivity.</v>
      </c>
      <c r="Q664" s="5" t="s">
        <v>1269</v>
      </c>
    </row>
    <row r="665" spans="1:17" ht="12.75">
      <c r="A665" s="5" t="s">
        <v>693</v>
      </c>
      <c r="B665" s="5" t="s">
        <v>1344</v>
      </c>
      <c r="C665" s="5" t="s">
        <v>1345</v>
      </c>
      <c r="D665" s="5" t="s">
        <v>1210</v>
      </c>
      <c r="E665" s="5" t="s">
        <v>1210</v>
      </c>
      <c r="F665" s="195" t="s">
        <v>1362</v>
      </c>
      <c r="G665" s="5" t="s">
        <v>1210</v>
      </c>
      <c r="H665" s="5" t="s">
        <v>1210</v>
      </c>
      <c r="I665" s="5" t="s">
        <v>1210</v>
      </c>
      <c r="J665" s="5" t="s">
        <v>1361</v>
      </c>
      <c r="K665" s="5" t="s">
        <v>1329</v>
      </c>
      <c r="L665" s="5" t="str">
        <f>VLOOKUP($K665,'Property names'!$A$1:$D$100,2,FALSE)</f>
        <v>The depth at which the water table is found beneath the Earth's surface.</v>
      </c>
      <c r="M665" s="5" t="str">
        <f>VLOOKUP($K665,'Property names'!$A$1:$D$100,3,FALSE)</f>
        <v>Meters</v>
      </c>
      <c r="N665" s="5" t="str">
        <f>VLOOKUP($K665,'Property names'!$A$1:$D$100,4,FALSE)</f>
        <v>m</v>
      </c>
      <c r="O665" s="5" t="str">
        <f t="shared" si="17"/>
        <v>Tirso_Aquifer_000282_Water_Level_mH2O_TOW</v>
      </c>
      <c r="P665" s="5" t="str">
        <f t="shared" si="18"/>
        <v>The datastream containing mesures of field Tirso_Aquifer by sensor 000282 which measures Groundwater Level.</v>
      </c>
      <c r="Q665" s="5" t="s">
        <v>1269</v>
      </c>
    </row>
    <row r="666" spans="1:17" ht="12.75">
      <c r="A666" s="5" t="s">
        <v>693</v>
      </c>
      <c r="B666" s="5" t="s">
        <v>1344</v>
      </c>
      <c r="C666" s="5" t="s">
        <v>1345</v>
      </c>
      <c r="D666" s="5" t="s">
        <v>1210</v>
      </c>
      <c r="E666" s="5" t="s">
        <v>1210</v>
      </c>
      <c r="F666" s="195" t="s">
        <v>1346</v>
      </c>
      <c r="G666" s="5" t="s">
        <v>1210</v>
      </c>
      <c r="H666" s="5" t="s">
        <v>1210</v>
      </c>
      <c r="I666" s="5" t="s">
        <v>1210</v>
      </c>
      <c r="J666" s="5" t="s">
        <v>1349</v>
      </c>
      <c r="K666" s="5" t="s">
        <v>1329</v>
      </c>
      <c r="L666" s="5" t="str">
        <f>VLOOKUP($K666,'Property names'!$A$1:$D$100,2,FALSE)</f>
        <v>The depth at which the water table is found beneath the Earth's surface.</v>
      </c>
      <c r="M666" s="5" t="str">
        <f>VLOOKUP($K666,'Property names'!$A$1:$D$100,3,FALSE)</f>
        <v>Meters</v>
      </c>
      <c r="N666" s="5" t="str">
        <f>VLOOKUP($K666,'Property names'!$A$1:$D$100,4,FALSE)</f>
        <v>m</v>
      </c>
      <c r="O666" s="5" t="str">
        <f t="shared" si="17"/>
        <v>Tirso_Aquifer_000269_Depth_mH2O</v>
      </c>
      <c r="P666" s="5" t="str">
        <f t="shared" si="18"/>
        <v>The datastream containing mesures of field Tirso_Aquifer by sensor 000269 which measures Groundwater Level.</v>
      </c>
      <c r="Q666" s="5" t="s">
        <v>1269</v>
      </c>
    </row>
    <row r="667" spans="1:17" ht="12.75">
      <c r="A667" s="5" t="s">
        <v>693</v>
      </c>
      <c r="B667" s="5" t="s">
        <v>1344</v>
      </c>
      <c r="C667" s="5" t="s">
        <v>1345</v>
      </c>
      <c r="D667" s="5" t="s">
        <v>1210</v>
      </c>
      <c r="E667" s="5" t="s">
        <v>1210</v>
      </c>
      <c r="F667" s="195" t="s">
        <v>1346</v>
      </c>
      <c r="G667" s="5" t="s">
        <v>1210</v>
      </c>
      <c r="H667" s="5" t="s">
        <v>1210</v>
      </c>
      <c r="I667" s="5" t="s">
        <v>1210</v>
      </c>
      <c r="J667" s="5" t="s">
        <v>1350</v>
      </c>
      <c r="K667" s="5" t="s">
        <v>1351</v>
      </c>
      <c r="L667" s="5" t="str">
        <f>VLOOKUP($K667,'Property names'!$A$1:$D$100,2,FALSE)</f>
        <v>Turbidity of water</v>
      </c>
      <c r="M667" s="5" t="str">
        <f>VLOOKUP($K667,'Property names'!$A$1:$D$100,3,FALSE)</f>
        <v>Nephelometric Turbidity Units</v>
      </c>
      <c r="N667" s="5" t="str">
        <f>VLOOKUP($K667,'Property names'!$A$1:$D$100,4,FALSE)</f>
        <v>NTU</v>
      </c>
      <c r="O667" s="5" t="str">
        <f t="shared" si="17"/>
        <v>Tirso_Aquifer_000269_Turbidity_NTU</v>
      </c>
      <c r="P667" s="5" t="str">
        <f t="shared" si="18"/>
        <v>The datastream containing mesures of field Tirso_Aquifer by sensor 000269 which measures Turbidity.</v>
      </c>
      <c r="Q667" s="5" t="s">
        <v>1269</v>
      </c>
    </row>
    <row r="668" spans="1:17" ht="12.75">
      <c r="A668" s="5" t="s">
        <v>693</v>
      </c>
      <c r="B668" s="5" t="s">
        <v>1344</v>
      </c>
      <c r="C668" s="5" t="s">
        <v>1345</v>
      </c>
      <c r="D668" s="5" t="s">
        <v>1210</v>
      </c>
      <c r="E668" s="5" t="s">
        <v>1210</v>
      </c>
      <c r="F668" s="195" t="s">
        <v>1346</v>
      </c>
      <c r="G668" s="5" t="s">
        <v>1210</v>
      </c>
      <c r="H668" s="5" t="s">
        <v>1210</v>
      </c>
      <c r="I668" s="5" t="s">
        <v>1210</v>
      </c>
      <c r="J668" s="5" t="s">
        <v>1352</v>
      </c>
      <c r="K668" s="5" t="s">
        <v>652</v>
      </c>
      <c r="L668" s="5" t="str">
        <f>VLOOKUP($K668,'Property names'!$A$1:$D$100,2,FALSE)</f>
        <v>The measure of the hotness or coldness of the air.</v>
      </c>
      <c r="M668" s="5" t="str">
        <f>VLOOKUP($K668,'Property names'!$A$1:$D$100,3,FALSE)</f>
        <v>Degrees Celsius</v>
      </c>
      <c r="N668" s="5" t="str">
        <f>VLOOKUP($K668,'Property names'!$A$1:$D$100,4,FALSE)</f>
        <v>ºC</v>
      </c>
      <c r="O668" s="5" t="str">
        <f t="shared" si="17"/>
        <v>Tirso_Aquifer_000269_Temperature_C</v>
      </c>
      <c r="P668" s="5" t="str">
        <f t="shared" si="18"/>
        <v>The datastream containing mesures of field Tirso_Aquifer by sensor 000269 which measures Air Temperature.</v>
      </c>
      <c r="Q668" s="5" t="s">
        <v>1269</v>
      </c>
    </row>
    <row r="669" spans="1:17" ht="12.75">
      <c r="A669" s="5" t="s">
        <v>693</v>
      </c>
      <c r="B669" s="5" t="s">
        <v>1344</v>
      </c>
      <c r="C669" s="5" t="s">
        <v>1345</v>
      </c>
      <c r="D669" s="5" t="s">
        <v>1210</v>
      </c>
      <c r="E669" s="5" t="s">
        <v>1210</v>
      </c>
      <c r="F669" s="195" t="s">
        <v>1346</v>
      </c>
      <c r="G669" s="5" t="s">
        <v>1210</v>
      </c>
      <c r="H669" s="5" t="s">
        <v>1210</v>
      </c>
      <c r="I669" s="5" t="s">
        <v>1210</v>
      </c>
      <c r="J669" s="5" t="s">
        <v>1268</v>
      </c>
      <c r="K669" s="5" t="s">
        <v>1268</v>
      </c>
      <c r="L669" s="5" t="str">
        <f>VLOOKUP($K669,'Property names'!$A$1:$D$100,2,FALSE)</f>
        <v>Measure of the acidity or alkalinity of a solution.</v>
      </c>
      <c r="M669" s="5" t="str">
        <f>VLOOKUP($K669,'Property names'!$A$1:$D$100,3,FALSE)</f>
        <v>-</v>
      </c>
      <c r="N669" s="5" t="str">
        <f>VLOOKUP($K669,'Property names'!$A$1:$D$100,4,FALSE)</f>
        <v>-</v>
      </c>
      <c r="O669" s="5" t="str">
        <f t="shared" si="17"/>
        <v>Tirso_Aquifer_000269_pH</v>
      </c>
      <c r="P669" s="5" t="str">
        <f t="shared" si="18"/>
        <v>The datastream containing mesures of field Tirso_Aquifer by sensor 000269 which measures pH.</v>
      </c>
      <c r="Q669" s="5" t="s">
        <v>1269</v>
      </c>
    </row>
    <row r="670" spans="1:17" ht="12.75">
      <c r="A670" s="5" t="s">
        <v>693</v>
      </c>
      <c r="B670" s="5" t="s">
        <v>1344</v>
      </c>
      <c r="C670" s="5" t="s">
        <v>1345</v>
      </c>
      <c r="D670" s="5" t="s">
        <v>1210</v>
      </c>
      <c r="E670" s="5" t="s">
        <v>1210</v>
      </c>
      <c r="F670" s="195" t="s">
        <v>1346</v>
      </c>
      <c r="G670" s="5" t="s">
        <v>1210</v>
      </c>
      <c r="H670" s="5" t="s">
        <v>1210</v>
      </c>
      <c r="I670" s="5" t="s">
        <v>1210</v>
      </c>
      <c r="J670" s="5" t="s">
        <v>1353</v>
      </c>
      <c r="K670" s="5" t="s">
        <v>1354</v>
      </c>
      <c r="L670" s="5" t="str">
        <f>VLOOKUP($K670,'Property names'!$A$1:$D$100,2,FALSE)</f>
        <v>Oxidation and Reduction Potential</v>
      </c>
      <c r="M670" s="5" t="str">
        <f>VLOOKUP($K670,'Property names'!$A$1:$D$100,3,FALSE)</f>
        <v>Millivolts</v>
      </c>
      <c r="N670" s="5" t="str">
        <f>VLOOKUP($K670,'Property names'!$A$1:$D$100,4,FALSE)</f>
        <v>mV</v>
      </c>
      <c r="O670" s="5" t="str">
        <f t="shared" si="17"/>
        <v>Tirso_Aquifer_000269_ORP_mV</v>
      </c>
      <c r="P670" s="5" t="str">
        <f t="shared" si="18"/>
        <v>The datastream containing mesures of field Tirso_Aquifer by sensor 000269 which measures ORP.</v>
      </c>
      <c r="Q670" s="5" t="s">
        <v>1269</v>
      </c>
    </row>
    <row r="671" spans="1:17" ht="12.75">
      <c r="A671" s="5" t="s">
        <v>693</v>
      </c>
      <c r="B671" s="5" t="s">
        <v>1344</v>
      </c>
      <c r="C671" s="5" t="s">
        <v>1345</v>
      </c>
      <c r="D671" s="5" t="s">
        <v>1210</v>
      </c>
      <c r="E671" s="5" t="s">
        <v>1210</v>
      </c>
      <c r="F671" s="195" t="s">
        <v>1346</v>
      </c>
      <c r="G671" s="5" t="s">
        <v>1210</v>
      </c>
      <c r="H671" s="5" t="s">
        <v>1210</v>
      </c>
      <c r="I671" s="5" t="s">
        <v>1210</v>
      </c>
      <c r="J671" s="5" t="s">
        <v>1355</v>
      </c>
      <c r="K671" s="5" t="s">
        <v>1271</v>
      </c>
      <c r="L671" s="5" t="str">
        <f>VLOOKUP($K671,'Property names'!$A$1:$D$100,2,FALSE)</f>
        <v>Measure of the ability of a solution to conduct electricity.</v>
      </c>
      <c r="M671" s="5" t="str">
        <f>VLOOKUP($K671,'Property names'!$A$1:$D$100,3,FALSE)</f>
        <v>Microsiemens per centimeter</v>
      </c>
      <c r="N671" s="5" t="str">
        <f>VLOOKUP($K671,'Property names'!$A$1:$D$100,4,FALSE)</f>
        <v>μS/cm</v>
      </c>
      <c r="O671" s="5" t="str">
        <f t="shared" si="17"/>
        <v>Tirso_Aquifer_000269_Specific_Conductivity_us/cm</v>
      </c>
      <c r="P671" s="5" t="str">
        <f t="shared" si="18"/>
        <v>The datastream containing mesures of field Tirso_Aquifer by sensor 000269 which measures Electric Conductivity.</v>
      </c>
      <c r="Q671" s="5" t="s">
        <v>1269</v>
      </c>
    </row>
    <row r="672" spans="1:17" ht="12.75">
      <c r="A672" s="5" t="s">
        <v>693</v>
      </c>
      <c r="B672" s="5" t="s">
        <v>1344</v>
      </c>
      <c r="C672" s="5" t="s">
        <v>1345</v>
      </c>
      <c r="D672" s="5" t="s">
        <v>1210</v>
      </c>
      <c r="E672" s="5" t="s">
        <v>1210</v>
      </c>
      <c r="F672" s="195" t="s">
        <v>1346</v>
      </c>
      <c r="G672" s="5" t="s">
        <v>1210</v>
      </c>
      <c r="H672" s="5" t="s">
        <v>1210</v>
      </c>
      <c r="I672" s="5" t="s">
        <v>1210</v>
      </c>
      <c r="J672" s="5" t="s">
        <v>1356</v>
      </c>
      <c r="K672" s="5" t="s">
        <v>1275</v>
      </c>
      <c r="L672" s="5" t="str">
        <f>VLOOKUP($K672,'Property names'!$A$1:$D$100,2,FALSE)</f>
        <v>Concentration of nitrogen.</v>
      </c>
      <c r="M672" s="5" t="str">
        <f>VLOOKUP($K672,'Property names'!$A$1:$D$100,3,FALSE)</f>
        <v>Milligrams per liter</v>
      </c>
      <c r="N672" s="5" t="str">
        <f>VLOOKUP($K672,'Property names'!$A$1:$D$100,4,FALSE)</f>
        <v>mg/L</v>
      </c>
      <c r="O672" s="5" t="str">
        <f t="shared" si="17"/>
        <v>Tirso_Aquifer_000269_Nitrate_Sensor_Temperature_C</v>
      </c>
      <c r="P672" s="5" t="str">
        <f t="shared" si="18"/>
        <v>The datastream containing mesures of field Tirso_Aquifer by sensor 000269 which measures NO4 / Nitrate.</v>
      </c>
      <c r="Q672" s="5" t="s">
        <v>1269</v>
      </c>
    </row>
    <row r="673" spans="1:17" ht="12.75">
      <c r="A673" s="5" t="s">
        <v>693</v>
      </c>
      <c r="B673" s="5" t="s">
        <v>1344</v>
      </c>
      <c r="C673" s="5" t="s">
        <v>1345</v>
      </c>
      <c r="D673" s="5" t="s">
        <v>1210</v>
      </c>
      <c r="E673" s="5" t="s">
        <v>1210</v>
      </c>
      <c r="F673" s="195" t="s">
        <v>1346</v>
      </c>
      <c r="G673" s="5" t="s">
        <v>1210</v>
      </c>
      <c r="H673" s="5" t="s">
        <v>1210</v>
      </c>
      <c r="I673" s="5" t="s">
        <v>1210</v>
      </c>
      <c r="J673" s="5" t="s">
        <v>1357</v>
      </c>
      <c r="K673" s="5" t="s">
        <v>1329</v>
      </c>
      <c r="L673" s="5" t="str">
        <f>VLOOKUP($K673,'Property names'!$A$1:$D$100,2,FALSE)</f>
        <v>The depth at which the water table is found beneath the Earth's surface.</v>
      </c>
      <c r="M673" s="5" t="str">
        <f>VLOOKUP($K673,'Property names'!$A$1:$D$100,3,FALSE)</f>
        <v>Meters</v>
      </c>
      <c r="N673" s="5" t="str">
        <f>VLOOKUP($K673,'Property names'!$A$1:$D$100,4,FALSE)</f>
        <v>m</v>
      </c>
      <c r="O673" s="5" t="str">
        <f t="shared" si="17"/>
        <v>Tirso_Aquifer_000269_Wave_Length_ABS_220</v>
      </c>
      <c r="P673" s="5" t="str">
        <f t="shared" si="18"/>
        <v>The datastream containing mesures of field Tirso_Aquifer by sensor 000269 which measures Groundwater Level.</v>
      </c>
      <c r="Q673" s="5" t="s">
        <v>1269</v>
      </c>
    </row>
    <row r="674" spans="1:17" ht="12.75">
      <c r="A674" s="5" t="s">
        <v>693</v>
      </c>
      <c r="B674" s="5" t="s">
        <v>1344</v>
      </c>
      <c r="C674" s="5" t="s">
        <v>1345</v>
      </c>
      <c r="D674" s="5" t="s">
        <v>1210</v>
      </c>
      <c r="E674" s="5" t="s">
        <v>1210</v>
      </c>
      <c r="F674" s="195" t="s">
        <v>1346</v>
      </c>
      <c r="G674" s="5" t="s">
        <v>1210</v>
      </c>
      <c r="H674" s="5" t="s">
        <v>1210</v>
      </c>
      <c r="I674" s="5" t="s">
        <v>1210</v>
      </c>
      <c r="J674" s="5" t="s">
        <v>1358</v>
      </c>
      <c r="K674" s="5" t="s">
        <v>1329</v>
      </c>
      <c r="L674" s="5" t="str">
        <f>VLOOKUP($K674,'Property names'!$A$1:$D$100,2,FALSE)</f>
        <v>The depth at which the water table is found beneath the Earth's surface.</v>
      </c>
      <c r="M674" s="5" t="str">
        <f>VLOOKUP($K674,'Property names'!$A$1:$D$100,3,FALSE)</f>
        <v>Meters</v>
      </c>
      <c r="N674" s="5" t="str">
        <f>VLOOKUP($K674,'Property names'!$A$1:$D$100,4,FALSE)</f>
        <v>m</v>
      </c>
      <c r="O674" s="5" t="str">
        <f t="shared" si="17"/>
        <v>Tirso_Aquifer_000269_Wave_Length_ABS_270</v>
      </c>
      <c r="P674" s="5" t="str">
        <f t="shared" si="18"/>
        <v>The datastream containing mesures of field Tirso_Aquifer by sensor 000269 which measures Groundwater Level.</v>
      </c>
      <c r="Q674" s="5" t="s">
        <v>1269</v>
      </c>
    </row>
    <row r="675" spans="1:17" ht="12.75">
      <c r="A675" s="5" t="s">
        <v>693</v>
      </c>
      <c r="B675" s="5" t="s">
        <v>1344</v>
      </c>
      <c r="C675" s="5" t="s">
        <v>1345</v>
      </c>
      <c r="D675" s="5" t="s">
        <v>1210</v>
      </c>
      <c r="E675" s="5" t="s">
        <v>1210</v>
      </c>
      <c r="F675" s="195" t="s">
        <v>1346</v>
      </c>
      <c r="G675" s="5" t="s">
        <v>1210</v>
      </c>
      <c r="H675" s="5" t="s">
        <v>1210</v>
      </c>
      <c r="I675" s="5" t="s">
        <v>1210</v>
      </c>
      <c r="J675" s="5" t="s">
        <v>1359</v>
      </c>
      <c r="K675" s="5" t="s">
        <v>1275</v>
      </c>
      <c r="L675" s="5" t="str">
        <f>VLOOKUP($K675,'Property names'!$A$1:$D$100,2,FALSE)</f>
        <v>Concentration of nitrogen.</v>
      </c>
      <c r="M675" s="5" t="str">
        <f>VLOOKUP($K675,'Property names'!$A$1:$D$100,3,FALSE)</f>
        <v>Milligrams per liter</v>
      </c>
      <c r="N675" s="5" t="str">
        <f>VLOOKUP($K675,'Property names'!$A$1:$D$100,4,FALSE)</f>
        <v>mg/L</v>
      </c>
      <c r="O675" s="5" t="str">
        <f t="shared" si="17"/>
        <v>Tirso_Aquifer_000269_Nitrate_PPm</v>
      </c>
      <c r="P675" s="5" t="str">
        <f t="shared" si="18"/>
        <v>The datastream containing mesures of field Tirso_Aquifer by sensor 000269 which measures NO4 / Nitrate.</v>
      </c>
      <c r="Q675" s="5" t="s">
        <v>1269</v>
      </c>
    </row>
    <row r="676" spans="1:17" ht="12.75">
      <c r="A676" s="5" t="s">
        <v>693</v>
      </c>
      <c r="B676" s="5" t="s">
        <v>1344</v>
      </c>
      <c r="C676" s="5" t="s">
        <v>1345</v>
      </c>
      <c r="D676" s="5" t="s">
        <v>1210</v>
      </c>
      <c r="E676" s="5" t="s">
        <v>1210</v>
      </c>
      <c r="F676" s="195" t="s">
        <v>1346</v>
      </c>
      <c r="G676" s="5" t="s">
        <v>1210</v>
      </c>
      <c r="H676" s="5" t="s">
        <v>1210</v>
      </c>
      <c r="I676" s="5" t="s">
        <v>1210</v>
      </c>
      <c r="J676" s="5" t="s">
        <v>1360</v>
      </c>
      <c r="K676" s="5" t="s">
        <v>692</v>
      </c>
      <c r="L676" s="5" t="str">
        <f>VLOOKUP($K676,'Property names'!$A$1:$D$100,2,FALSE)</f>
        <v>The electrical potential in a battery, indicating its charge level.</v>
      </c>
      <c r="M676" s="5" t="str">
        <f>VLOOKUP($K676,'Property names'!$A$1:$D$100,3,FALSE)</f>
        <v>Millivolts</v>
      </c>
      <c r="N676" s="5" t="str">
        <f>VLOOKUP($K676,'Property names'!$A$1:$D$100,4,FALSE)</f>
        <v>mV</v>
      </c>
      <c r="O676" s="5" t="str">
        <f t="shared" si="17"/>
        <v>Tirso_Aquifer_000269_Voltage</v>
      </c>
      <c r="P676" s="5" t="str">
        <f t="shared" si="18"/>
        <v>The datastream containing mesures of field Tirso_Aquifer by sensor 000269 which measures Battery Voltage.</v>
      </c>
      <c r="Q676" s="5" t="s">
        <v>1269</v>
      </c>
    </row>
    <row r="677" spans="1:17" ht="12.75">
      <c r="A677" s="5" t="s">
        <v>402</v>
      </c>
      <c r="B677" s="5" t="s">
        <v>1373</v>
      </c>
      <c r="C677" s="5" t="s">
        <v>1374</v>
      </c>
      <c r="D677" s="5">
        <v>33.738138890000002</v>
      </c>
      <c r="E677" s="5">
        <v>35.786999999999999</v>
      </c>
      <c r="F677" s="5">
        <v>36231677</v>
      </c>
      <c r="G677" s="5" t="s">
        <v>1375</v>
      </c>
      <c r="H677" s="5" t="s">
        <v>1376</v>
      </c>
      <c r="I677" s="5" t="s">
        <v>1210</v>
      </c>
      <c r="J677" s="5" t="s">
        <v>1377</v>
      </c>
      <c r="K677" s="5" t="s">
        <v>660</v>
      </c>
      <c r="L677" s="5" t="str">
        <f>VLOOKUP($K677,'Property names'!$A$1:$D$100,2,FALSE)</f>
        <v>The amount of moisture present in the soil, often expressed as a percentage of the maximum amount the soil could hold at a given temperature.</v>
      </c>
      <c r="M677" s="5" t="str">
        <f>VLOOKUP($K677,'Property names'!$A$1:$D$100,3,FALSE)</f>
        <v>Percentage</v>
      </c>
      <c r="N677" s="5" t="str">
        <f>VLOOKUP($K677,'Property names'!$A$1:$D$100,4,FALSE)</f>
        <v>%</v>
      </c>
      <c r="O677" s="5" t="str">
        <f t="shared" ref="O677:O847" si="19">SUBSTITUTE(CONCATENATE(B677,"_",F677,"_",J677)," ","_")</f>
        <v>Haouch_el_Saalouk_West_Bekaa_36231677_VWC_1-10cm</v>
      </c>
      <c r="P677" s="5" t="str">
        <f t="shared" ref="P677:P847" si="20">CONCATENATE("The datastream containing mesures of field ",B677," by sensor ",F677," which measures ",K677,".")</f>
        <v>The datastream containing mesures of field Haouch el Saalouk West Bekaa by sensor 36231677 which measures Soil Moisture.</v>
      </c>
      <c r="Q677" s="5" t="s">
        <v>653</v>
      </c>
    </row>
    <row r="678" spans="1:17" ht="12.75">
      <c r="A678" s="5" t="s">
        <v>402</v>
      </c>
      <c r="B678" s="5" t="s">
        <v>1373</v>
      </c>
      <c r="C678" s="5" t="s">
        <v>1374</v>
      </c>
      <c r="D678" s="5">
        <v>33.738138890000002</v>
      </c>
      <c r="E678" s="5">
        <v>35.786999999999999</v>
      </c>
      <c r="F678" s="5">
        <v>36231677</v>
      </c>
      <c r="G678" s="5" t="s">
        <v>1375</v>
      </c>
      <c r="H678" s="5" t="s">
        <v>1376</v>
      </c>
      <c r="I678" s="5" t="s">
        <v>1210</v>
      </c>
      <c r="J678" s="5" t="s">
        <v>1378</v>
      </c>
      <c r="K678" s="5" t="s">
        <v>660</v>
      </c>
      <c r="L678" s="5" t="str">
        <f>VLOOKUP($K678,'Property names'!$A$1:$D$100,2,FALSE)</f>
        <v>The amount of moisture present in the soil, often expressed as a percentage of the maximum amount the soil could hold at a given temperature.</v>
      </c>
      <c r="M678" s="5" t="str">
        <f>VLOOKUP($K678,'Property names'!$A$1:$D$100,3,FALSE)</f>
        <v>Percentage</v>
      </c>
      <c r="N678" s="5" t="str">
        <f>VLOOKUP($K678,'Property names'!$A$1:$D$100,4,FALSE)</f>
        <v>%</v>
      </c>
      <c r="O678" s="5" t="str">
        <f t="shared" si="19"/>
        <v>Haouch_el_Saalouk_West_Bekaa_36231677_VWC_1-20cm</v>
      </c>
      <c r="P678" s="5" t="str">
        <f t="shared" si="20"/>
        <v>The datastream containing mesures of field Haouch el Saalouk West Bekaa by sensor 36231677 which measures Soil Moisture.</v>
      </c>
      <c r="Q678" s="5" t="s">
        <v>653</v>
      </c>
    </row>
    <row r="679" spans="1:17" ht="12.75">
      <c r="A679" s="5" t="s">
        <v>402</v>
      </c>
      <c r="B679" s="5" t="s">
        <v>1373</v>
      </c>
      <c r="C679" s="5" t="s">
        <v>1374</v>
      </c>
      <c r="D679" s="5">
        <v>33.738138890000002</v>
      </c>
      <c r="E679" s="5">
        <v>35.786999999999999</v>
      </c>
      <c r="F679" s="5">
        <v>36231677</v>
      </c>
      <c r="G679" s="5" t="s">
        <v>1375</v>
      </c>
      <c r="H679" s="5" t="s">
        <v>1376</v>
      </c>
      <c r="I679" s="5" t="s">
        <v>1210</v>
      </c>
      <c r="J679" s="5" t="s">
        <v>1379</v>
      </c>
      <c r="K679" s="5" t="s">
        <v>660</v>
      </c>
      <c r="L679" s="5" t="str">
        <f>VLOOKUP($K679,'Property names'!$A$1:$D$100,2,FALSE)</f>
        <v>The amount of moisture present in the soil, often expressed as a percentage of the maximum amount the soil could hold at a given temperature.</v>
      </c>
      <c r="M679" s="5" t="str">
        <f>VLOOKUP($K679,'Property names'!$A$1:$D$100,3,FALSE)</f>
        <v>Percentage</v>
      </c>
      <c r="N679" s="5" t="str">
        <f>VLOOKUP($K679,'Property names'!$A$1:$D$100,4,FALSE)</f>
        <v>%</v>
      </c>
      <c r="O679" s="5" t="str">
        <f t="shared" si="19"/>
        <v>Haouch_el_Saalouk_West_Bekaa_36231677_VWC_1-40cm</v>
      </c>
      <c r="P679" s="5" t="str">
        <f t="shared" si="20"/>
        <v>The datastream containing mesures of field Haouch el Saalouk West Bekaa by sensor 36231677 which measures Soil Moisture.</v>
      </c>
      <c r="Q679" s="5" t="s">
        <v>653</v>
      </c>
    </row>
    <row r="680" spans="1:17" ht="12.75">
      <c r="A680" s="5" t="s">
        <v>402</v>
      </c>
      <c r="B680" s="5" t="s">
        <v>1373</v>
      </c>
      <c r="C680" s="5" t="s">
        <v>1374</v>
      </c>
      <c r="D680" s="5">
        <v>33.738138890000002</v>
      </c>
      <c r="E680" s="5">
        <v>35.786999999999999</v>
      </c>
      <c r="F680" s="5">
        <v>36231677</v>
      </c>
      <c r="G680" s="5" t="s">
        <v>1375</v>
      </c>
      <c r="H680" s="5" t="s">
        <v>1376</v>
      </c>
      <c r="I680" s="5" t="s">
        <v>1210</v>
      </c>
      <c r="J680" s="5" t="s">
        <v>1380</v>
      </c>
      <c r="K680" s="5" t="s">
        <v>660</v>
      </c>
      <c r="L680" s="5" t="str">
        <f>VLOOKUP($K680,'Property names'!$A$1:$D$100,2,FALSE)</f>
        <v>The amount of moisture present in the soil, often expressed as a percentage of the maximum amount the soil could hold at a given temperature.</v>
      </c>
      <c r="M680" s="5" t="str">
        <f>VLOOKUP($K680,'Property names'!$A$1:$D$100,3,FALSE)</f>
        <v>Percentage</v>
      </c>
      <c r="N680" s="5" t="str">
        <f>VLOOKUP($K680,'Property names'!$A$1:$D$100,4,FALSE)</f>
        <v>%</v>
      </c>
      <c r="O680" s="5" t="str">
        <f t="shared" si="19"/>
        <v>Haouch_el_Saalouk_West_Bekaa_36231677_VWC_1-60cm</v>
      </c>
      <c r="P680" s="5" t="str">
        <f t="shared" si="20"/>
        <v>The datastream containing mesures of field Haouch el Saalouk West Bekaa by sensor 36231677 which measures Soil Moisture.</v>
      </c>
      <c r="Q680" s="5" t="s">
        <v>653</v>
      </c>
    </row>
    <row r="681" spans="1:17" ht="12.75">
      <c r="A681" s="5" t="s">
        <v>402</v>
      </c>
      <c r="B681" s="5" t="s">
        <v>1373</v>
      </c>
      <c r="C681" s="5" t="s">
        <v>1374</v>
      </c>
      <c r="D681" s="5">
        <v>33.738138890000002</v>
      </c>
      <c r="E681" s="5">
        <v>35.786999999999999</v>
      </c>
      <c r="F681" s="5">
        <v>36231677</v>
      </c>
      <c r="G681" s="5" t="s">
        <v>1375</v>
      </c>
      <c r="H681" s="5" t="s">
        <v>1376</v>
      </c>
      <c r="I681" s="5" t="s">
        <v>1210</v>
      </c>
      <c r="J681" s="5" t="s">
        <v>1381</v>
      </c>
      <c r="K681" s="5" t="s">
        <v>660</v>
      </c>
      <c r="L681" s="5" t="str">
        <f>VLOOKUP($K681,'Property names'!$A$1:$D$100,2,FALSE)</f>
        <v>The amount of moisture present in the soil, often expressed as a percentage of the maximum amount the soil could hold at a given temperature.</v>
      </c>
      <c r="M681" s="5" t="str">
        <f>VLOOKUP($K681,'Property names'!$A$1:$D$100,3,FALSE)</f>
        <v>Percentage</v>
      </c>
      <c r="N681" s="5" t="str">
        <f>VLOOKUP($K681,'Property names'!$A$1:$D$100,4,FALSE)</f>
        <v>%</v>
      </c>
      <c r="O681" s="5" t="str">
        <f t="shared" si="19"/>
        <v>Haouch_el_Saalouk_West_Bekaa_36231677_VWC_1-80cm</v>
      </c>
      <c r="P681" s="5" t="str">
        <f t="shared" si="20"/>
        <v>The datastream containing mesures of field Haouch el Saalouk West Bekaa by sensor 36231677 which measures Soil Moisture.</v>
      </c>
      <c r="Q681" s="5" t="s">
        <v>653</v>
      </c>
    </row>
    <row r="682" spans="1:17" ht="12.75">
      <c r="A682" s="5" t="s">
        <v>402</v>
      </c>
      <c r="B682" s="5" t="s">
        <v>1373</v>
      </c>
      <c r="C682" s="5" t="s">
        <v>1374</v>
      </c>
      <c r="D682" s="5">
        <v>33.738138890000002</v>
      </c>
      <c r="E682" s="5">
        <v>35.786999999999999</v>
      </c>
      <c r="F682" s="5">
        <v>36231677</v>
      </c>
      <c r="G682" s="5" t="s">
        <v>1375</v>
      </c>
      <c r="H682" s="5" t="s">
        <v>1376</v>
      </c>
      <c r="I682" s="5" t="s">
        <v>1210</v>
      </c>
      <c r="J682" s="5" t="s">
        <v>1382</v>
      </c>
      <c r="K682" s="5" t="s">
        <v>660</v>
      </c>
      <c r="L682" s="5" t="str">
        <f>VLOOKUP($K682,'Property names'!$A$1:$D$100,2,FALSE)</f>
        <v>The amount of moisture present in the soil, often expressed as a percentage of the maximum amount the soil could hold at a given temperature.</v>
      </c>
      <c r="M682" s="5" t="str">
        <f>VLOOKUP($K682,'Property names'!$A$1:$D$100,3,FALSE)</f>
        <v>Percentage</v>
      </c>
      <c r="N682" s="5" t="str">
        <f>VLOOKUP($K682,'Property names'!$A$1:$D$100,4,FALSE)</f>
        <v>%</v>
      </c>
      <c r="O682" s="5" t="str">
        <f t="shared" si="19"/>
        <v>Haouch_el_Saalouk_West_Bekaa_36231677_VWC_1-100cm</v>
      </c>
      <c r="P682" s="5" t="str">
        <f t="shared" si="20"/>
        <v>The datastream containing mesures of field Haouch el Saalouk West Bekaa by sensor 36231677 which measures Soil Moisture.</v>
      </c>
      <c r="Q682" s="5" t="s">
        <v>653</v>
      </c>
    </row>
    <row r="683" spans="1:17" ht="12.75">
      <c r="A683" s="5" t="s">
        <v>402</v>
      </c>
      <c r="B683" s="5" t="s">
        <v>1373</v>
      </c>
      <c r="C683" s="5" t="s">
        <v>1374</v>
      </c>
      <c r="D683" s="5">
        <v>33.738138890000002</v>
      </c>
      <c r="E683" s="5">
        <v>35.786999999999999</v>
      </c>
      <c r="F683" s="5">
        <v>36231677</v>
      </c>
      <c r="G683" s="5" t="s">
        <v>1375</v>
      </c>
      <c r="H683" s="5" t="s">
        <v>1376</v>
      </c>
      <c r="I683" s="5" t="s">
        <v>1210</v>
      </c>
      <c r="J683" s="5" t="s">
        <v>1383</v>
      </c>
      <c r="K683" s="5" t="s">
        <v>660</v>
      </c>
      <c r="L683" s="5" t="str">
        <f>VLOOKUP($K683,'Property names'!$A$1:$D$100,2,FALSE)</f>
        <v>The amount of moisture present in the soil, often expressed as a percentage of the maximum amount the soil could hold at a given temperature.</v>
      </c>
      <c r="M683" s="5" t="str">
        <f>VLOOKUP($K683,'Property names'!$A$1:$D$100,3,FALSE)</f>
        <v>Percentage</v>
      </c>
      <c r="N683" s="5" t="str">
        <f>VLOOKUP($K683,'Property names'!$A$1:$D$100,4,FALSE)</f>
        <v>%</v>
      </c>
      <c r="O683" s="5" t="str">
        <f t="shared" si="19"/>
        <v>Haouch_el_Saalouk_West_Bekaa_36231677_VWC_1-120cm</v>
      </c>
      <c r="P683" s="5" t="str">
        <f t="shared" si="20"/>
        <v>The datastream containing mesures of field Haouch el Saalouk West Bekaa by sensor 36231677 which measures Soil Moisture.</v>
      </c>
      <c r="Q683" s="5" t="s">
        <v>653</v>
      </c>
    </row>
    <row r="684" spans="1:17" ht="12.75">
      <c r="A684" s="5" t="s">
        <v>402</v>
      </c>
      <c r="B684" s="5" t="s">
        <v>1373</v>
      </c>
      <c r="C684" s="5" t="s">
        <v>1374</v>
      </c>
      <c r="D684" s="5">
        <v>33.738138890000002</v>
      </c>
      <c r="E684" s="5">
        <v>35.786999999999999</v>
      </c>
      <c r="F684" s="5">
        <v>36231677</v>
      </c>
      <c r="G684" s="5" t="s">
        <v>1375</v>
      </c>
      <c r="H684" s="5" t="s">
        <v>1376</v>
      </c>
      <c r="I684" s="5" t="s">
        <v>1210</v>
      </c>
      <c r="J684" s="5" t="s">
        <v>1384</v>
      </c>
      <c r="K684" s="5" t="s">
        <v>660</v>
      </c>
      <c r="L684" s="5" t="str">
        <f>VLOOKUP($K684,'Property names'!$A$1:$D$100,2,FALSE)</f>
        <v>The amount of moisture present in the soil, often expressed as a percentage of the maximum amount the soil could hold at a given temperature.</v>
      </c>
      <c r="M684" s="5" t="str">
        <f>VLOOKUP($K684,'Property names'!$A$1:$D$100,3,FALSE)</f>
        <v>Percentage</v>
      </c>
      <c r="N684" s="5" t="str">
        <f>VLOOKUP($K684,'Property names'!$A$1:$D$100,4,FALSE)</f>
        <v>%</v>
      </c>
      <c r="O684" s="5" t="str">
        <f t="shared" si="19"/>
        <v>Haouch_el_Saalouk_West_Bekaa_36231677_VWC_1-140cm</v>
      </c>
      <c r="P684" s="5" t="str">
        <f t="shared" si="20"/>
        <v>The datastream containing mesures of field Haouch el Saalouk West Bekaa by sensor 36231677 which measures Soil Moisture.</v>
      </c>
      <c r="Q684" s="5" t="s">
        <v>653</v>
      </c>
    </row>
    <row r="685" spans="1:17" ht="12.75">
      <c r="A685" s="5" t="s">
        <v>402</v>
      </c>
      <c r="B685" s="5" t="s">
        <v>1373</v>
      </c>
      <c r="C685" s="5" t="s">
        <v>1374</v>
      </c>
      <c r="D685" s="5">
        <v>33.738138890000002</v>
      </c>
      <c r="E685" s="5">
        <v>35.786999999999999</v>
      </c>
      <c r="F685" s="5">
        <v>36231677</v>
      </c>
      <c r="G685" s="5" t="s">
        <v>1375</v>
      </c>
      <c r="H685" s="5" t="s">
        <v>1376</v>
      </c>
      <c r="I685" s="5" t="s">
        <v>1210</v>
      </c>
      <c r="J685" s="5" t="s">
        <v>1385</v>
      </c>
      <c r="K685" s="5" t="s">
        <v>660</v>
      </c>
      <c r="L685" s="5" t="str">
        <f>VLOOKUP($K685,'Property names'!$A$1:$D$100,2,FALSE)</f>
        <v>The amount of moisture present in the soil, often expressed as a percentage of the maximum amount the soil could hold at a given temperature.</v>
      </c>
      <c r="M685" s="5" t="str">
        <f>VLOOKUP($K685,'Property names'!$A$1:$D$100,3,FALSE)</f>
        <v>Percentage</v>
      </c>
      <c r="N685" s="5" t="str">
        <f>VLOOKUP($K685,'Property names'!$A$1:$D$100,4,FALSE)</f>
        <v>%</v>
      </c>
      <c r="O685" s="5" t="str">
        <f t="shared" si="19"/>
        <v>Haouch_el_Saalouk_West_Bekaa_36231677_VWC_1-160cm</v>
      </c>
      <c r="P685" s="5" t="str">
        <f t="shared" si="20"/>
        <v>The datastream containing mesures of field Haouch el Saalouk West Bekaa by sensor 36231677 which measures Soil Moisture.</v>
      </c>
      <c r="Q685" s="5" t="s">
        <v>653</v>
      </c>
    </row>
    <row r="686" spans="1:17" ht="12.75">
      <c r="A686" s="5" t="s">
        <v>402</v>
      </c>
      <c r="B686" s="5" t="s">
        <v>1373</v>
      </c>
      <c r="C686" s="5" t="s">
        <v>1374</v>
      </c>
      <c r="D686" s="5">
        <v>33.738138890000002</v>
      </c>
      <c r="E686" s="5">
        <v>35.786999999999999</v>
      </c>
      <c r="F686" s="5">
        <v>36231677</v>
      </c>
      <c r="G686" s="5" t="s">
        <v>1375</v>
      </c>
      <c r="H686" s="5" t="s">
        <v>1376</v>
      </c>
      <c r="I686" s="5" t="s">
        <v>1210</v>
      </c>
      <c r="J686" s="5" t="s">
        <v>1386</v>
      </c>
      <c r="K686" s="5" t="s">
        <v>662</v>
      </c>
      <c r="L686" s="5" t="str">
        <f>VLOOKUP($K686,'Property names'!$A$1:$D$100,2,FALSE)</f>
        <v>The measure of temperature of the soil.</v>
      </c>
      <c r="M686" s="5" t="str">
        <f>VLOOKUP($K686,'Property names'!$A$1:$D$100,3,FALSE)</f>
        <v>Degrees Celsius</v>
      </c>
      <c r="N686" s="5" t="str">
        <f>VLOOKUP($K686,'Property names'!$A$1:$D$100,4,FALSE)</f>
        <v>ºC</v>
      </c>
      <c r="O686" s="5" t="str">
        <f t="shared" si="19"/>
        <v>Haouch_el_Saalouk_West_Bekaa_36231677_Temp_1-10cm</v>
      </c>
      <c r="P686" s="5" t="str">
        <f t="shared" si="20"/>
        <v>The datastream containing mesures of field Haouch el Saalouk West Bekaa by sensor 36231677 which measures Soil Temperature.</v>
      </c>
      <c r="Q686" s="5" t="s">
        <v>653</v>
      </c>
    </row>
    <row r="687" spans="1:17" ht="12.75">
      <c r="A687" s="5" t="s">
        <v>402</v>
      </c>
      <c r="B687" s="5" t="s">
        <v>1373</v>
      </c>
      <c r="C687" s="5" t="s">
        <v>1374</v>
      </c>
      <c r="D687" s="5">
        <v>33.738138890000002</v>
      </c>
      <c r="E687" s="5">
        <v>35.786999999999999</v>
      </c>
      <c r="F687" s="5">
        <v>36231677</v>
      </c>
      <c r="G687" s="5" t="s">
        <v>1375</v>
      </c>
      <c r="H687" s="5" t="s">
        <v>1376</v>
      </c>
      <c r="I687" s="5" t="s">
        <v>1210</v>
      </c>
      <c r="J687" s="5" t="s">
        <v>1387</v>
      </c>
      <c r="K687" s="5" t="s">
        <v>662</v>
      </c>
      <c r="L687" s="5" t="str">
        <f>VLOOKUP($K687,'Property names'!$A$1:$D$100,2,FALSE)</f>
        <v>The measure of temperature of the soil.</v>
      </c>
      <c r="M687" s="5" t="str">
        <f>VLOOKUP($K687,'Property names'!$A$1:$D$100,3,FALSE)</f>
        <v>Degrees Celsius</v>
      </c>
      <c r="N687" s="5" t="str">
        <f>VLOOKUP($K687,'Property names'!$A$1:$D$100,4,FALSE)</f>
        <v>ºC</v>
      </c>
      <c r="O687" s="5" t="str">
        <f t="shared" si="19"/>
        <v>Haouch_el_Saalouk_West_Bekaa_36231677_Temp_1-20cm</v>
      </c>
      <c r="P687" s="5" t="str">
        <f t="shared" si="20"/>
        <v>The datastream containing mesures of field Haouch el Saalouk West Bekaa by sensor 36231677 which measures Soil Temperature.</v>
      </c>
      <c r="Q687" s="5" t="s">
        <v>653</v>
      </c>
    </row>
    <row r="688" spans="1:17" ht="12.75">
      <c r="A688" s="5" t="s">
        <v>402</v>
      </c>
      <c r="B688" s="5" t="s">
        <v>1373</v>
      </c>
      <c r="C688" s="5" t="s">
        <v>1374</v>
      </c>
      <c r="D688" s="5">
        <v>33.738138890000002</v>
      </c>
      <c r="E688" s="5">
        <v>35.786999999999999</v>
      </c>
      <c r="F688" s="5">
        <v>36231677</v>
      </c>
      <c r="G688" s="5" t="s">
        <v>1375</v>
      </c>
      <c r="H688" s="5" t="s">
        <v>1376</v>
      </c>
      <c r="I688" s="5" t="s">
        <v>1210</v>
      </c>
      <c r="J688" s="5" t="s">
        <v>1388</v>
      </c>
      <c r="K688" s="5" t="s">
        <v>662</v>
      </c>
      <c r="L688" s="5" t="str">
        <f>VLOOKUP($K688,'Property names'!$A$1:$D$100,2,FALSE)</f>
        <v>The measure of temperature of the soil.</v>
      </c>
      <c r="M688" s="5" t="str">
        <f>VLOOKUP($K688,'Property names'!$A$1:$D$100,3,FALSE)</f>
        <v>Degrees Celsius</v>
      </c>
      <c r="N688" s="5" t="str">
        <f>VLOOKUP($K688,'Property names'!$A$1:$D$100,4,FALSE)</f>
        <v>ºC</v>
      </c>
      <c r="O688" s="5" t="str">
        <f t="shared" si="19"/>
        <v>Haouch_el_Saalouk_West_Bekaa_36231677_Temp_1-40cm</v>
      </c>
      <c r="P688" s="5" t="str">
        <f t="shared" si="20"/>
        <v>The datastream containing mesures of field Haouch el Saalouk West Bekaa by sensor 36231677 which measures Soil Temperature.</v>
      </c>
      <c r="Q688" s="5" t="s">
        <v>653</v>
      </c>
    </row>
    <row r="689" spans="1:17" ht="12.75">
      <c r="A689" s="5" t="s">
        <v>402</v>
      </c>
      <c r="B689" s="5" t="s">
        <v>1373</v>
      </c>
      <c r="C689" s="5" t="s">
        <v>1374</v>
      </c>
      <c r="D689" s="5">
        <v>33.738138890000002</v>
      </c>
      <c r="E689" s="5">
        <v>35.786999999999999</v>
      </c>
      <c r="F689" s="5">
        <v>36231677</v>
      </c>
      <c r="G689" s="5" t="s">
        <v>1375</v>
      </c>
      <c r="H689" s="5" t="s">
        <v>1376</v>
      </c>
      <c r="I689" s="5" t="s">
        <v>1210</v>
      </c>
      <c r="J689" s="5" t="s">
        <v>1389</v>
      </c>
      <c r="K689" s="5" t="s">
        <v>662</v>
      </c>
      <c r="L689" s="5" t="str">
        <f>VLOOKUP($K689,'Property names'!$A$1:$D$100,2,FALSE)</f>
        <v>The measure of temperature of the soil.</v>
      </c>
      <c r="M689" s="5" t="str">
        <f>VLOOKUP($K689,'Property names'!$A$1:$D$100,3,FALSE)</f>
        <v>Degrees Celsius</v>
      </c>
      <c r="N689" s="5" t="str">
        <f>VLOOKUP($K689,'Property names'!$A$1:$D$100,4,FALSE)</f>
        <v>ºC</v>
      </c>
      <c r="O689" s="5" t="str">
        <f t="shared" si="19"/>
        <v>Haouch_el_Saalouk_West_Bekaa_36231677_Temp_1-60cm</v>
      </c>
      <c r="P689" s="5" t="str">
        <f t="shared" si="20"/>
        <v>The datastream containing mesures of field Haouch el Saalouk West Bekaa by sensor 36231677 which measures Soil Temperature.</v>
      </c>
      <c r="Q689" s="5" t="s">
        <v>653</v>
      </c>
    </row>
    <row r="690" spans="1:17" ht="12.75">
      <c r="A690" s="5" t="s">
        <v>402</v>
      </c>
      <c r="B690" s="5" t="s">
        <v>1373</v>
      </c>
      <c r="C690" s="5" t="s">
        <v>1374</v>
      </c>
      <c r="D690" s="5">
        <v>33.738138890000002</v>
      </c>
      <c r="E690" s="5">
        <v>35.786999999999999</v>
      </c>
      <c r="F690" s="5">
        <v>36231677</v>
      </c>
      <c r="G690" s="5" t="s">
        <v>1375</v>
      </c>
      <c r="H690" s="5" t="s">
        <v>1376</v>
      </c>
      <c r="I690" s="5" t="s">
        <v>1210</v>
      </c>
      <c r="J690" s="5" t="s">
        <v>1390</v>
      </c>
      <c r="K690" s="5" t="s">
        <v>662</v>
      </c>
      <c r="L690" s="5" t="str">
        <f>VLOOKUP($K690,'Property names'!$A$1:$D$100,2,FALSE)</f>
        <v>The measure of temperature of the soil.</v>
      </c>
      <c r="M690" s="5" t="str">
        <f>VLOOKUP($K690,'Property names'!$A$1:$D$100,3,FALSE)</f>
        <v>Degrees Celsius</v>
      </c>
      <c r="N690" s="5" t="str">
        <f>VLOOKUP($K690,'Property names'!$A$1:$D$100,4,FALSE)</f>
        <v>ºC</v>
      </c>
      <c r="O690" s="5" t="str">
        <f t="shared" si="19"/>
        <v>Haouch_el_Saalouk_West_Bekaa_36231677_Temp_1-80cm</v>
      </c>
      <c r="P690" s="5" t="str">
        <f t="shared" si="20"/>
        <v>The datastream containing mesures of field Haouch el Saalouk West Bekaa by sensor 36231677 which measures Soil Temperature.</v>
      </c>
      <c r="Q690" s="5" t="s">
        <v>653</v>
      </c>
    </row>
    <row r="691" spans="1:17" ht="12.75">
      <c r="A691" s="5" t="s">
        <v>402</v>
      </c>
      <c r="B691" s="5" t="s">
        <v>1373</v>
      </c>
      <c r="C691" s="5" t="s">
        <v>1374</v>
      </c>
      <c r="D691" s="5">
        <v>33.738138890000002</v>
      </c>
      <c r="E691" s="5">
        <v>35.786999999999999</v>
      </c>
      <c r="F691" s="5">
        <v>36231677</v>
      </c>
      <c r="G691" s="5" t="s">
        <v>1375</v>
      </c>
      <c r="H691" s="5" t="s">
        <v>1376</v>
      </c>
      <c r="I691" s="5" t="s">
        <v>1210</v>
      </c>
      <c r="J691" s="5" t="s">
        <v>1391</v>
      </c>
      <c r="K691" s="5" t="s">
        <v>662</v>
      </c>
      <c r="L691" s="5" t="str">
        <f>VLOOKUP($K691,'Property names'!$A$1:$D$100,2,FALSE)</f>
        <v>The measure of temperature of the soil.</v>
      </c>
      <c r="M691" s="5" t="str">
        <f>VLOOKUP($K691,'Property names'!$A$1:$D$100,3,FALSE)</f>
        <v>Degrees Celsius</v>
      </c>
      <c r="N691" s="5" t="str">
        <f>VLOOKUP($K691,'Property names'!$A$1:$D$100,4,FALSE)</f>
        <v>ºC</v>
      </c>
      <c r="O691" s="5" t="str">
        <f t="shared" si="19"/>
        <v>Haouch_el_Saalouk_West_Bekaa_36231677_Temp_1-100cm</v>
      </c>
      <c r="P691" s="5" t="str">
        <f t="shared" si="20"/>
        <v>The datastream containing mesures of field Haouch el Saalouk West Bekaa by sensor 36231677 which measures Soil Temperature.</v>
      </c>
      <c r="Q691" s="5" t="s">
        <v>653</v>
      </c>
    </row>
    <row r="692" spans="1:17" ht="12.75">
      <c r="A692" s="5" t="s">
        <v>402</v>
      </c>
      <c r="B692" s="5" t="s">
        <v>1373</v>
      </c>
      <c r="C692" s="5" t="s">
        <v>1374</v>
      </c>
      <c r="D692" s="5">
        <v>33.738138890000002</v>
      </c>
      <c r="E692" s="5">
        <v>35.787000000000099</v>
      </c>
      <c r="F692" s="5">
        <v>36231677</v>
      </c>
      <c r="G692" s="5" t="s">
        <v>1375</v>
      </c>
      <c r="H692" s="5" t="s">
        <v>1376</v>
      </c>
      <c r="I692" s="5" t="s">
        <v>1210</v>
      </c>
      <c r="J692" s="5" t="s">
        <v>1392</v>
      </c>
      <c r="K692" s="5" t="s">
        <v>662</v>
      </c>
      <c r="L692" s="5" t="str">
        <f>VLOOKUP($K692,'Property names'!$A$1:$D$100,2,FALSE)</f>
        <v>The measure of temperature of the soil.</v>
      </c>
      <c r="M692" s="5" t="str">
        <f>VLOOKUP($K692,'Property names'!$A$1:$D$100,3,FALSE)</f>
        <v>Degrees Celsius</v>
      </c>
      <c r="N692" s="5" t="str">
        <f>VLOOKUP($K692,'Property names'!$A$1:$D$100,4,FALSE)</f>
        <v>ºC</v>
      </c>
      <c r="O692" s="5" t="str">
        <f t="shared" si="19"/>
        <v>Haouch_el_Saalouk_West_Bekaa_36231677_Temp_1-120cm</v>
      </c>
      <c r="P692" s="5" t="str">
        <f t="shared" si="20"/>
        <v>The datastream containing mesures of field Haouch el Saalouk West Bekaa by sensor 36231677 which measures Soil Temperature.</v>
      </c>
      <c r="Q692" s="5" t="s">
        <v>653</v>
      </c>
    </row>
    <row r="693" spans="1:17" ht="12.75">
      <c r="A693" s="5" t="s">
        <v>402</v>
      </c>
      <c r="B693" s="5" t="s">
        <v>1373</v>
      </c>
      <c r="C693" s="5" t="s">
        <v>1374</v>
      </c>
      <c r="D693" s="5">
        <v>33.738138889999902</v>
      </c>
      <c r="E693" s="5">
        <v>35.787000000000099</v>
      </c>
      <c r="F693" s="5">
        <v>36231677</v>
      </c>
      <c r="G693" s="5" t="s">
        <v>1375</v>
      </c>
      <c r="H693" s="5" t="s">
        <v>1376</v>
      </c>
      <c r="I693" s="5" t="s">
        <v>1210</v>
      </c>
      <c r="J693" s="5" t="s">
        <v>1393</v>
      </c>
      <c r="K693" s="5" t="s">
        <v>662</v>
      </c>
      <c r="L693" s="5" t="str">
        <f>VLOOKUP($K693,'Property names'!$A$1:$D$100,2,FALSE)</f>
        <v>The measure of temperature of the soil.</v>
      </c>
      <c r="M693" s="5" t="str">
        <f>VLOOKUP($K693,'Property names'!$A$1:$D$100,3,FALSE)</f>
        <v>Degrees Celsius</v>
      </c>
      <c r="N693" s="5" t="str">
        <f>VLOOKUP($K693,'Property names'!$A$1:$D$100,4,FALSE)</f>
        <v>ºC</v>
      </c>
      <c r="O693" s="5" t="str">
        <f t="shared" si="19"/>
        <v>Haouch_el_Saalouk_West_Bekaa_36231677_Temp_1-140cm</v>
      </c>
      <c r="P693" s="5" t="str">
        <f t="shared" si="20"/>
        <v>The datastream containing mesures of field Haouch el Saalouk West Bekaa by sensor 36231677 which measures Soil Temperature.</v>
      </c>
      <c r="Q693" s="5" t="s">
        <v>653</v>
      </c>
    </row>
    <row r="694" spans="1:17" ht="12.75">
      <c r="A694" s="5" t="s">
        <v>402</v>
      </c>
      <c r="B694" s="5" t="s">
        <v>1373</v>
      </c>
      <c r="C694" s="5" t="s">
        <v>1374</v>
      </c>
      <c r="D694" s="5">
        <v>33.738138889999902</v>
      </c>
      <c r="E694" s="5">
        <v>35.787000000000099</v>
      </c>
      <c r="F694" s="5">
        <v>36231677</v>
      </c>
      <c r="G694" s="5" t="s">
        <v>1375</v>
      </c>
      <c r="H694" s="5" t="s">
        <v>1376</v>
      </c>
      <c r="I694" s="5" t="s">
        <v>1210</v>
      </c>
      <c r="J694" s="5" t="s">
        <v>1394</v>
      </c>
      <c r="K694" s="5" t="s">
        <v>662</v>
      </c>
      <c r="L694" s="5" t="str">
        <f>VLOOKUP($K694,'Property names'!$A$1:$D$100,2,FALSE)</f>
        <v>The measure of temperature of the soil.</v>
      </c>
      <c r="M694" s="5" t="str">
        <f>VLOOKUP($K694,'Property names'!$A$1:$D$100,3,FALSE)</f>
        <v>Degrees Celsius</v>
      </c>
      <c r="N694" s="5" t="str">
        <f>VLOOKUP($K694,'Property names'!$A$1:$D$100,4,FALSE)</f>
        <v>ºC</v>
      </c>
      <c r="O694" s="5" t="str">
        <f t="shared" si="19"/>
        <v>Haouch_el_Saalouk_West_Bekaa_36231677_Temp_1-160cm</v>
      </c>
      <c r="P694" s="5" t="str">
        <f t="shared" si="20"/>
        <v>The datastream containing mesures of field Haouch el Saalouk West Bekaa by sensor 36231677 which measures Soil Temperature.</v>
      </c>
      <c r="Q694" s="5" t="s">
        <v>653</v>
      </c>
    </row>
    <row r="695" spans="1:17" ht="12.75">
      <c r="A695" s="5" t="s">
        <v>402</v>
      </c>
      <c r="B695" s="5" t="s">
        <v>1373</v>
      </c>
      <c r="C695" s="5" t="s">
        <v>1374</v>
      </c>
      <c r="D695" s="5">
        <v>33.738138889999902</v>
      </c>
      <c r="E695" s="5">
        <v>35.787000000000099</v>
      </c>
      <c r="F695" s="5">
        <v>36231677</v>
      </c>
      <c r="G695" s="5" t="s">
        <v>1375</v>
      </c>
      <c r="H695" s="5" t="s">
        <v>1376</v>
      </c>
      <c r="I695" s="5" t="s">
        <v>1210</v>
      </c>
      <c r="J695" s="5" t="s">
        <v>1395</v>
      </c>
      <c r="K695" s="5" t="s">
        <v>660</v>
      </c>
      <c r="L695" s="5" t="str">
        <f>VLOOKUP($K695,'Property names'!$A$1:$D$100,2,FALSE)</f>
        <v>The amount of moisture present in the soil, often expressed as a percentage of the maximum amount the soil could hold at a given temperature.</v>
      </c>
      <c r="M695" s="5" t="str">
        <f>VLOOKUP($K695,'Property names'!$A$1:$D$100,3,FALSE)</f>
        <v>Percentage</v>
      </c>
      <c r="N695" s="5" t="str">
        <f>VLOOKUP($K695,'Property names'!$A$1:$D$100,4,FALSE)</f>
        <v>%</v>
      </c>
      <c r="O695" s="5" t="str">
        <f t="shared" si="19"/>
        <v>Haouch_el_Saalouk_West_Bekaa_36231677_VWC_2-10cm</v>
      </c>
      <c r="P695" s="5" t="str">
        <f t="shared" si="20"/>
        <v>The datastream containing mesures of field Haouch el Saalouk West Bekaa by sensor 36231677 which measures Soil Moisture.</v>
      </c>
      <c r="Q695" s="5" t="s">
        <v>653</v>
      </c>
    </row>
    <row r="696" spans="1:17" ht="12.75">
      <c r="A696" s="5" t="s">
        <v>402</v>
      </c>
      <c r="B696" s="5" t="s">
        <v>1373</v>
      </c>
      <c r="C696" s="5" t="s">
        <v>1374</v>
      </c>
      <c r="D696" s="5">
        <v>33.738138889999902</v>
      </c>
      <c r="E696" s="5">
        <v>35.787000000000099</v>
      </c>
      <c r="F696" s="5">
        <v>36231677</v>
      </c>
      <c r="G696" s="5" t="s">
        <v>1375</v>
      </c>
      <c r="H696" s="5" t="s">
        <v>1376</v>
      </c>
      <c r="I696" s="5" t="s">
        <v>1210</v>
      </c>
      <c r="J696" s="5" t="s">
        <v>1396</v>
      </c>
      <c r="K696" s="5" t="s">
        <v>660</v>
      </c>
      <c r="L696" s="5" t="str">
        <f>VLOOKUP($K696,'Property names'!$A$1:$D$100,2,FALSE)</f>
        <v>The amount of moisture present in the soil, often expressed as a percentage of the maximum amount the soil could hold at a given temperature.</v>
      </c>
      <c r="M696" s="5" t="str">
        <f>VLOOKUP($K696,'Property names'!$A$1:$D$100,3,FALSE)</f>
        <v>Percentage</v>
      </c>
      <c r="N696" s="5" t="str">
        <f>VLOOKUP($K696,'Property names'!$A$1:$D$100,4,FALSE)</f>
        <v>%</v>
      </c>
      <c r="O696" s="5" t="str">
        <f t="shared" si="19"/>
        <v>Haouch_el_Saalouk_West_Bekaa_36231677_VWC_2-20cm</v>
      </c>
      <c r="P696" s="5" t="str">
        <f t="shared" si="20"/>
        <v>The datastream containing mesures of field Haouch el Saalouk West Bekaa by sensor 36231677 which measures Soil Moisture.</v>
      </c>
      <c r="Q696" s="5" t="s">
        <v>653</v>
      </c>
    </row>
    <row r="697" spans="1:17" ht="12.75">
      <c r="A697" s="5" t="s">
        <v>402</v>
      </c>
      <c r="B697" s="5" t="s">
        <v>1373</v>
      </c>
      <c r="C697" s="5" t="s">
        <v>1374</v>
      </c>
      <c r="D697" s="5">
        <v>33.738138889999902</v>
      </c>
      <c r="E697" s="5">
        <v>35.787000000000099</v>
      </c>
      <c r="F697" s="5">
        <v>36231677</v>
      </c>
      <c r="G697" s="5" t="s">
        <v>1375</v>
      </c>
      <c r="H697" s="5" t="s">
        <v>1376</v>
      </c>
      <c r="I697" s="5" t="s">
        <v>1210</v>
      </c>
      <c r="J697" s="5" t="s">
        <v>1397</v>
      </c>
      <c r="K697" s="5" t="s">
        <v>660</v>
      </c>
      <c r="L697" s="5" t="str">
        <f>VLOOKUP($K697,'Property names'!$A$1:$D$100,2,FALSE)</f>
        <v>The amount of moisture present in the soil, often expressed as a percentage of the maximum amount the soil could hold at a given temperature.</v>
      </c>
      <c r="M697" s="5" t="str">
        <f>VLOOKUP($K697,'Property names'!$A$1:$D$100,3,FALSE)</f>
        <v>Percentage</v>
      </c>
      <c r="N697" s="5" t="str">
        <f>VLOOKUP($K697,'Property names'!$A$1:$D$100,4,FALSE)</f>
        <v>%</v>
      </c>
      <c r="O697" s="5" t="str">
        <f t="shared" si="19"/>
        <v>Haouch_el_Saalouk_West_Bekaa_36231677_VWC_2-40cm</v>
      </c>
      <c r="P697" s="5" t="str">
        <f t="shared" si="20"/>
        <v>The datastream containing mesures of field Haouch el Saalouk West Bekaa by sensor 36231677 which measures Soil Moisture.</v>
      </c>
      <c r="Q697" s="5" t="s">
        <v>653</v>
      </c>
    </row>
    <row r="698" spans="1:17" ht="12.75">
      <c r="A698" s="5" t="s">
        <v>402</v>
      </c>
      <c r="B698" s="5" t="s">
        <v>1373</v>
      </c>
      <c r="C698" s="5" t="s">
        <v>1374</v>
      </c>
      <c r="D698" s="5">
        <v>33.738138889999902</v>
      </c>
      <c r="E698" s="5">
        <v>35.787000000000099</v>
      </c>
      <c r="F698" s="5">
        <v>36231677</v>
      </c>
      <c r="G698" s="5" t="s">
        <v>1375</v>
      </c>
      <c r="H698" s="5" t="s">
        <v>1376</v>
      </c>
      <c r="I698" s="5" t="s">
        <v>1210</v>
      </c>
      <c r="J698" s="5" t="s">
        <v>1398</v>
      </c>
      <c r="K698" s="5" t="s">
        <v>660</v>
      </c>
      <c r="L698" s="5" t="str">
        <f>VLOOKUP($K698,'Property names'!$A$1:$D$100,2,FALSE)</f>
        <v>The amount of moisture present in the soil, often expressed as a percentage of the maximum amount the soil could hold at a given temperature.</v>
      </c>
      <c r="M698" s="5" t="str">
        <f>VLOOKUP($K698,'Property names'!$A$1:$D$100,3,FALSE)</f>
        <v>Percentage</v>
      </c>
      <c r="N698" s="5" t="str">
        <f>VLOOKUP($K698,'Property names'!$A$1:$D$100,4,FALSE)</f>
        <v>%</v>
      </c>
      <c r="O698" s="5" t="str">
        <f t="shared" si="19"/>
        <v>Haouch_el_Saalouk_West_Bekaa_36231677_VWC_2-60cm</v>
      </c>
      <c r="P698" s="5" t="str">
        <f t="shared" si="20"/>
        <v>The datastream containing mesures of field Haouch el Saalouk West Bekaa by sensor 36231677 which measures Soil Moisture.</v>
      </c>
      <c r="Q698" s="5" t="s">
        <v>653</v>
      </c>
    </row>
    <row r="699" spans="1:17" ht="12.75">
      <c r="A699" s="5" t="s">
        <v>402</v>
      </c>
      <c r="B699" s="5" t="s">
        <v>1373</v>
      </c>
      <c r="C699" s="5" t="s">
        <v>1374</v>
      </c>
      <c r="D699" s="5">
        <v>33.738138889999902</v>
      </c>
      <c r="E699" s="5">
        <v>35.787000000000099</v>
      </c>
      <c r="F699" s="5">
        <v>36231677</v>
      </c>
      <c r="G699" s="5" t="s">
        <v>1375</v>
      </c>
      <c r="H699" s="5" t="s">
        <v>1376</v>
      </c>
      <c r="I699" s="5" t="s">
        <v>1210</v>
      </c>
      <c r="J699" s="5" t="s">
        <v>1399</v>
      </c>
      <c r="K699" s="5" t="s">
        <v>660</v>
      </c>
      <c r="L699" s="5" t="str">
        <f>VLOOKUP($K699,'Property names'!$A$1:$D$100,2,FALSE)</f>
        <v>The amount of moisture present in the soil, often expressed as a percentage of the maximum amount the soil could hold at a given temperature.</v>
      </c>
      <c r="M699" s="5" t="str">
        <f>VLOOKUP($K699,'Property names'!$A$1:$D$100,3,FALSE)</f>
        <v>Percentage</v>
      </c>
      <c r="N699" s="5" t="str">
        <f>VLOOKUP($K699,'Property names'!$A$1:$D$100,4,FALSE)</f>
        <v>%</v>
      </c>
      <c r="O699" s="5" t="str">
        <f t="shared" si="19"/>
        <v>Haouch_el_Saalouk_West_Bekaa_36231677_VWC_2-80cm</v>
      </c>
      <c r="P699" s="5" t="str">
        <f t="shared" si="20"/>
        <v>The datastream containing mesures of field Haouch el Saalouk West Bekaa by sensor 36231677 which measures Soil Moisture.</v>
      </c>
      <c r="Q699" s="5" t="s">
        <v>653</v>
      </c>
    </row>
    <row r="700" spans="1:17" ht="12.75">
      <c r="A700" s="5" t="s">
        <v>402</v>
      </c>
      <c r="B700" s="5" t="s">
        <v>1373</v>
      </c>
      <c r="C700" s="5" t="s">
        <v>1374</v>
      </c>
      <c r="D700" s="5">
        <v>33.738138889999902</v>
      </c>
      <c r="E700" s="5">
        <v>35.787000000000099</v>
      </c>
      <c r="F700" s="5">
        <v>36231677</v>
      </c>
      <c r="G700" s="5" t="s">
        <v>1375</v>
      </c>
      <c r="H700" s="5" t="s">
        <v>1376</v>
      </c>
      <c r="I700" s="5" t="s">
        <v>1210</v>
      </c>
      <c r="J700" s="5" t="s">
        <v>1400</v>
      </c>
      <c r="K700" s="5" t="s">
        <v>660</v>
      </c>
      <c r="L700" s="5" t="str">
        <f>VLOOKUP($K700,'Property names'!$A$1:$D$100,2,FALSE)</f>
        <v>The amount of moisture present in the soil, often expressed as a percentage of the maximum amount the soil could hold at a given temperature.</v>
      </c>
      <c r="M700" s="5" t="str">
        <f>VLOOKUP($K700,'Property names'!$A$1:$D$100,3,FALSE)</f>
        <v>Percentage</v>
      </c>
      <c r="N700" s="5" t="str">
        <f>VLOOKUP($K700,'Property names'!$A$1:$D$100,4,FALSE)</f>
        <v>%</v>
      </c>
      <c r="O700" s="5" t="str">
        <f t="shared" si="19"/>
        <v>Haouch_el_Saalouk_West_Bekaa_36231677_VWC_2-100cm</v>
      </c>
      <c r="P700" s="5" t="str">
        <f t="shared" si="20"/>
        <v>The datastream containing mesures of field Haouch el Saalouk West Bekaa by sensor 36231677 which measures Soil Moisture.</v>
      </c>
      <c r="Q700" s="5" t="s">
        <v>653</v>
      </c>
    </row>
    <row r="701" spans="1:17" ht="12.75">
      <c r="A701" s="5" t="s">
        <v>402</v>
      </c>
      <c r="B701" s="5" t="s">
        <v>1373</v>
      </c>
      <c r="C701" s="5" t="s">
        <v>1374</v>
      </c>
      <c r="D701" s="5">
        <v>33.738138889999902</v>
      </c>
      <c r="E701" s="5">
        <v>35.787000000000099</v>
      </c>
      <c r="F701" s="5">
        <v>36231677</v>
      </c>
      <c r="G701" s="5" t="s">
        <v>1375</v>
      </c>
      <c r="H701" s="5" t="s">
        <v>1376</v>
      </c>
      <c r="I701" s="5" t="s">
        <v>1210</v>
      </c>
      <c r="J701" s="5" t="s">
        <v>1401</v>
      </c>
      <c r="K701" s="5" t="s">
        <v>660</v>
      </c>
      <c r="L701" s="5" t="str">
        <f>VLOOKUP($K701,'Property names'!$A$1:$D$100,2,FALSE)</f>
        <v>The amount of moisture present in the soil, often expressed as a percentage of the maximum amount the soil could hold at a given temperature.</v>
      </c>
      <c r="M701" s="5" t="str">
        <f>VLOOKUP($K701,'Property names'!$A$1:$D$100,3,FALSE)</f>
        <v>Percentage</v>
      </c>
      <c r="N701" s="5" t="str">
        <f>VLOOKUP($K701,'Property names'!$A$1:$D$100,4,FALSE)</f>
        <v>%</v>
      </c>
      <c r="O701" s="5" t="str">
        <f t="shared" si="19"/>
        <v>Haouch_el_Saalouk_West_Bekaa_36231677_VWC_2-120cm</v>
      </c>
      <c r="P701" s="5" t="str">
        <f t="shared" si="20"/>
        <v>The datastream containing mesures of field Haouch el Saalouk West Bekaa by sensor 36231677 which measures Soil Moisture.</v>
      </c>
      <c r="Q701" s="5" t="s">
        <v>653</v>
      </c>
    </row>
    <row r="702" spans="1:17" ht="12.75">
      <c r="A702" s="5" t="s">
        <v>402</v>
      </c>
      <c r="B702" s="5" t="s">
        <v>1373</v>
      </c>
      <c r="C702" s="5" t="s">
        <v>1374</v>
      </c>
      <c r="D702" s="5">
        <v>33.738138889999902</v>
      </c>
      <c r="E702" s="5">
        <v>35.787000000000099</v>
      </c>
      <c r="F702" s="5">
        <v>36231677</v>
      </c>
      <c r="G702" s="5" t="s">
        <v>1375</v>
      </c>
      <c r="H702" s="5" t="s">
        <v>1376</v>
      </c>
      <c r="I702" s="5" t="s">
        <v>1210</v>
      </c>
      <c r="J702" s="5" t="s">
        <v>1402</v>
      </c>
      <c r="K702" s="5" t="s">
        <v>660</v>
      </c>
      <c r="L702" s="5" t="str">
        <f>VLOOKUP($K702,'Property names'!$A$1:$D$100,2,FALSE)</f>
        <v>The amount of moisture present in the soil, often expressed as a percentage of the maximum amount the soil could hold at a given temperature.</v>
      </c>
      <c r="M702" s="5" t="str">
        <f>VLOOKUP($K702,'Property names'!$A$1:$D$100,3,FALSE)</f>
        <v>Percentage</v>
      </c>
      <c r="N702" s="5" t="str">
        <f>VLOOKUP($K702,'Property names'!$A$1:$D$100,4,FALSE)</f>
        <v>%</v>
      </c>
      <c r="O702" s="5" t="str">
        <f t="shared" si="19"/>
        <v>Haouch_el_Saalouk_West_Bekaa_36231677_VWC_2-140cm</v>
      </c>
      <c r="P702" s="5" t="str">
        <f t="shared" si="20"/>
        <v>The datastream containing mesures of field Haouch el Saalouk West Bekaa by sensor 36231677 which measures Soil Moisture.</v>
      </c>
      <c r="Q702" s="5" t="s">
        <v>653</v>
      </c>
    </row>
    <row r="703" spans="1:17" ht="12.75">
      <c r="A703" s="5" t="s">
        <v>402</v>
      </c>
      <c r="B703" s="5" t="s">
        <v>1373</v>
      </c>
      <c r="C703" s="5" t="s">
        <v>1374</v>
      </c>
      <c r="D703" s="5">
        <v>33.738138889999902</v>
      </c>
      <c r="E703" s="5">
        <v>35.787000000000099</v>
      </c>
      <c r="F703" s="5">
        <v>36231677</v>
      </c>
      <c r="G703" s="5" t="s">
        <v>1375</v>
      </c>
      <c r="H703" s="5" t="s">
        <v>1376</v>
      </c>
      <c r="I703" s="5" t="s">
        <v>1210</v>
      </c>
      <c r="J703" s="5" t="s">
        <v>1403</v>
      </c>
      <c r="K703" s="5" t="s">
        <v>660</v>
      </c>
      <c r="L703" s="5" t="str">
        <f>VLOOKUP($K703,'Property names'!$A$1:$D$100,2,FALSE)</f>
        <v>The amount of moisture present in the soil, often expressed as a percentage of the maximum amount the soil could hold at a given temperature.</v>
      </c>
      <c r="M703" s="5" t="str">
        <f>VLOOKUP($K703,'Property names'!$A$1:$D$100,3,FALSE)</f>
        <v>Percentage</v>
      </c>
      <c r="N703" s="5" t="str">
        <f>VLOOKUP($K703,'Property names'!$A$1:$D$100,4,FALSE)</f>
        <v>%</v>
      </c>
      <c r="O703" s="5" t="str">
        <f t="shared" si="19"/>
        <v>Haouch_el_Saalouk_West_Bekaa_36231677_VWC_2-160cm</v>
      </c>
      <c r="P703" s="5" t="str">
        <f t="shared" si="20"/>
        <v>The datastream containing mesures of field Haouch el Saalouk West Bekaa by sensor 36231677 which measures Soil Moisture.</v>
      </c>
      <c r="Q703" s="5" t="s">
        <v>653</v>
      </c>
    </row>
    <row r="704" spans="1:17" ht="12.75">
      <c r="A704" s="5" t="s">
        <v>402</v>
      </c>
      <c r="B704" s="5" t="s">
        <v>1373</v>
      </c>
      <c r="C704" s="5" t="s">
        <v>1374</v>
      </c>
      <c r="D704" s="5">
        <v>33.738138889999902</v>
      </c>
      <c r="E704" s="5">
        <v>35.787000000000099</v>
      </c>
      <c r="F704" s="5">
        <v>36231677</v>
      </c>
      <c r="G704" s="5" t="s">
        <v>1375</v>
      </c>
      <c r="H704" s="5" t="s">
        <v>1376</v>
      </c>
      <c r="I704" s="5" t="s">
        <v>1210</v>
      </c>
      <c r="J704" s="5" t="s">
        <v>1404</v>
      </c>
      <c r="K704" s="5" t="s">
        <v>662</v>
      </c>
      <c r="L704" s="5" t="str">
        <f>VLOOKUP($K704,'Property names'!$A$1:$D$100,2,FALSE)</f>
        <v>The measure of temperature of the soil.</v>
      </c>
      <c r="M704" s="5" t="str">
        <f>VLOOKUP($K704,'Property names'!$A$1:$D$100,3,FALSE)</f>
        <v>Degrees Celsius</v>
      </c>
      <c r="N704" s="5" t="str">
        <f>VLOOKUP($K704,'Property names'!$A$1:$D$100,4,FALSE)</f>
        <v>ºC</v>
      </c>
      <c r="O704" s="5" t="str">
        <f t="shared" si="19"/>
        <v>Haouch_el_Saalouk_West_Bekaa_36231677_Temp_2-10cm</v>
      </c>
      <c r="P704" s="5" t="str">
        <f t="shared" si="20"/>
        <v>The datastream containing mesures of field Haouch el Saalouk West Bekaa by sensor 36231677 which measures Soil Temperature.</v>
      </c>
      <c r="Q704" s="5" t="s">
        <v>653</v>
      </c>
    </row>
    <row r="705" spans="1:17" ht="12.75">
      <c r="A705" s="5" t="s">
        <v>402</v>
      </c>
      <c r="B705" s="5" t="s">
        <v>1373</v>
      </c>
      <c r="C705" s="5" t="s">
        <v>1374</v>
      </c>
      <c r="D705" s="5">
        <v>33.738138889999902</v>
      </c>
      <c r="E705" s="5">
        <v>35.787000000000099</v>
      </c>
      <c r="F705" s="5">
        <v>36231677</v>
      </c>
      <c r="G705" s="5" t="s">
        <v>1375</v>
      </c>
      <c r="H705" s="5" t="s">
        <v>1376</v>
      </c>
      <c r="I705" s="5" t="s">
        <v>1210</v>
      </c>
      <c r="J705" s="5" t="s">
        <v>1405</v>
      </c>
      <c r="K705" s="5" t="s">
        <v>662</v>
      </c>
      <c r="L705" s="5" t="str">
        <f>VLOOKUP($K705,'Property names'!$A$1:$D$100,2,FALSE)</f>
        <v>The measure of temperature of the soil.</v>
      </c>
      <c r="M705" s="5" t="str">
        <f>VLOOKUP($K705,'Property names'!$A$1:$D$100,3,FALSE)</f>
        <v>Degrees Celsius</v>
      </c>
      <c r="N705" s="5" t="str">
        <f>VLOOKUP($K705,'Property names'!$A$1:$D$100,4,FALSE)</f>
        <v>ºC</v>
      </c>
      <c r="O705" s="5" t="str">
        <f t="shared" si="19"/>
        <v>Haouch_el_Saalouk_West_Bekaa_36231677_Temp_2-20cm</v>
      </c>
      <c r="P705" s="5" t="str">
        <f t="shared" si="20"/>
        <v>The datastream containing mesures of field Haouch el Saalouk West Bekaa by sensor 36231677 which measures Soil Temperature.</v>
      </c>
      <c r="Q705" s="5" t="s">
        <v>653</v>
      </c>
    </row>
    <row r="706" spans="1:17" ht="12.75">
      <c r="A706" s="5" t="s">
        <v>402</v>
      </c>
      <c r="B706" s="5" t="s">
        <v>1373</v>
      </c>
      <c r="C706" s="5" t="s">
        <v>1374</v>
      </c>
      <c r="D706" s="5">
        <v>33.738138889999902</v>
      </c>
      <c r="E706" s="5">
        <v>35.787000000000198</v>
      </c>
      <c r="F706" s="5">
        <v>36231677</v>
      </c>
      <c r="G706" s="5" t="s">
        <v>1375</v>
      </c>
      <c r="H706" s="5" t="s">
        <v>1376</v>
      </c>
      <c r="I706" s="5" t="s">
        <v>1210</v>
      </c>
      <c r="J706" s="5" t="s">
        <v>1406</v>
      </c>
      <c r="K706" s="5" t="s">
        <v>662</v>
      </c>
      <c r="L706" s="5" t="str">
        <f>VLOOKUP($K706,'Property names'!$A$1:$D$100,2,FALSE)</f>
        <v>The measure of temperature of the soil.</v>
      </c>
      <c r="M706" s="5" t="str">
        <f>VLOOKUP($K706,'Property names'!$A$1:$D$100,3,FALSE)</f>
        <v>Degrees Celsius</v>
      </c>
      <c r="N706" s="5" t="str">
        <f>VLOOKUP($K706,'Property names'!$A$1:$D$100,4,FALSE)</f>
        <v>ºC</v>
      </c>
      <c r="O706" s="5" t="str">
        <f t="shared" si="19"/>
        <v>Haouch_el_Saalouk_West_Bekaa_36231677_Temp_2-40cm</v>
      </c>
      <c r="P706" s="5" t="str">
        <f t="shared" si="20"/>
        <v>The datastream containing mesures of field Haouch el Saalouk West Bekaa by sensor 36231677 which measures Soil Temperature.</v>
      </c>
      <c r="Q706" s="5" t="s">
        <v>653</v>
      </c>
    </row>
    <row r="707" spans="1:17" ht="12.75">
      <c r="A707" s="5" t="s">
        <v>402</v>
      </c>
      <c r="B707" s="5" t="s">
        <v>1373</v>
      </c>
      <c r="C707" s="5" t="s">
        <v>1374</v>
      </c>
      <c r="D707" s="5">
        <v>33.738138889999902</v>
      </c>
      <c r="E707" s="5">
        <v>35.787000000000198</v>
      </c>
      <c r="F707" s="5">
        <v>36231677</v>
      </c>
      <c r="G707" s="5" t="s">
        <v>1375</v>
      </c>
      <c r="H707" s="5" t="s">
        <v>1376</v>
      </c>
      <c r="I707" s="5" t="s">
        <v>1210</v>
      </c>
      <c r="J707" s="5" t="s">
        <v>1407</v>
      </c>
      <c r="K707" s="5" t="s">
        <v>662</v>
      </c>
      <c r="L707" s="5" t="str">
        <f>VLOOKUP($K707,'Property names'!$A$1:$D$100,2,FALSE)</f>
        <v>The measure of temperature of the soil.</v>
      </c>
      <c r="M707" s="5" t="str">
        <f>VLOOKUP($K707,'Property names'!$A$1:$D$100,3,FALSE)</f>
        <v>Degrees Celsius</v>
      </c>
      <c r="N707" s="5" t="str">
        <f>VLOOKUP($K707,'Property names'!$A$1:$D$100,4,FALSE)</f>
        <v>ºC</v>
      </c>
      <c r="O707" s="5" t="str">
        <f t="shared" si="19"/>
        <v>Haouch_el_Saalouk_West_Bekaa_36231677_Temp_2-60cm</v>
      </c>
      <c r="P707" s="5" t="str">
        <f t="shared" si="20"/>
        <v>The datastream containing mesures of field Haouch el Saalouk West Bekaa by sensor 36231677 which measures Soil Temperature.</v>
      </c>
      <c r="Q707" s="5" t="s">
        <v>653</v>
      </c>
    </row>
    <row r="708" spans="1:17" ht="12.75">
      <c r="A708" s="5" t="s">
        <v>402</v>
      </c>
      <c r="B708" s="5" t="s">
        <v>1373</v>
      </c>
      <c r="C708" s="5" t="s">
        <v>1374</v>
      </c>
      <c r="D708" s="5">
        <v>33.738138889999902</v>
      </c>
      <c r="E708" s="5">
        <v>35.787000000000198</v>
      </c>
      <c r="F708" s="5">
        <v>36231677</v>
      </c>
      <c r="G708" s="5" t="s">
        <v>1375</v>
      </c>
      <c r="H708" s="5" t="s">
        <v>1376</v>
      </c>
      <c r="I708" s="5" t="s">
        <v>1210</v>
      </c>
      <c r="J708" s="5" t="s">
        <v>1408</v>
      </c>
      <c r="K708" s="5" t="s">
        <v>662</v>
      </c>
      <c r="L708" s="5" t="str">
        <f>VLOOKUP($K708,'Property names'!$A$1:$D$100,2,FALSE)</f>
        <v>The measure of temperature of the soil.</v>
      </c>
      <c r="M708" s="5" t="str">
        <f>VLOOKUP($K708,'Property names'!$A$1:$D$100,3,FALSE)</f>
        <v>Degrees Celsius</v>
      </c>
      <c r="N708" s="5" t="str">
        <f>VLOOKUP($K708,'Property names'!$A$1:$D$100,4,FALSE)</f>
        <v>ºC</v>
      </c>
      <c r="O708" s="5" t="str">
        <f t="shared" si="19"/>
        <v>Haouch_el_Saalouk_West_Bekaa_36231677_Temp_2-80cm</v>
      </c>
      <c r="P708" s="5" t="str">
        <f t="shared" si="20"/>
        <v>The datastream containing mesures of field Haouch el Saalouk West Bekaa by sensor 36231677 which measures Soil Temperature.</v>
      </c>
      <c r="Q708" s="5" t="s">
        <v>653</v>
      </c>
    </row>
    <row r="709" spans="1:17" ht="12.75">
      <c r="A709" s="5" t="s">
        <v>402</v>
      </c>
      <c r="B709" s="5" t="s">
        <v>1373</v>
      </c>
      <c r="C709" s="5" t="s">
        <v>1374</v>
      </c>
      <c r="D709" s="5">
        <v>33.738138889999902</v>
      </c>
      <c r="E709" s="5">
        <v>35.787000000000198</v>
      </c>
      <c r="F709" s="5">
        <v>36231677</v>
      </c>
      <c r="G709" s="5" t="s">
        <v>1375</v>
      </c>
      <c r="H709" s="5" t="s">
        <v>1376</v>
      </c>
      <c r="I709" s="5" t="s">
        <v>1210</v>
      </c>
      <c r="J709" s="5" t="s">
        <v>1409</v>
      </c>
      <c r="K709" s="5" t="s">
        <v>662</v>
      </c>
      <c r="L709" s="5" t="str">
        <f>VLOOKUP($K709,'Property names'!$A$1:$D$100,2,FALSE)</f>
        <v>The measure of temperature of the soil.</v>
      </c>
      <c r="M709" s="5" t="str">
        <f>VLOOKUP($K709,'Property names'!$A$1:$D$100,3,FALSE)</f>
        <v>Degrees Celsius</v>
      </c>
      <c r="N709" s="5" t="str">
        <f>VLOOKUP($K709,'Property names'!$A$1:$D$100,4,FALSE)</f>
        <v>ºC</v>
      </c>
      <c r="O709" s="5" t="str">
        <f t="shared" si="19"/>
        <v>Haouch_el_Saalouk_West_Bekaa_36231677_Temp_2-100cm</v>
      </c>
      <c r="P709" s="5" t="str">
        <f t="shared" si="20"/>
        <v>The datastream containing mesures of field Haouch el Saalouk West Bekaa by sensor 36231677 which measures Soil Temperature.</v>
      </c>
      <c r="Q709" s="5" t="s">
        <v>653</v>
      </c>
    </row>
    <row r="710" spans="1:17" ht="12.75">
      <c r="A710" s="5" t="s">
        <v>402</v>
      </c>
      <c r="B710" s="5" t="s">
        <v>1373</v>
      </c>
      <c r="C710" s="5" t="s">
        <v>1374</v>
      </c>
      <c r="D710" s="5">
        <v>33.738138889999902</v>
      </c>
      <c r="E710" s="5">
        <v>35.787000000000198</v>
      </c>
      <c r="F710" s="5">
        <v>36231677</v>
      </c>
      <c r="G710" s="5" t="s">
        <v>1375</v>
      </c>
      <c r="H710" s="5" t="s">
        <v>1376</v>
      </c>
      <c r="I710" s="5" t="s">
        <v>1210</v>
      </c>
      <c r="J710" s="5" t="s">
        <v>1410</v>
      </c>
      <c r="K710" s="5" t="s">
        <v>662</v>
      </c>
      <c r="L710" s="5" t="str">
        <f>VLOOKUP($K710,'Property names'!$A$1:$D$100,2,FALSE)</f>
        <v>The measure of temperature of the soil.</v>
      </c>
      <c r="M710" s="5" t="str">
        <f>VLOOKUP($K710,'Property names'!$A$1:$D$100,3,FALSE)</f>
        <v>Degrees Celsius</v>
      </c>
      <c r="N710" s="5" t="str">
        <f>VLOOKUP($K710,'Property names'!$A$1:$D$100,4,FALSE)</f>
        <v>ºC</v>
      </c>
      <c r="O710" s="5" t="str">
        <f t="shared" si="19"/>
        <v>Haouch_el_Saalouk_West_Bekaa_36231677_Temp_2-120cm</v>
      </c>
      <c r="P710" s="5" t="str">
        <f t="shared" si="20"/>
        <v>The datastream containing mesures of field Haouch el Saalouk West Bekaa by sensor 36231677 which measures Soil Temperature.</v>
      </c>
      <c r="Q710" s="5" t="s">
        <v>653</v>
      </c>
    </row>
    <row r="711" spans="1:17" ht="12.75">
      <c r="A711" s="5" t="s">
        <v>402</v>
      </c>
      <c r="B711" s="5" t="s">
        <v>1373</v>
      </c>
      <c r="C711" s="5" t="s">
        <v>1374</v>
      </c>
      <c r="D711" s="5">
        <v>33.738138889999902</v>
      </c>
      <c r="E711" s="5">
        <v>35.787000000000198</v>
      </c>
      <c r="F711" s="5">
        <v>36231677</v>
      </c>
      <c r="G711" s="5" t="s">
        <v>1375</v>
      </c>
      <c r="H711" s="5" t="s">
        <v>1376</v>
      </c>
      <c r="I711" s="5" t="s">
        <v>1210</v>
      </c>
      <c r="J711" s="5" t="s">
        <v>1411</v>
      </c>
      <c r="K711" s="5" t="s">
        <v>662</v>
      </c>
      <c r="L711" s="5" t="str">
        <f>VLOOKUP($K711,'Property names'!$A$1:$D$100,2,FALSE)</f>
        <v>The measure of temperature of the soil.</v>
      </c>
      <c r="M711" s="5" t="str">
        <f>VLOOKUP($K711,'Property names'!$A$1:$D$100,3,FALSE)</f>
        <v>Degrees Celsius</v>
      </c>
      <c r="N711" s="5" t="str">
        <f>VLOOKUP($K711,'Property names'!$A$1:$D$100,4,FALSE)</f>
        <v>ºC</v>
      </c>
      <c r="O711" s="5" t="str">
        <f t="shared" si="19"/>
        <v>Haouch_el_Saalouk_West_Bekaa_36231677_Temp_2-140cm</v>
      </c>
      <c r="P711" s="5" t="str">
        <f t="shared" si="20"/>
        <v>The datastream containing mesures of field Haouch el Saalouk West Bekaa by sensor 36231677 which measures Soil Temperature.</v>
      </c>
      <c r="Q711" s="5" t="s">
        <v>653</v>
      </c>
    </row>
    <row r="712" spans="1:17" ht="12.75">
      <c r="A712" s="5" t="s">
        <v>402</v>
      </c>
      <c r="B712" s="5" t="s">
        <v>1373</v>
      </c>
      <c r="C712" s="5" t="s">
        <v>1374</v>
      </c>
      <c r="D712" s="5">
        <v>33.738138889999902</v>
      </c>
      <c r="E712" s="5">
        <v>35.787000000000198</v>
      </c>
      <c r="F712" s="5">
        <v>36231677</v>
      </c>
      <c r="G712" s="5" t="s">
        <v>1375</v>
      </c>
      <c r="H712" s="5" t="s">
        <v>1376</v>
      </c>
      <c r="I712" s="5" t="s">
        <v>1210</v>
      </c>
      <c r="J712" s="5" t="s">
        <v>1412</v>
      </c>
      <c r="K712" s="5" t="s">
        <v>662</v>
      </c>
      <c r="L712" s="5" t="str">
        <f>VLOOKUP($K712,'Property names'!$A$1:$D$100,2,FALSE)</f>
        <v>The measure of temperature of the soil.</v>
      </c>
      <c r="M712" s="5" t="str">
        <f>VLOOKUP($K712,'Property names'!$A$1:$D$100,3,FALSE)</f>
        <v>Degrees Celsius</v>
      </c>
      <c r="N712" s="5" t="str">
        <f>VLOOKUP($K712,'Property names'!$A$1:$D$100,4,FALSE)</f>
        <v>ºC</v>
      </c>
      <c r="O712" s="5" t="str">
        <f t="shared" si="19"/>
        <v>Haouch_el_Saalouk_West_Bekaa_36231677_Temp_2-160cm</v>
      </c>
      <c r="P712" s="5" t="str">
        <f t="shared" si="20"/>
        <v>The datastream containing mesures of field Haouch el Saalouk West Bekaa by sensor 36231677 which measures Soil Temperature.</v>
      </c>
      <c r="Q712" s="5" t="s">
        <v>653</v>
      </c>
    </row>
    <row r="713" spans="1:17" ht="12.75">
      <c r="A713" s="5" t="s">
        <v>402</v>
      </c>
      <c r="B713" s="5" t="s">
        <v>1373</v>
      </c>
      <c r="C713" s="5" t="s">
        <v>1374</v>
      </c>
      <c r="D713" s="5">
        <v>33.738138889999902</v>
      </c>
      <c r="E713" s="5">
        <v>35.787000000000198</v>
      </c>
      <c r="F713" s="5">
        <v>36231677</v>
      </c>
      <c r="G713" s="5" t="s">
        <v>1375</v>
      </c>
      <c r="H713" s="5" t="s">
        <v>1376</v>
      </c>
      <c r="I713" s="5" t="s">
        <v>1210</v>
      </c>
      <c r="J713" s="5" t="s">
        <v>1413</v>
      </c>
      <c r="K713" s="5" t="s">
        <v>660</v>
      </c>
      <c r="L713" s="5" t="str">
        <f>VLOOKUP($K713,'Property names'!$A$1:$D$100,2,FALSE)</f>
        <v>The amount of moisture present in the soil, often expressed as a percentage of the maximum amount the soil could hold at a given temperature.</v>
      </c>
      <c r="M713" s="5" t="str">
        <f>VLOOKUP($K713,'Property names'!$A$1:$D$100,3,FALSE)</f>
        <v>Percentage</v>
      </c>
      <c r="N713" s="5" t="str">
        <f>VLOOKUP($K713,'Property names'!$A$1:$D$100,4,FALSE)</f>
        <v>%</v>
      </c>
      <c r="O713" s="5" t="str">
        <f t="shared" si="19"/>
        <v>Haouch_el_Saalouk_West_Bekaa_36231677_VWC_3-10cm</v>
      </c>
      <c r="P713" s="5" t="str">
        <f t="shared" si="20"/>
        <v>The datastream containing mesures of field Haouch el Saalouk West Bekaa by sensor 36231677 which measures Soil Moisture.</v>
      </c>
      <c r="Q713" s="5" t="s">
        <v>653</v>
      </c>
    </row>
    <row r="714" spans="1:17" ht="12.75">
      <c r="A714" s="5" t="s">
        <v>402</v>
      </c>
      <c r="B714" s="5" t="s">
        <v>1373</v>
      </c>
      <c r="C714" s="5" t="s">
        <v>1374</v>
      </c>
      <c r="D714" s="5">
        <v>33.738138889999902</v>
      </c>
      <c r="E714" s="5">
        <v>35.787000000000198</v>
      </c>
      <c r="F714" s="5">
        <v>36231677</v>
      </c>
      <c r="G714" s="5" t="s">
        <v>1375</v>
      </c>
      <c r="H714" s="5" t="s">
        <v>1376</v>
      </c>
      <c r="I714" s="5" t="s">
        <v>1210</v>
      </c>
      <c r="J714" s="5" t="s">
        <v>1414</v>
      </c>
      <c r="K714" s="5" t="s">
        <v>660</v>
      </c>
      <c r="L714" s="5" t="str">
        <f>VLOOKUP($K714,'Property names'!$A$1:$D$100,2,FALSE)</f>
        <v>The amount of moisture present in the soil, often expressed as a percentage of the maximum amount the soil could hold at a given temperature.</v>
      </c>
      <c r="M714" s="5" t="str">
        <f>VLOOKUP($K714,'Property names'!$A$1:$D$100,3,FALSE)</f>
        <v>Percentage</v>
      </c>
      <c r="N714" s="5" t="str">
        <f>VLOOKUP($K714,'Property names'!$A$1:$D$100,4,FALSE)</f>
        <v>%</v>
      </c>
      <c r="O714" s="5" t="str">
        <f t="shared" si="19"/>
        <v>Haouch_el_Saalouk_West_Bekaa_36231677_VWC_3-20cm</v>
      </c>
      <c r="P714" s="5" t="str">
        <f t="shared" si="20"/>
        <v>The datastream containing mesures of field Haouch el Saalouk West Bekaa by sensor 36231677 which measures Soil Moisture.</v>
      </c>
      <c r="Q714" s="5" t="s">
        <v>653</v>
      </c>
    </row>
    <row r="715" spans="1:17" ht="12.75">
      <c r="A715" s="5" t="s">
        <v>402</v>
      </c>
      <c r="B715" s="5" t="s">
        <v>1373</v>
      </c>
      <c r="C715" s="5" t="s">
        <v>1374</v>
      </c>
      <c r="D715" s="5">
        <v>33.738138889999902</v>
      </c>
      <c r="E715" s="5">
        <v>35.787000000000198</v>
      </c>
      <c r="F715" s="5">
        <v>36231677</v>
      </c>
      <c r="G715" s="5" t="s">
        <v>1375</v>
      </c>
      <c r="H715" s="5" t="s">
        <v>1376</v>
      </c>
      <c r="I715" s="5" t="s">
        <v>1210</v>
      </c>
      <c r="J715" s="5" t="s">
        <v>1415</v>
      </c>
      <c r="K715" s="5" t="s">
        <v>660</v>
      </c>
      <c r="L715" s="5" t="str">
        <f>VLOOKUP($K715,'Property names'!$A$1:$D$100,2,FALSE)</f>
        <v>The amount of moisture present in the soil, often expressed as a percentage of the maximum amount the soil could hold at a given temperature.</v>
      </c>
      <c r="M715" s="5" t="str">
        <f>VLOOKUP($K715,'Property names'!$A$1:$D$100,3,FALSE)</f>
        <v>Percentage</v>
      </c>
      <c r="N715" s="5" t="str">
        <f>VLOOKUP($K715,'Property names'!$A$1:$D$100,4,FALSE)</f>
        <v>%</v>
      </c>
      <c r="O715" s="5" t="str">
        <f t="shared" si="19"/>
        <v>Haouch_el_Saalouk_West_Bekaa_36231677_VWC_3-40cm</v>
      </c>
      <c r="P715" s="5" t="str">
        <f t="shared" si="20"/>
        <v>The datastream containing mesures of field Haouch el Saalouk West Bekaa by sensor 36231677 which measures Soil Moisture.</v>
      </c>
      <c r="Q715" s="5" t="s">
        <v>653</v>
      </c>
    </row>
    <row r="716" spans="1:17" ht="12.75">
      <c r="A716" s="5" t="s">
        <v>402</v>
      </c>
      <c r="B716" s="5" t="s">
        <v>1373</v>
      </c>
      <c r="C716" s="5" t="s">
        <v>1374</v>
      </c>
      <c r="D716" s="5">
        <v>33.738138889999902</v>
      </c>
      <c r="E716" s="5">
        <v>35.787000000000198</v>
      </c>
      <c r="F716" s="5">
        <v>36231677</v>
      </c>
      <c r="G716" s="5" t="s">
        <v>1375</v>
      </c>
      <c r="H716" s="5" t="s">
        <v>1376</v>
      </c>
      <c r="I716" s="5" t="s">
        <v>1210</v>
      </c>
      <c r="J716" s="5" t="s">
        <v>1416</v>
      </c>
      <c r="K716" s="5" t="s">
        <v>660</v>
      </c>
      <c r="L716" s="5" t="str">
        <f>VLOOKUP($K716,'Property names'!$A$1:$D$100,2,FALSE)</f>
        <v>The amount of moisture present in the soil, often expressed as a percentage of the maximum amount the soil could hold at a given temperature.</v>
      </c>
      <c r="M716" s="5" t="str">
        <f>VLOOKUP($K716,'Property names'!$A$1:$D$100,3,FALSE)</f>
        <v>Percentage</v>
      </c>
      <c r="N716" s="5" t="str">
        <f>VLOOKUP($K716,'Property names'!$A$1:$D$100,4,FALSE)</f>
        <v>%</v>
      </c>
      <c r="O716" s="5" t="str">
        <f t="shared" si="19"/>
        <v>Haouch_el_Saalouk_West_Bekaa_36231677_VWC_3-60cm</v>
      </c>
      <c r="P716" s="5" t="str">
        <f t="shared" si="20"/>
        <v>The datastream containing mesures of field Haouch el Saalouk West Bekaa by sensor 36231677 which measures Soil Moisture.</v>
      </c>
      <c r="Q716" s="5" t="s">
        <v>653</v>
      </c>
    </row>
    <row r="717" spans="1:17" ht="12.75">
      <c r="A717" s="5" t="s">
        <v>402</v>
      </c>
      <c r="B717" s="5" t="s">
        <v>1373</v>
      </c>
      <c r="C717" s="5" t="s">
        <v>1374</v>
      </c>
      <c r="D717" s="5">
        <v>33.738138889999902</v>
      </c>
      <c r="E717" s="5">
        <v>35.787000000000198</v>
      </c>
      <c r="F717" s="5">
        <v>36231677</v>
      </c>
      <c r="G717" s="5" t="s">
        <v>1375</v>
      </c>
      <c r="H717" s="5" t="s">
        <v>1376</v>
      </c>
      <c r="I717" s="5" t="s">
        <v>1210</v>
      </c>
      <c r="J717" s="5" t="s">
        <v>1417</v>
      </c>
      <c r="K717" s="5" t="s">
        <v>660</v>
      </c>
      <c r="L717" s="5" t="str">
        <f>VLOOKUP($K717,'Property names'!$A$1:$D$100,2,FALSE)</f>
        <v>The amount of moisture present in the soil, often expressed as a percentage of the maximum amount the soil could hold at a given temperature.</v>
      </c>
      <c r="M717" s="5" t="str">
        <f>VLOOKUP($K717,'Property names'!$A$1:$D$100,3,FALSE)</f>
        <v>Percentage</v>
      </c>
      <c r="N717" s="5" t="str">
        <f>VLOOKUP($K717,'Property names'!$A$1:$D$100,4,FALSE)</f>
        <v>%</v>
      </c>
      <c r="O717" s="5" t="str">
        <f t="shared" si="19"/>
        <v>Haouch_el_Saalouk_West_Bekaa_36231677_VWC_3-80cm</v>
      </c>
      <c r="P717" s="5" t="str">
        <f t="shared" si="20"/>
        <v>The datastream containing mesures of field Haouch el Saalouk West Bekaa by sensor 36231677 which measures Soil Moisture.</v>
      </c>
      <c r="Q717" s="5" t="s">
        <v>653</v>
      </c>
    </row>
    <row r="718" spans="1:17" ht="12.75">
      <c r="A718" s="5" t="s">
        <v>402</v>
      </c>
      <c r="B718" s="5" t="s">
        <v>1373</v>
      </c>
      <c r="C718" s="5" t="s">
        <v>1374</v>
      </c>
      <c r="D718" s="5">
        <v>33.738138889999902</v>
      </c>
      <c r="E718" s="5">
        <v>35.787000000000198</v>
      </c>
      <c r="F718" s="5">
        <v>36231677</v>
      </c>
      <c r="G718" s="5" t="s">
        <v>1375</v>
      </c>
      <c r="H718" s="5" t="s">
        <v>1376</v>
      </c>
      <c r="I718" s="5" t="s">
        <v>1210</v>
      </c>
      <c r="J718" s="5" t="s">
        <v>1418</v>
      </c>
      <c r="K718" s="5" t="s">
        <v>660</v>
      </c>
      <c r="L718" s="5" t="str">
        <f>VLOOKUP($K718,'Property names'!$A$1:$D$100,2,FALSE)</f>
        <v>The amount of moisture present in the soil, often expressed as a percentage of the maximum amount the soil could hold at a given temperature.</v>
      </c>
      <c r="M718" s="5" t="str">
        <f>VLOOKUP($K718,'Property names'!$A$1:$D$100,3,FALSE)</f>
        <v>Percentage</v>
      </c>
      <c r="N718" s="5" t="str">
        <f>VLOOKUP($K718,'Property names'!$A$1:$D$100,4,FALSE)</f>
        <v>%</v>
      </c>
      <c r="O718" s="5" t="str">
        <f t="shared" si="19"/>
        <v>Haouch_el_Saalouk_West_Bekaa_36231677_VWC_3-100cm</v>
      </c>
      <c r="P718" s="5" t="str">
        <f t="shared" si="20"/>
        <v>The datastream containing mesures of field Haouch el Saalouk West Bekaa by sensor 36231677 which measures Soil Moisture.</v>
      </c>
      <c r="Q718" s="5" t="s">
        <v>653</v>
      </c>
    </row>
    <row r="719" spans="1:17" ht="12.75">
      <c r="A719" s="5" t="s">
        <v>402</v>
      </c>
      <c r="B719" s="5" t="s">
        <v>1373</v>
      </c>
      <c r="C719" s="5" t="s">
        <v>1374</v>
      </c>
      <c r="D719" s="5">
        <v>33.738138889999902</v>
      </c>
      <c r="E719" s="5">
        <v>35.787000000000198</v>
      </c>
      <c r="F719" s="5">
        <v>36231677</v>
      </c>
      <c r="G719" s="5" t="s">
        <v>1375</v>
      </c>
      <c r="H719" s="5" t="s">
        <v>1376</v>
      </c>
      <c r="I719" s="5" t="s">
        <v>1210</v>
      </c>
      <c r="J719" s="5" t="s">
        <v>1419</v>
      </c>
      <c r="K719" s="5" t="s">
        <v>660</v>
      </c>
      <c r="L719" s="5" t="str">
        <f>VLOOKUP($K719,'Property names'!$A$1:$D$100,2,FALSE)</f>
        <v>The amount of moisture present in the soil, often expressed as a percentage of the maximum amount the soil could hold at a given temperature.</v>
      </c>
      <c r="M719" s="5" t="str">
        <f>VLOOKUP($K719,'Property names'!$A$1:$D$100,3,FALSE)</f>
        <v>Percentage</v>
      </c>
      <c r="N719" s="5" t="str">
        <f>VLOOKUP($K719,'Property names'!$A$1:$D$100,4,FALSE)</f>
        <v>%</v>
      </c>
      <c r="O719" s="5" t="str">
        <f t="shared" si="19"/>
        <v>Haouch_el_Saalouk_West_Bekaa_36231677_VWC_3-120cm</v>
      </c>
      <c r="P719" s="5" t="str">
        <f t="shared" si="20"/>
        <v>The datastream containing mesures of field Haouch el Saalouk West Bekaa by sensor 36231677 which measures Soil Moisture.</v>
      </c>
      <c r="Q719" s="5" t="s">
        <v>653</v>
      </c>
    </row>
    <row r="720" spans="1:17" ht="12.75">
      <c r="A720" s="5" t="s">
        <v>402</v>
      </c>
      <c r="B720" s="5" t="s">
        <v>1373</v>
      </c>
      <c r="C720" s="5" t="s">
        <v>1374</v>
      </c>
      <c r="D720" s="5">
        <v>33.738138889999902</v>
      </c>
      <c r="E720" s="5">
        <v>35.787000000000198</v>
      </c>
      <c r="F720" s="5">
        <v>36231677</v>
      </c>
      <c r="G720" s="5" t="s">
        <v>1375</v>
      </c>
      <c r="H720" s="5" t="s">
        <v>1376</v>
      </c>
      <c r="I720" s="5" t="s">
        <v>1210</v>
      </c>
      <c r="J720" s="5" t="s">
        <v>1420</v>
      </c>
      <c r="K720" s="5" t="s">
        <v>660</v>
      </c>
      <c r="L720" s="5" t="str">
        <f>VLOOKUP($K720,'Property names'!$A$1:$D$100,2,FALSE)</f>
        <v>The amount of moisture present in the soil, often expressed as a percentage of the maximum amount the soil could hold at a given temperature.</v>
      </c>
      <c r="M720" s="5" t="str">
        <f>VLOOKUP($K720,'Property names'!$A$1:$D$100,3,FALSE)</f>
        <v>Percentage</v>
      </c>
      <c r="N720" s="5" t="str">
        <f>VLOOKUP($K720,'Property names'!$A$1:$D$100,4,FALSE)</f>
        <v>%</v>
      </c>
      <c r="O720" s="5" t="str">
        <f t="shared" si="19"/>
        <v>Haouch_el_Saalouk_West_Bekaa_36231677_VWC_3-140cm</v>
      </c>
      <c r="P720" s="5" t="str">
        <f t="shared" si="20"/>
        <v>The datastream containing mesures of field Haouch el Saalouk West Bekaa by sensor 36231677 which measures Soil Moisture.</v>
      </c>
      <c r="Q720" s="5" t="s">
        <v>653</v>
      </c>
    </row>
    <row r="721" spans="1:17" ht="12.75">
      <c r="A721" s="5" t="s">
        <v>402</v>
      </c>
      <c r="B721" s="5" t="s">
        <v>1373</v>
      </c>
      <c r="C721" s="5" t="s">
        <v>1374</v>
      </c>
      <c r="D721" s="5">
        <v>33.738138889999902</v>
      </c>
      <c r="E721" s="5">
        <v>35.787000000000198</v>
      </c>
      <c r="F721" s="5">
        <v>36231677</v>
      </c>
      <c r="G721" s="5" t="s">
        <v>1375</v>
      </c>
      <c r="H721" s="5" t="s">
        <v>1376</v>
      </c>
      <c r="I721" s="5" t="s">
        <v>1210</v>
      </c>
      <c r="J721" s="5" t="s">
        <v>1421</v>
      </c>
      <c r="K721" s="5" t="s">
        <v>660</v>
      </c>
      <c r="L721" s="5" t="str">
        <f>VLOOKUP($K721,'Property names'!$A$1:$D$100,2,FALSE)</f>
        <v>The amount of moisture present in the soil, often expressed as a percentage of the maximum amount the soil could hold at a given temperature.</v>
      </c>
      <c r="M721" s="5" t="str">
        <f>VLOOKUP($K721,'Property names'!$A$1:$D$100,3,FALSE)</f>
        <v>Percentage</v>
      </c>
      <c r="N721" s="5" t="str">
        <f>VLOOKUP($K721,'Property names'!$A$1:$D$100,4,FALSE)</f>
        <v>%</v>
      </c>
      <c r="O721" s="5" t="str">
        <f t="shared" si="19"/>
        <v>Haouch_el_Saalouk_West_Bekaa_36231677_VWC_3-160cm</v>
      </c>
      <c r="P721" s="5" t="str">
        <f t="shared" si="20"/>
        <v>The datastream containing mesures of field Haouch el Saalouk West Bekaa by sensor 36231677 which measures Soil Moisture.</v>
      </c>
      <c r="Q721" s="5" t="s">
        <v>653</v>
      </c>
    </row>
    <row r="722" spans="1:17" ht="12.75">
      <c r="A722" s="5" t="s">
        <v>402</v>
      </c>
      <c r="B722" s="5" t="s">
        <v>1373</v>
      </c>
      <c r="C722" s="5" t="s">
        <v>1374</v>
      </c>
      <c r="D722" s="5">
        <v>33.738138889999803</v>
      </c>
      <c r="E722" s="5">
        <v>35.787000000000198</v>
      </c>
      <c r="F722" s="5">
        <v>36231677</v>
      </c>
      <c r="G722" s="5" t="s">
        <v>1375</v>
      </c>
      <c r="H722" s="5" t="s">
        <v>1376</v>
      </c>
      <c r="I722" s="5" t="s">
        <v>1210</v>
      </c>
      <c r="J722" s="5" t="s">
        <v>1422</v>
      </c>
      <c r="K722" s="5" t="s">
        <v>662</v>
      </c>
      <c r="L722" s="5" t="str">
        <f>VLOOKUP($K722,'Property names'!$A$1:$D$100,2,FALSE)</f>
        <v>The measure of temperature of the soil.</v>
      </c>
      <c r="M722" s="5" t="str">
        <f>VLOOKUP($K722,'Property names'!$A$1:$D$100,3,FALSE)</f>
        <v>Degrees Celsius</v>
      </c>
      <c r="N722" s="5" t="str">
        <f>VLOOKUP($K722,'Property names'!$A$1:$D$100,4,FALSE)</f>
        <v>ºC</v>
      </c>
      <c r="O722" s="5" t="str">
        <f t="shared" si="19"/>
        <v>Haouch_el_Saalouk_West_Bekaa_36231677_Temp_3-10cm</v>
      </c>
      <c r="P722" s="5" t="str">
        <f t="shared" si="20"/>
        <v>The datastream containing mesures of field Haouch el Saalouk West Bekaa by sensor 36231677 which measures Soil Temperature.</v>
      </c>
      <c r="Q722" s="5" t="s">
        <v>653</v>
      </c>
    </row>
    <row r="723" spans="1:17" ht="12.75">
      <c r="A723" s="5" t="s">
        <v>402</v>
      </c>
      <c r="B723" s="5" t="s">
        <v>1373</v>
      </c>
      <c r="C723" s="5" t="s">
        <v>1374</v>
      </c>
      <c r="D723" s="5">
        <v>33.738138889999803</v>
      </c>
      <c r="E723" s="5">
        <v>35.787000000000198</v>
      </c>
      <c r="F723" s="5">
        <v>36231677</v>
      </c>
      <c r="G723" s="5" t="s">
        <v>1375</v>
      </c>
      <c r="H723" s="5" t="s">
        <v>1376</v>
      </c>
      <c r="I723" s="5" t="s">
        <v>1210</v>
      </c>
      <c r="J723" s="5" t="s">
        <v>1423</v>
      </c>
      <c r="K723" s="5" t="s">
        <v>662</v>
      </c>
      <c r="L723" s="5" t="str">
        <f>VLOOKUP($K723,'Property names'!$A$1:$D$100,2,FALSE)</f>
        <v>The measure of temperature of the soil.</v>
      </c>
      <c r="M723" s="5" t="str">
        <f>VLOOKUP($K723,'Property names'!$A$1:$D$100,3,FALSE)</f>
        <v>Degrees Celsius</v>
      </c>
      <c r="N723" s="5" t="str">
        <f>VLOOKUP($K723,'Property names'!$A$1:$D$100,4,FALSE)</f>
        <v>ºC</v>
      </c>
      <c r="O723" s="5" t="str">
        <f t="shared" si="19"/>
        <v>Haouch_el_Saalouk_West_Bekaa_36231677_Temp_3-20cm</v>
      </c>
      <c r="P723" s="5" t="str">
        <f t="shared" si="20"/>
        <v>The datastream containing mesures of field Haouch el Saalouk West Bekaa by sensor 36231677 which measures Soil Temperature.</v>
      </c>
      <c r="Q723" s="5" t="s">
        <v>653</v>
      </c>
    </row>
    <row r="724" spans="1:17" ht="12.75">
      <c r="A724" s="5" t="s">
        <v>402</v>
      </c>
      <c r="B724" s="5" t="s">
        <v>1373</v>
      </c>
      <c r="C724" s="5" t="s">
        <v>1374</v>
      </c>
      <c r="D724" s="5">
        <v>33.738138889999803</v>
      </c>
      <c r="E724" s="5">
        <v>35.787000000000198</v>
      </c>
      <c r="F724" s="5">
        <v>36231677</v>
      </c>
      <c r="G724" s="5" t="s">
        <v>1375</v>
      </c>
      <c r="H724" s="5" t="s">
        <v>1376</v>
      </c>
      <c r="I724" s="5" t="s">
        <v>1210</v>
      </c>
      <c r="J724" s="5" t="s">
        <v>1424</v>
      </c>
      <c r="K724" s="5" t="s">
        <v>662</v>
      </c>
      <c r="L724" s="5" t="str">
        <f>VLOOKUP($K724,'Property names'!$A$1:$D$100,2,FALSE)</f>
        <v>The measure of temperature of the soil.</v>
      </c>
      <c r="M724" s="5" t="str">
        <f>VLOOKUP($K724,'Property names'!$A$1:$D$100,3,FALSE)</f>
        <v>Degrees Celsius</v>
      </c>
      <c r="N724" s="5" t="str">
        <f>VLOOKUP($K724,'Property names'!$A$1:$D$100,4,FALSE)</f>
        <v>ºC</v>
      </c>
      <c r="O724" s="5" t="str">
        <f t="shared" si="19"/>
        <v>Haouch_el_Saalouk_West_Bekaa_36231677_Temp_3-40cm</v>
      </c>
      <c r="P724" s="5" t="str">
        <f t="shared" si="20"/>
        <v>The datastream containing mesures of field Haouch el Saalouk West Bekaa by sensor 36231677 which measures Soil Temperature.</v>
      </c>
      <c r="Q724" s="5" t="s">
        <v>653</v>
      </c>
    </row>
    <row r="725" spans="1:17" ht="12.75">
      <c r="A725" s="5" t="s">
        <v>402</v>
      </c>
      <c r="B725" s="5" t="s">
        <v>1373</v>
      </c>
      <c r="C725" s="5" t="s">
        <v>1374</v>
      </c>
      <c r="D725" s="5">
        <v>33.738138889999803</v>
      </c>
      <c r="E725" s="5">
        <v>35.787000000000297</v>
      </c>
      <c r="F725" s="5">
        <v>36231677</v>
      </c>
      <c r="G725" s="5" t="s">
        <v>1375</v>
      </c>
      <c r="H725" s="5" t="s">
        <v>1376</v>
      </c>
      <c r="I725" s="5" t="s">
        <v>1210</v>
      </c>
      <c r="J725" s="5" t="s">
        <v>1425</v>
      </c>
      <c r="K725" s="5" t="s">
        <v>662</v>
      </c>
      <c r="L725" s="5" t="str">
        <f>VLOOKUP($K725,'Property names'!$A$1:$D$100,2,FALSE)</f>
        <v>The measure of temperature of the soil.</v>
      </c>
      <c r="M725" s="5" t="str">
        <f>VLOOKUP($K725,'Property names'!$A$1:$D$100,3,FALSE)</f>
        <v>Degrees Celsius</v>
      </c>
      <c r="N725" s="5" t="str">
        <f>VLOOKUP($K725,'Property names'!$A$1:$D$100,4,FALSE)</f>
        <v>ºC</v>
      </c>
      <c r="O725" s="5" t="str">
        <f t="shared" si="19"/>
        <v>Haouch_el_Saalouk_West_Bekaa_36231677_Temp_3-60cm</v>
      </c>
      <c r="P725" s="5" t="str">
        <f t="shared" si="20"/>
        <v>The datastream containing mesures of field Haouch el Saalouk West Bekaa by sensor 36231677 which measures Soil Temperature.</v>
      </c>
      <c r="Q725" s="5" t="s">
        <v>653</v>
      </c>
    </row>
    <row r="726" spans="1:17" ht="12.75">
      <c r="A726" s="5" t="s">
        <v>402</v>
      </c>
      <c r="B726" s="5" t="s">
        <v>1373</v>
      </c>
      <c r="C726" s="5" t="s">
        <v>1374</v>
      </c>
      <c r="D726" s="5">
        <v>33.738138889999803</v>
      </c>
      <c r="E726" s="5">
        <v>35.787000000000297</v>
      </c>
      <c r="F726" s="5">
        <v>36231677</v>
      </c>
      <c r="G726" s="5" t="s">
        <v>1375</v>
      </c>
      <c r="H726" s="5" t="s">
        <v>1376</v>
      </c>
      <c r="I726" s="5" t="s">
        <v>1210</v>
      </c>
      <c r="J726" s="5" t="s">
        <v>1426</v>
      </c>
      <c r="K726" s="5" t="s">
        <v>662</v>
      </c>
      <c r="L726" s="5" t="str">
        <f>VLOOKUP($K726,'Property names'!$A$1:$D$100,2,FALSE)</f>
        <v>The measure of temperature of the soil.</v>
      </c>
      <c r="M726" s="5" t="str">
        <f>VLOOKUP($K726,'Property names'!$A$1:$D$100,3,FALSE)</f>
        <v>Degrees Celsius</v>
      </c>
      <c r="N726" s="5" t="str">
        <f>VLOOKUP($K726,'Property names'!$A$1:$D$100,4,FALSE)</f>
        <v>ºC</v>
      </c>
      <c r="O726" s="5" t="str">
        <f t="shared" si="19"/>
        <v>Haouch_el_Saalouk_West_Bekaa_36231677_Temp_3-80cm</v>
      </c>
      <c r="P726" s="5" t="str">
        <f t="shared" si="20"/>
        <v>The datastream containing mesures of field Haouch el Saalouk West Bekaa by sensor 36231677 which measures Soil Temperature.</v>
      </c>
      <c r="Q726" s="5" t="s">
        <v>653</v>
      </c>
    </row>
    <row r="727" spans="1:17" ht="12.75">
      <c r="A727" s="5" t="s">
        <v>402</v>
      </c>
      <c r="B727" s="5" t="s">
        <v>1373</v>
      </c>
      <c r="C727" s="5" t="s">
        <v>1374</v>
      </c>
      <c r="D727" s="5">
        <v>33.738138889999803</v>
      </c>
      <c r="E727" s="5">
        <v>35.787000000000297</v>
      </c>
      <c r="F727" s="5">
        <v>36231677</v>
      </c>
      <c r="G727" s="5" t="s">
        <v>1375</v>
      </c>
      <c r="H727" s="5" t="s">
        <v>1376</v>
      </c>
      <c r="I727" s="5" t="s">
        <v>1210</v>
      </c>
      <c r="J727" s="5" t="s">
        <v>1427</v>
      </c>
      <c r="K727" s="5" t="s">
        <v>662</v>
      </c>
      <c r="L727" s="5" t="str">
        <f>VLOOKUP($K727,'Property names'!$A$1:$D$100,2,FALSE)</f>
        <v>The measure of temperature of the soil.</v>
      </c>
      <c r="M727" s="5" t="str">
        <f>VLOOKUP($K727,'Property names'!$A$1:$D$100,3,FALSE)</f>
        <v>Degrees Celsius</v>
      </c>
      <c r="N727" s="5" t="str">
        <f>VLOOKUP($K727,'Property names'!$A$1:$D$100,4,FALSE)</f>
        <v>ºC</v>
      </c>
      <c r="O727" s="5" t="str">
        <f t="shared" si="19"/>
        <v>Haouch_el_Saalouk_West_Bekaa_36231677_Temp_3-100cm</v>
      </c>
      <c r="P727" s="5" t="str">
        <f t="shared" si="20"/>
        <v>The datastream containing mesures of field Haouch el Saalouk West Bekaa by sensor 36231677 which measures Soil Temperature.</v>
      </c>
      <c r="Q727" s="5" t="s">
        <v>653</v>
      </c>
    </row>
    <row r="728" spans="1:17" ht="12.75">
      <c r="A728" s="5" t="s">
        <v>402</v>
      </c>
      <c r="B728" s="5" t="s">
        <v>1373</v>
      </c>
      <c r="C728" s="5" t="s">
        <v>1374</v>
      </c>
      <c r="D728" s="5">
        <v>33.738138889999803</v>
      </c>
      <c r="E728" s="5">
        <v>35.787000000000297</v>
      </c>
      <c r="F728" s="5">
        <v>36231677</v>
      </c>
      <c r="G728" s="5" t="s">
        <v>1375</v>
      </c>
      <c r="H728" s="5" t="s">
        <v>1376</v>
      </c>
      <c r="I728" s="5" t="s">
        <v>1210</v>
      </c>
      <c r="J728" s="5" t="s">
        <v>1428</v>
      </c>
      <c r="K728" s="5" t="s">
        <v>662</v>
      </c>
      <c r="L728" s="5" t="str">
        <f>VLOOKUP($K728,'Property names'!$A$1:$D$100,2,FALSE)</f>
        <v>The measure of temperature of the soil.</v>
      </c>
      <c r="M728" s="5" t="str">
        <f>VLOOKUP($K728,'Property names'!$A$1:$D$100,3,FALSE)</f>
        <v>Degrees Celsius</v>
      </c>
      <c r="N728" s="5" t="str">
        <f>VLOOKUP($K728,'Property names'!$A$1:$D$100,4,FALSE)</f>
        <v>ºC</v>
      </c>
      <c r="O728" s="5" t="str">
        <f t="shared" si="19"/>
        <v>Haouch_el_Saalouk_West_Bekaa_36231677_Temp_3-120cm</v>
      </c>
      <c r="P728" s="5" t="str">
        <f t="shared" si="20"/>
        <v>The datastream containing mesures of field Haouch el Saalouk West Bekaa by sensor 36231677 which measures Soil Temperature.</v>
      </c>
      <c r="Q728" s="5" t="s">
        <v>653</v>
      </c>
    </row>
    <row r="729" spans="1:17" ht="12.75">
      <c r="A729" s="5" t="s">
        <v>402</v>
      </c>
      <c r="B729" s="5" t="s">
        <v>1373</v>
      </c>
      <c r="C729" s="5" t="s">
        <v>1374</v>
      </c>
      <c r="D729" s="5">
        <v>33.738138889999803</v>
      </c>
      <c r="E729" s="5">
        <v>35.787000000000297</v>
      </c>
      <c r="F729" s="5">
        <v>36231677</v>
      </c>
      <c r="G729" s="5" t="s">
        <v>1375</v>
      </c>
      <c r="H729" s="5" t="s">
        <v>1376</v>
      </c>
      <c r="I729" s="5" t="s">
        <v>1210</v>
      </c>
      <c r="J729" s="5" t="s">
        <v>1429</v>
      </c>
      <c r="K729" s="5" t="s">
        <v>662</v>
      </c>
      <c r="L729" s="5" t="str">
        <f>VLOOKUP($K729,'Property names'!$A$1:$D$100,2,FALSE)</f>
        <v>The measure of temperature of the soil.</v>
      </c>
      <c r="M729" s="5" t="str">
        <f>VLOOKUP($K729,'Property names'!$A$1:$D$100,3,FALSE)</f>
        <v>Degrees Celsius</v>
      </c>
      <c r="N729" s="5" t="str">
        <f>VLOOKUP($K729,'Property names'!$A$1:$D$100,4,FALSE)</f>
        <v>ºC</v>
      </c>
      <c r="O729" s="5" t="str">
        <f t="shared" si="19"/>
        <v>Haouch_el_Saalouk_West_Bekaa_36231677_Temp_3-140cm</v>
      </c>
      <c r="P729" s="5" t="str">
        <f t="shared" si="20"/>
        <v>The datastream containing mesures of field Haouch el Saalouk West Bekaa by sensor 36231677 which measures Soil Temperature.</v>
      </c>
      <c r="Q729" s="5" t="s">
        <v>653</v>
      </c>
    </row>
    <row r="730" spans="1:17" ht="12.75">
      <c r="A730" s="5" t="s">
        <v>402</v>
      </c>
      <c r="B730" s="5" t="s">
        <v>1373</v>
      </c>
      <c r="C730" s="5" t="s">
        <v>1374</v>
      </c>
      <c r="D730" s="5">
        <v>33.738138889999803</v>
      </c>
      <c r="E730" s="5">
        <v>35.787000000000297</v>
      </c>
      <c r="F730" s="5">
        <v>36231677</v>
      </c>
      <c r="G730" s="5" t="s">
        <v>1375</v>
      </c>
      <c r="H730" s="5" t="s">
        <v>1376</v>
      </c>
      <c r="I730" s="5" t="s">
        <v>1210</v>
      </c>
      <c r="J730" s="5" t="s">
        <v>1430</v>
      </c>
      <c r="K730" s="5" t="s">
        <v>662</v>
      </c>
      <c r="L730" s="5" t="str">
        <f>VLOOKUP($K730,'Property names'!$A$1:$D$100,2,FALSE)</f>
        <v>The measure of temperature of the soil.</v>
      </c>
      <c r="M730" s="5" t="str">
        <f>VLOOKUP($K730,'Property names'!$A$1:$D$100,3,FALSE)</f>
        <v>Degrees Celsius</v>
      </c>
      <c r="N730" s="5" t="str">
        <f>VLOOKUP($K730,'Property names'!$A$1:$D$100,4,FALSE)</f>
        <v>ºC</v>
      </c>
      <c r="O730" s="5" t="str">
        <f t="shared" si="19"/>
        <v>Haouch_el_Saalouk_West_Bekaa_36231677_Temp_3-160cm</v>
      </c>
      <c r="P730" s="5" t="str">
        <f t="shared" si="20"/>
        <v>The datastream containing mesures of field Haouch el Saalouk West Bekaa by sensor 36231677 which measures Soil Temperature.</v>
      </c>
      <c r="Q730" s="5" t="s">
        <v>653</v>
      </c>
    </row>
    <row r="731" spans="1:17" ht="12.75">
      <c r="A731" s="5" t="s">
        <v>402</v>
      </c>
      <c r="B731" s="5" t="s">
        <v>1373</v>
      </c>
      <c r="C731" s="5" t="s">
        <v>1374</v>
      </c>
      <c r="D731" s="5">
        <v>33.738138889999803</v>
      </c>
      <c r="E731" s="5">
        <v>35.787000000000297</v>
      </c>
      <c r="F731" s="5">
        <v>36231677</v>
      </c>
      <c r="G731" s="5" t="s">
        <v>1375</v>
      </c>
      <c r="H731" s="5" t="s">
        <v>1376</v>
      </c>
      <c r="I731" s="5" t="s">
        <v>1210</v>
      </c>
      <c r="J731" s="5" t="s">
        <v>1431</v>
      </c>
      <c r="K731" s="5" t="s">
        <v>665</v>
      </c>
      <c r="L731" s="5" t="str">
        <f>VLOOKUP($K731,'Property names'!$A$1:$D$100,2,FALSE)</f>
        <v>The percentage of battery level associated to the specific sensor.</v>
      </c>
      <c r="M731" s="5" t="str">
        <f>VLOOKUP($K731,'Property names'!$A$1:$D$100,3,FALSE)</f>
        <v>Percentage</v>
      </c>
      <c r="N731" s="5" t="str">
        <f>VLOOKUP($K731,'Property names'!$A$1:$D$100,4,FALSE)</f>
        <v>%</v>
      </c>
      <c r="O731" s="5" t="str">
        <f t="shared" si="19"/>
        <v>Haouch_el_Saalouk_West_Bekaa_36231677_Battery_V</v>
      </c>
      <c r="P731" s="5" t="str">
        <f t="shared" si="20"/>
        <v>The datastream containing mesures of field Haouch el Saalouk West Bekaa by sensor 36231677 which measures Battery Level.</v>
      </c>
      <c r="Q731" s="5" t="s">
        <v>653</v>
      </c>
    </row>
    <row r="732" spans="1:17" ht="12.75">
      <c r="A732" s="5" t="s">
        <v>402</v>
      </c>
      <c r="B732" s="5" t="s">
        <v>1373</v>
      </c>
      <c r="C732" s="5" t="s">
        <v>1374</v>
      </c>
      <c r="D732" s="5">
        <v>33.738138889999803</v>
      </c>
      <c r="E732" s="5">
        <v>35.787000000000297</v>
      </c>
      <c r="F732" s="5">
        <v>36231677</v>
      </c>
      <c r="G732" s="5" t="s">
        <v>1375</v>
      </c>
      <c r="H732" s="5" t="s">
        <v>1376</v>
      </c>
      <c r="I732" s="5" t="s">
        <v>1210</v>
      </c>
      <c r="J732" s="5" t="s">
        <v>1432</v>
      </c>
      <c r="K732" s="5" t="s">
        <v>709</v>
      </c>
      <c r="L732" s="5" t="str">
        <f>VLOOKUP($K732,'Property names'!$A$1:$D$100,2,FALSE)</f>
        <v>Energy from the sun in the form of electromagnetic waves.</v>
      </c>
      <c r="M732" s="5" t="str">
        <f>VLOOKUP($K732,'Property names'!$A$1:$D$100,3,FALSE)</f>
        <v>Watts per square meter</v>
      </c>
      <c r="N732" s="5" t="str">
        <f>VLOOKUP($K732,'Property names'!$A$1:$D$100,4,FALSE)</f>
        <v>W/m²</v>
      </c>
      <c r="O732" s="5" t="str">
        <f t="shared" si="19"/>
        <v>Haouch_el_Saalouk_West_Bekaa_36231677_Solar_V</v>
      </c>
      <c r="P732" s="5" t="str">
        <f t="shared" si="20"/>
        <v>The datastream containing mesures of field Haouch el Saalouk West Bekaa by sensor 36231677 which measures Solar Radiation.</v>
      </c>
      <c r="Q732" s="5" t="s">
        <v>653</v>
      </c>
    </row>
    <row r="733" spans="1:17" ht="12.75">
      <c r="A733" s="5" t="s">
        <v>402</v>
      </c>
      <c r="B733" s="5" t="s">
        <v>1373</v>
      </c>
      <c r="C733" s="5" t="s">
        <v>1374</v>
      </c>
      <c r="D733" s="5">
        <v>33.738138889999803</v>
      </c>
      <c r="E733" s="5">
        <v>35.787000000000297</v>
      </c>
      <c r="F733" s="5">
        <v>36231677</v>
      </c>
      <c r="G733" s="5" t="s">
        <v>1375</v>
      </c>
      <c r="H733" s="5" t="s">
        <v>1376</v>
      </c>
      <c r="I733" s="5" t="s">
        <v>1210</v>
      </c>
      <c r="J733" s="5" t="s">
        <v>1433</v>
      </c>
      <c r="K733" s="5" t="s">
        <v>1433</v>
      </c>
      <c r="L733" s="5" t="str">
        <f>VLOOKUP($K733,'Property names'!$A$1:$D$100,2,FALSE)</f>
        <v>-</v>
      </c>
      <c r="M733" s="5" t="str">
        <f>VLOOKUP($K733,'Property names'!$A$1:$D$100,3,FALSE)</f>
        <v>-</v>
      </c>
      <c r="N733" s="5" t="str">
        <f>VLOOKUP($K733,'Property names'!$A$1:$D$100,4,FALSE)</f>
        <v>-</v>
      </c>
      <c r="O733" s="5" t="str">
        <f t="shared" si="19"/>
        <v>Haouch_el_Saalouk_West_Bekaa_36231677_CSQ</v>
      </c>
      <c r="P733" s="5" t="str">
        <f t="shared" si="20"/>
        <v>The datastream containing mesures of field Haouch el Saalouk West Bekaa by sensor 36231677 which measures CSQ.</v>
      </c>
      <c r="Q733" s="5" t="s">
        <v>653</v>
      </c>
    </row>
    <row r="734" spans="1:17" ht="12.75">
      <c r="A734" s="5" t="s">
        <v>402</v>
      </c>
      <c r="B734" s="5" t="s">
        <v>1434</v>
      </c>
      <c r="C734" s="5" t="s">
        <v>1435</v>
      </c>
      <c r="D734" s="5">
        <v>34.026055560000003</v>
      </c>
      <c r="E734" s="5">
        <v>36.072555559999998</v>
      </c>
      <c r="F734" s="5">
        <v>36231670</v>
      </c>
      <c r="G734" s="5" t="s">
        <v>1375</v>
      </c>
      <c r="H734" s="5" t="s">
        <v>1376</v>
      </c>
      <c r="I734" s="5" t="s">
        <v>1210</v>
      </c>
      <c r="J734" s="5" t="s">
        <v>1377</v>
      </c>
      <c r="K734" s="5" t="s">
        <v>660</v>
      </c>
      <c r="L734" s="5" t="str">
        <f>VLOOKUP($K734,'Property names'!$A$1:$D$100,2,FALSE)</f>
        <v>The amount of moisture present in the soil, often expressed as a percentage of the maximum amount the soil could hold at a given temperature.</v>
      </c>
      <c r="M734" s="5" t="str">
        <f>VLOOKUP($K734,'Property names'!$A$1:$D$100,3,FALSE)</f>
        <v>Percentage</v>
      </c>
      <c r="N734" s="5" t="str">
        <f>VLOOKUP($K734,'Property names'!$A$1:$D$100,4,FALSE)</f>
        <v>%</v>
      </c>
      <c r="O734" s="5" t="str">
        <f t="shared" si="19"/>
        <v>Saaideh_Baalbeck_36231670_VWC_1-10cm</v>
      </c>
      <c r="P734" s="5" t="str">
        <f t="shared" si="20"/>
        <v>The datastream containing mesures of field Saaideh Baalbeck by sensor 36231670 which measures Soil Moisture.</v>
      </c>
      <c r="Q734" s="5" t="s">
        <v>653</v>
      </c>
    </row>
    <row r="735" spans="1:17" ht="12.75">
      <c r="A735" s="5" t="s">
        <v>402</v>
      </c>
      <c r="B735" s="5" t="s">
        <v>1434</v>
      </c>
      <c r="C735" s="5" t="s">
        <v>1435</v>
      </c>
      <c r="D735" s="5">
        <v>34.026055560000003</v>
      </c>
      <c r="E735" s="5">
        <v>36.072555559999998</v>
      </c>
      <c r="F735" s="5">
        <v>36231670</v>
      </c>
      <c r="G735" s="5" t="s">
        <v>1375</v>
      </c>
      <c r="H735" s="5" t="s">
        <v>1376</v>
      </c>
      <c r="I735" s="5" t="s">
        <v>1210</v>
      </c>
      <c r="J735" s="5" t="s">
        <v>1378</v>
      </c>
      <c r="K735" s="5" t="s">
        <v>660</v>
      </c>
      <c r="L735" s="5" t="str">
        <f>VLOOKUP($K735,'Property names'!$A$1:$D$100,2,FALSE)</f>
        <v>The amount of moisture present in the soil, often expressed as a percentage of the maximum amount the soil could hold at a given temperature.</v>
      </c>
      <c r="M735" s="5" t="str">
        <f>VLOOKUP($K735,'Property names'!$A$1:$D$100,3,FALSE)</f>
        <v>Percentage</v>
      </c>
      <c r="N735" s="5" t="str">
        <f>VLOOKUP($K735,'Property names'!$A$1:$D$100,4,FALSE)</f>
        <v>%</v>
      </c>
      <c r="O735" s="5" t="str">
        <f t="shared" si="19"/>
        <v>Saaideh_Baalbeck_36231670_VWC_1-20cm</v>
      </c>
      <c r="P735" s="5" t="str">
        <f t="shared" si="20"/>
        <v>The datastream containing mesures of field Saaideh Baalbeck by sensor 36231670 which measures Soil Moisture.</v>
      </c>
      <c r="Q735" s="5" t="s">
        <v>653</v>
      </c>
    </row>
    <row r="736" spans="1:17" ht="12.75">
      <c r="A736" s="5" t="s">
        <v>402</v>
      </c>
      <c r="B736" s="5" t="s">
        <v>1434</v>
      </c>
      <c r="C736" s="5" t="s">
        <v>1435</v>
      </c>
      <c r="D736" s="5">
        <v>34.026055560000003</v>
      </c>
      <c r="E736" s="5">
        <v>36.072555559999998</v>
      </c>
      <c r="F736" s="5">
        <v>36231670</v>
      </c>
      <c r="G736" s="5" t="s">
        <v>1375</v>
      </c>
      <c r="H736" s="5" t="s">
        <v>1376</v>
      </c>
      <c r="I736" s="5" t="s">
        <v>1210</v>
      </c>
      <c r="J736" s="5" t="s">
        <v>1379</v>
      </c>
      <c r="K736" s="5" t="s">
        <v>660</v>
      </c>
      <c r="L736" s="5" t="str">
        <f>VLOOKUP($K736,'Property names'!$A$1:$D$100,2,FALSE)</f>
        <v>The amount of moisture present in the soil, often expressed as a percentage of the maximum amount the soil could hold at a given temperature.</v>
      </c>
      <c r="M736" s="5" t="str">
        <f>VLOOKUP($K736,'Property names'!$A$1:$D$100,3,FALSE)</f>
        <v>Percentage</v>
      </c>
      <c r="N736" s="5" t="str">
        <f>VLOOKUP($K736,'Property names'!$A$1:$D$100,4,FALSE)</f>
        <v>%</v>
      </c>
      <c r="O736" s="5" t="str">
        <f t="shared" si="19"/>
        <v>Saaideh_Baalbeck_36231670_VWC_1-40cm</v>
      </c>
      <c r="P736" s="5" t="str">
        <f t="shared" si="20"/>
        <v>The datastream containing mesures of field Saaideh Baalbeck by sensor 36231670 which measures Soil Moisture.</v>
      </c>
      <c r="Q736" s="5" t="s">
        <v>653</v>
      </c>
    </row>
    <row r="737" spans="1:17" ht="12.75">
      <c r="A737" s="5" t="s">
        <v>402</v>
      </c>
      <c r="B737" s="5" t="s">
        <v>1434</v>
      </c>
      <c r="C737" s="5" t="s">
        <v>1435</v>
      </c>
      <c r="D737" s="5">
        <v>34.026055560000003</v>
      </c>
      <c r="E737" s="5">
        <v>36.072555559999998</v>
      </c>
      <c r="F737" s="5">
        <v>36231670</v>
      </c>
      <c r="G737" s="5" t="s">
        <v>1375</v>
      </c>
      <c r="H737" s="5" t="s">
        <v>1376</v>
      </c>
      <c r="I737" s="5" t="s">
        <v>1210</v>
      </c>
      <c r="J737" s="5" t="s">
        <v>1380</v>
      </c>
      <c r="K737" s="5" t="s">
        <v>660</v>
      </c>
      <c r="L737" s="5" t="str">
        <f>VLOOKUP($K737,'Property names'!$A$1:$D$100,2,FALSE)</f>
        <v>The amount of moisture present in the soil, often expressed as a percentage of the maximum amount the soil could hold at a given temperature.</v>
      </c>
      <c r="M737" s="5" t="str">
        <f>VLOOKUP($K737,'Property names'!$A$1:$D$100,3,FALSE)</f>
        <v>Percentage</v>
      </c>
      <c r="N737" s="5" t="str">
        <f>VLOOKUP($K737,'Property names'!$A$1:$D$100,4,FALSE)</f>
        <v>%</v>
      </c>
      <c r="O737" s="5" t="str">
        <f t="shared" si="19"/>
        <v>Saaideh_Baalbeck_36231670_VWC_1-60cm</v>
      </c>
      <c r="P737" s="5" t="str">
        <f t="shared" si="20"/>
        <v>The datastream containing mesures of field Saaideh Baalbeck by sensor 36231670 which measures Soil Moisture.</v>
      </c>
      <c r="Q737" s="5" t="s">
        <v>653</v>
      </c>
    </row>
    <row r="738" spans="1:17" ht="12.75">
      <c r="A738" s="5" t="s">
        <v>402</v>
      </c>
      <c r="B738" s="5" t="s">
        <v>1434</v>
      </c>
      <c r="C738" s="5" t="s">
        <v>1435</v>
      </c>
      <c r="D738" s="5">
        <v>34.026055560000003</v>
      </c>
      <c r="E738" s="5">
        <v>36.072555559999998</v>
      </c>
      <c r="F738" s="5">
        <v>36231670</v>
      </c>
      <c r="G738" s="5" t="s">
        <v>1375</v>
      </c>
      <c r="H738" s="5" t="s">
        <v>1376</v>
      </c>
      <c r="I738" s="5" t="s">
        <v>1210</v>
      </c>
      <c r="J738" s="5" t="s">
        <v>1381</v>
      </c>
      <c r="K738" s="5" t="s">
        <v>660</v>
      </c>
      <c r="L738" s="5" t="str">
        <f>VLOOKUP($K738,'Property names'!$A$1:$D$100,2,FALSE)</f>
        <v>The amount of moisture present in the soil, often expressed as a percentage of the maximum amount the soil could hold at a given temperature.</v>
      </c>
      <c r="M738" s="5" t="str">
        <f>VLOOKUP($K738,'Property names'!$A$1:$D$100,3,FALSE)</f>
        <v>Percentage</v>
      </c>
      <c r="N738" s="5" t="str">
        <f>VLOOKUP($K738,'Property names'!$A$1:$D$100,4,FALSE)</f>
        <v>%</v>
      </c>
      <c r="O738" s="5" t="str">
        <f t="shared" si="19"/>
        <v>Saaideh_Baalbeck_36231670_VWC_1-80cm</v>
      </c>
      <c r="P738" s="5" t="str">
        <f t="shared" si="20"/>
        <v>The datastream containing mesures of field Saaideh Baalbeck by sensor 36231670 which measures Soil Moisture.</v>
      </c>
      <c r="Q738" s="5" t="s">
        <v>653</v>
      </c>
    </row>
    <row r="739" spans="1:17" ht="12.75">
      <c r="A739" s="5" t="s">
        <v>402</v>
      </c>
      <c r="B739" s="5" t="s">
        <v>1434</v>
      </c>
      <c r="C739" s="5" t="s">
        <v>1435</v>
      </c>
      <c r="D739" s="5">
        <v>34.026055560000003</v>
      </c>
      <c r="E739" s="5">
        <v>36.072555559999998</v>
      </c>
      <c r="F739" s="5">
        <v>36231670</v>
      </c>
      <c r="G739" s="5" t="s">
        <v>1375</v>
      </c>
      <c r="H739" s="5" t="s">
        <v>1376</v>
      </c>
      <c r="I739" s="5" t="s">
        <v>1210</v>
      </c>
      <c r="J739" s="5" t="s">
        <v>1382</v>
      </c>
      <c r="K739" s="5" t="s">
        <v>660</v>
      </c>
      <c r="L739" s="5" t="str">
        <f>VLOOKUP($K739,'Property names'!$A$1:$D$100,2,FALSE)</f>
        <v>The amount of moisture present in the soil, often expressed as a percentage of the maximum amount the soil could hold at a given temperature.</v>
      </c>
      <c r="M739" s="5" t="str">
        <f>VLOOKUP($K739,'Property names'!$A$1:$D$100,3,FALSE)</f>
        <v>Percentage</v>
      </c>
      <c r="N739" s="5" t="str">
        <f>VLOOKUP($K739,'Property names'!$A$1:$D$100,4,FALSE)</f>
        <v>%</v>
      </c>
      <c r="O739" s="5" t="str">
        <f t="shared" si="19"/>
        <v>Saaideh_Baalbeck_36231670_VWC_1-100cm</v>
      </c>
      <c r="P739" s="5" t="str">
        <f t="shared" si="20"/>
        <v>The datastream containing mesures of field Saaideh Baalbeck by sensor 36231670 which measures Soil Moisture.</v>
      </c>
      <c r="Q739" s="5" t="s">
        <v>653</v>
      </c>
    </row>
    <row r="740" spans="1:17" ht="12.75">
      <c r="A740" s="5" t="s">
        <v>402</v>
      </c>
      <c r="B740" s="5" t="s">
        <v>1434</v>
      </c>
      <c r="C740" s="5" t="s">
        <v>1435</v>
      </c>
      <c r="D740" s="5">
        <v>34.026055560000003</v>
      </c>
      <c r="E740" s="5">
        <v>36.072555559999998</v>
      </c>
      <c r="F740" s="5">
        <v>36231670</v>
      </c>
      <c r="G740" s="5" t="s">
        <v>1375</v>
      </c>
      <c r="H740" s="5" t="s">
        <v>1376</v>
      </c>
      <c r="I740" s="5" t="s">
        <v>1210</v>
      </c>
      <c r="J740" s="5" t="s">
        <v>1383</v>
      </c>
      <c r="K740" s="5" t="s">
        <v>660</v>
      </c>
      <c r="L740" s="5" t="str">
        <f>VLOOKUP($K740,'Property names'!$A$1:$D$100,2,FALSE)</f>
        <v>The amount of moisture present in the soil, often expressed as a percentage of the maximum amount the soil could hold at a given temperature.</v>
      </c>
      <c r="M740" s="5" t="str">
        <f>VLOOKUP($K740,'Property names'!$A$1:$D$100,3,FALSE)</f>
        <v>Percentage</v>
      </c>
      <c r="N740" s="5" t="str">
        <f>VLOOKUP($K740,'Property names'!$A$1:$D$100,4,FALSE)</f>
        <v>%</v>
      </c>
      <c r="O740" s="5" t="str">
        <f t="shared" si="19"/>
        <v>Saaideh_Baalbeck_36231670_VWC_1-120cm</v>
      </c>
      <c r="P740" s="5" t="str">
        <f t="shared" si="20"/>
        <v>The datastream containing mesures of field Saaideh Baalbeck by sensor 36231670 which measures Soil Moisture.</v>
      </c>
      <c r="Q740" s="5" t="s">
        <v>653</v>
      </c>
    </row>
    <row r="741" spans="1:17" ht="12.75">
      <c r="A741" s="5" t="s">
        <v>402</v>
      </c>
      <c r="B741" s="5" t="s">
        <v>1434</v>
      </c>
      <c r="C741" s="5" t="s">
        <v>1435</v>
      </c>
      <c r="D741" s="5">
        <v>34.026055560000003</v>
      </c>
      <c r="E741" s="5">
        <v>36.072555559999998</v>
      </c>
      <c r="F741" s="5">
        <v>36231670</v>
      </c>
      <c r="G741" s="5" t="s">
        <v>1375</v>
      </c>
      <c r="H741" s="5" t="s">
        <v>1376</v>
      </c>
      <c r="I741" s="5" t="s">
        <v>1210</v>
      </c>
      <c r="J741" s="5" t="s">
        <v>1384</v>
      </c>
      <c r="K741" s="5" t="s">
        <v>660</v>
      </c>
      <c r="L741" s="5" t="str">
        <f>VLOOKUP($K741,'Property names'!$A$1:$D$100,2,FALSE)</f>
        <v>The amount of moisture present in the soil, often expressed as a percentage of the maximum amount the soil could hold at a given temperature.</v>
      </c>
      <c r="M741" s="5" t="str">
        <f>VLOOKUP($K741,'Property names'!$A$1:$D$100,3,FALSE)</f>
        <v>Percentage</v>
      </c>
      <c r="N741" s="5" t="str">
        <f>VLOOKUP($K741,'Property names'!$A$1:$D$100,4,FALSE)</f>
        <v>%</v>
      </c>
      <c r="O741" s="5" t="str">
        <f t="shared" si="19"/>
        <v>Saaideh_Baalbeck_36231670_VWC_1-140cm</v>
      </c>
      <c r="P741" s="5" t="str">
        <f t="shared" si="20"/>
        <v>The datastream containing mesures of field Saaideh Baalbeck by sensor 36231670 which measures Soil Moisture.</v>
      </c>
      <c r="Q741" s="5" t="s">
        <v>653</v>
      </c>
    </row>
    <row r="742" spans="1:17" ht="12.75">
      <c r="A742" s="5" t="s">
        <v>402</v>
      </c>
      <c r="B742" s="5" t="s">
        <v>1434</v>
      </c>
      <c r="C742" s="5" t="s">
        <v>1435</v>
      </c>
      <c r="D742" s="5">
        <v>34.026055560000003</v>
      </c>
      <c r="E742" s="5">
        <v>36.072555559999998</v>
      </c>
      <c r="F742" s="5">
        <v>36231670</v>
      </c>
      <c r="G742" s="5" t="s">
        <v>1375</v>
      </c>
      <c r="H742" s="5" t="s">
        <v>1376</v>
      </c>
      <c r="I742" s="5" t="s">
        <v>1210</v>
      </c>
      <c r="J742" s="5" t="s">
        <v>1385</v>
      </c>
      <c r="K742" s="5" t="s">
        <v>660</v>
      </c>
      <c r="L742" s="5" t="str">
        <f>VLOOKUP($K742,'Property names'!$A$1:$D$100,2,FALSE)</f>
        <v>The amount of moisture present in the soil, often expressed as a percentage of the maximum amount the soil could hold at a given temperature.</v>
      </c>
      <c r="M742" s="5" t="str">
        <f>VLOOKUP($K742,'Property names'!$A$1:$D$100,3,FALSE)</f>
        <v>Percentage</v>
      </c>
      <c r="N742" s="5" t="str">
        <f>VLOOKUP($K742,'Property names'!$A$1:$D$100,4,FALSE)</f>
        <v>%</v>
      </c>
      <c r="O742" s="5" t="str">
        <f t="shared" si="19"/>
        <v>Saaideh_Baalbeck_36231670_VWC_1-160cm</v>
      </c>
      <c r="P742" s="5" t="str">
        <f t="shared" si="20"/>
        <v>The datastream containing mesures of field Saaideh Baalbeck by sensor 36231670 which measures Soil Moisture.</v>
      </c>
      <c r="Q742" s="5" t="s">
        <v>653</v>
      </c>
    </row>
    <row r="743" spans="1:17" ht="12.75">
      <c r="A743" s="5" t="s">
        <v>402</v>
      </c>
      <c r="B743" s="5" t="s">
        <v>1434</v>
      </c>
      <c r="C743" s="5" t="s">
        <v>1435</v>
      </c>
      <c r="D743" s="5">
        <v>34.026055560000003</v>
      </c>
      <c r="E743" s="5">
        <v>36.072555559999998</v>
      </c>
      <c r="F743" s="5">
        <v>36231670</v>
      </c>
      <c r="G743" s="5" t="s">
        <v>1375</v>
      </c>
      <c r="H743" s="5" t="s">
        <v>1376</v>
      </c>
      <c r="I743" s="5" t="s">
        <v>1210</v>
      </c>
      <c r="J743" s="5" t="s">
        <v>1386</v>
      </c>
      <c r="K743" s="5" t="s">
        <v>662</v>
      </c>
      <c r="L743" s="5" t="str">
        <f>VLOOKUP($K743,'Property names'!$A$1:$D$100,2,FALSE)</f>
        <v>The measure of temperature of the soil.</v>
      </c>
      <c r="M743" s="5" t="str">
        <f>VLOOKUP($K743,'Property names'!$A$1:$D$100,3,FALSE)</f>
        <v>Degrees Celsius</v>
      </c>
      <c r="N743" s="5" t="str">
        <f>VLOOKUP($K743,'Property names'!$A$1:$D$100,4,FALSE)</f>
        <v>ºC</v>
      </c>
      <c r="O743" s="5" t="str">
        <f t="shared" si="19"/>
        <v>Saaideh_Baalbeck_36231670_Temp_1-10cm</v>
      </c>
      <c r="P743" s="5" t="str">
        <f t="shared" si="20"/>
        <v>The datastream containing mesures of field Saaideh Baalbeck by sensor 36231670 which measures Soil Temperature.</v>
      </c>
      <c r="Q743" s="5" t="s">
        <v>653</v>
      </c>
    </row>
    <row r="744" spans="1:17" ht="12.75">
      <c r="A744" s="5" t="s">
        <v>402</v>
      </c>
      <c r="B744" s="5" t="s">
        <v>1434</v>
      </c>
      <c r="C744" s="5" t="s">
        <v>1435</v>
      </c>
      <c r="D744" s="5">
        <v>34.026055560000003</v>
      </c>
      <c r="E744" s="5">
        <v>36.072555559999998</v>
      </c>
      <c r="F744" s="5">
        <v>36231670</v>
      </c>
      <c r="G744" s="5" t="s">
        <v>1375</v>
      </c>
      <c r="H744" s="5" t="s">
        <v>1376</v>
      </c>
      <c r="I744" s="5" t="s">
        <v>1210</v>
      </c>
      <c r="J744" s="5" t="s">
        <v>1387</v>
      </c>
      <c r="K744" s="5" t="s">
        <v>662</v>
      </c>
      <c r="L744" s="5" t="str">
        <f>VLOOKUP($K744,'Property names'!$A$1:$D$100,2,FALSE)</f>
        <v>The measure of temperature of the soil.</v>
      </c>
      <c r="M744" s="5" t="str">
        <f>VLOOKUP($K744,'Property names'!$A$1:$D$100,3,FALSE)</f>
        <v>Degrees Celsius</v>
      </c>
      <c r="N744" s="5" t="str">
        <f>VLOOKUP($K744,'Property names'!$A$1:$D$100,4,FALSE)</f>
        <v>ºC</v>
      </c>
      <c r="O744" s="5" t="str">
        <f t="shared" si="19"/>
        <v>Saaideh_Baalbeck_36231670_Temp_1-20cm</v>
      </c>
      <c r="P744" s="5" t="str">
        <f t="shared" si="20"/>
        <v>The datastream containing mesures of field Saaideh Baalbeck by sensor 36231670 which measures Soil Temperature.</v>
      </c>
      <c r="Q744" s="5" t="s">
        <v>653</v>
      </c>
    </row>
    <row r="745" spans="1:17" ht="12.75">
      <c r="A745" s="5" t="s">
        <v>402</v>
      </c>
      <c r="B745" s="5" t="s">
        <v>1434</v>
      </c>
      <c r="C745" s="5" t="s">
        <v>1435</v>
      </c>
      <c r="D745" s="5">
        <v>34.026055560000003</v>
      </c>
      <c r="E745" s="5">
        <v>36.072555559999998</v>
      </c>
      <c r="F745" s="5">
        <v>36231670</v>
      </c>
      <c r="G745" s="5" t="s">
        <v>1375</v>
      </c>
      <c r="H745" s="5" t="s">
        <v>1376</v>
      </c>
      <c r="I745" s="5" t="s">
        <v>1210</v>
      </c>
      <c r="J745" s="5" t="s">
        <v>1388</v>
      </c>
      <c r="K745" s="5" t="s">
        <v>662</v>
      </c>
      <c r="L745" s="5" t="str">
        <f>VLOOKUP($K745,'Property names'!$A$1:$D$100,2,FALSE)</f>
        <v>The measure of temperature of the soil.</v>
      </c>
      <c r="M745" s="5" t="str">
        <f>VLOOKUP($K745,'Property names'!$A$1:$D$100,3,FALSE)</f>
        <v>Degrees Celsius</v>
      </c>
      <c r="N745" s="5" t="str">
        <f>VLOOKUP($K745,'Property names'!$A$1:$D$100,4,FALSE)</f>
        <v>ºC</v>
      </c>
      <c r="O745" s="5" t="str">
        <f t="shared" si="19"/>
        <v>Saaideh_Baalbeck_36231670_Temp_1-40cm</v>
      </c>
      <c r="P745" s="5" t="str">
        <f t="shared" si="20"/>
        <v>The datastream containing mesures of field Saaideh Baalbeck by sensor 36231670 which measures Soil Temperature.</v>
      </c>
      <c r="Q745" s="5" t="s">
        <v>653</v>
      </c>
    </row>
    <row r="746" spans="1:17" ht="12.75">
      <c r="A746" s="5" t="s">
        <v>402</v>
      </c>
      <c r="B746" s="5" t="s">
        <v>1434</v>
      </c>
      <c r="C746" s="5" t="s">
        <v>1435</v>
      </c>
      <c r="D746" s="5">
        <v>34.026055560000003</v>
      </c>
      <c r="E746" s="5">
        <v>36.072555559999998</v>
      </c>
      <c r="F746" s="5">
        <v>36231670</v>
      </c>
      <c r="G746" s="5" t="s">
        <v>1375</v>
      </c>
      <c r="H746" s="5" t="s">
        <v>1376</v>
      </c>
      <c r="I746" s="5" t="s">
        <v>1210</v>
      </c>
      <c r="J746" s="5" t="s">
        <v>1389</v>
      </c>
      <c r="K746" s="5" t="s">
        <v>662</v>
      </c>
      <c r="L746" s="5" t="str">
        <f>VLOOKUP($K746,'Property names'!$A$1:$D$100,2,FALSE)</f>
        <v>The measure of temperature of the soil.</v>
      </c>
      <c r="M746" s="5" t="str">
        <f>VLOOKUP($K746,'Property names'!$A$1:$D$100,3,FALSE)</f>
        <v>Degrees Celsius</v>
      </c>
      <c r="N746" s="5" t="str">
        <f>VLOOKUP($K746,'Property names'!$A$1:$D$100,4,FALSE)</f>
        <v>ºC</v>
      </c>
      <c r="O746" s="5" t="str">
        <f t="shared" si="19"/>
        <v>Saaideh_Baalbeck_36231670_Temp_1-60cm</v>
      </c>
      <c r="P746" s="5" t="str">
        <f t="shared" si="20"/>
        <v>The datastream containing mesures of field Saaideh Baalbeck by sensor 36231670 which measures Soil Temperature.</v>
      </c>
      <c r="Q746" s="5" t="s">
        <v>653</v>
      </c>
    </row>
    <row r="747" spans="1:17" ht="12.75">
      <c r="A747" s="5" t="s">
        <v>402</v>
      </c>
      <c r="B747" s="5" t="s">
        <v>1434</v>
      </c>
      <c r="C747" s="5" t="s">
        <v>1435</v>
      </c>
      <c r="D747" s="5">
        <v>34.026055560000003</v>
      </c>
      <c r="E747" s="5">
        <v>36.072555559999998</v>
      </c>
      <c r="F747" s="5">
        <v>36231670</v>
      </c>
      <c r="G747" s="5" t="s">
        <v>1375</v>
      </c>
      <c r="H747" s="5" t="s">
        <v>1376</v>
      </c>
      <c r="I747" s="5" t="s">
        <v>1210</v>
      </c>
      <c r="J747" s="5" t="s">
        <v>1390</v>
      </c>
      <c r="K747" s="5" t="s">
        <v>662</v>
      </c>
      <c r="L747" s="5" t="str">
        <f>VLOOKUP($K747,'Property names'!$A$1:$D$100,2,FALSE)</f>
        <v>The measure of temperature of the soil.</v>
      </c>
      <c r="M747" s="5" t="str">
        <f>VLOOKUP($K747,'Property names'!$A$1:$D$100,3,FALSE)</f>
        <v>Degrees Celsius</v>
      </c>
      <c r="N747" s="5" t="str">
        <f>VLOOKUP($K747,'Property names'!$A$1:$D$100,4,FALSE)</f>
        <v>ºC</v>
      </c>
      <c r="O747" s="5" t="str">
        <f t="shared" si="19"/>
        <v>Saaideh_Baalbeck_36231670_Temp_1-80cm</v>
      </c>
      <c r="P747" s="5" t="str">
        <f t="shared" si="20"/>
        <v>The datastream containing mesures of field Saaideh Baalbeck by sensor 36231670 which measures Soil Temperature.</v>
      </c>
      <c r="Q747" s="5" t="s">
        <v>653</v>
      </c>
    </row>
    <row r="748" spans="1:17" ht="12.75">
      <c r="A748" s="5" t="s">
        <v>402</v>
      </c>
      <c r="B748" s="5" t="s">
        <v>1434</v>
      </c>
      <c r="C748" s="5" t="s">
        <v>1435</v>
      </c>
      <c r="D748" s="5">
        <v>34.026055560000003</v>
      </c>
      <c r="E748" s="5">
        <v>36.072555559999998</v>
      </c>
      <c r="F748" s="5">
        <v>36231670</v>
      </c>
      <c r="G748" s="5" t="s">
        <v>1375</v>
      </c>
      <c r="H748" s="5" t="s">
        <v>1376</v>
      </c>
      <c r="I748" s="5" t="s">
        <v>1210</v>
      </c>
      <c r="J748" s="5" t="s">
        <v>1391</v>
      </c>
      <c r="K748" s="5" t="s">
        <v>662</v>
      </c>
      <c r="L748" s="5" t="str">
        <f>VLOOKUP($K748,'Property names'!$A$1:$D$100,2,FALSE)</f>
        <v>The measure of temperature of the soil.</v>
      </c>
      <c r="M748" s="5" t="str">
        <f>VLOOKUP($K748,'Property names'!$A$1:$D$100,3,FALSE)</f>
        <v>Degrees Celsius</v>
      </c>
      <c r="N748" s="5" t="str">
        <f>VLOOKUP($K748,'Property names'!$A$1:$D$100,4,FALSE)</f>
        <v>ºC</v>
      </c>
      <c r="O748" s="5" t="str">
        <f t="shared" si="19"/>
        <v>Saaideh_Baalbeck_36231670_Temp_1-100cm</v>
      </c>
      <c r="P748" s="5" t="str">
        <f t="shared" si="20"/>
        <v>The datastream containing mesures of field Saaideh Baalbeck by sensor 36231670 which measures Soil Temperature.</v>
      </c>
      <c r="Q748" s="5" t="s">
        <v>653</v>
      </c>
    </row>
    <row r="749" spans="1:17" ht="12.75">
      <c r="A749" s="5" t="s">
        <v>402</v>
      </c>
      <c r="B749" s="5" t="s">
        <v>1434</v>
      </c>
      <c r="C749" s="5" t="s">
        <v>1435</v>
      </c>
      <c r="D749" s="5">
        <v>34.026055560000003</v>
      </c>
      <c r="E749" s="5">
        <v>36.072555559999998</v>
      </c>
      <c r="F749" s="5">
        <v>36231670</v>
      </c>
      <c r="G749" s="5" t="s">
        <v>1375</v>
      </c>
      <c r="H749" s="5" t="s">
        <v>1376</v>
      </c>
      <c r="I749" s="5" t="s">
        <v>1210</v>
      </c>
      <c r="J749" s="5" t="s">
        <v>1392</v>
      </c>
      <c r="K749" s="5" t="s">
        <v>662</v>
      </c>
      <c r="L749" s="5" t="str">
        <f>VLOOKUP($K749,'Property names'!$A$1:$D$100,2,FALSE)</f>
        <v>The measure of temperature of the soil.</v>
      </c>
      <c r="M749" s="5" t="str">
        <f>VLOOKUP($K749,'Property names'!$A$1:$D$100,3,FALSE)</f>
        <v>Degrees Celsius</v>
      </c>
      <c r="N749" s="5" t="str">
        <f>VLOOKUP($K749,'Property names'!$A$1:$D$100,4,FALSE)</f>
        <v>ºC</v>
      </c>
      <c r="O749" s="5" t="str">
        <f t="shared" si="19"/>
        <v>Saaideh_Baalbeck_36231670_Temp_1-120cm</v>
      </c>
      <c r="P749" s="5" t="str">
        <f t="shared" si="20"/>
        <v>The datastream containing mesures of field Saaideh Baalbeck by sensor 36231670 which measures Soil Temperature.</v>
      </c>
      <c r="Q749" s="5" t="s">
        <v>653</v>
      </c>
    </row>
    <row r="750" spans="1:17" ht="12.75">
      <c r="A750" s="5" t="s">
        <v>402</v>
      </c>
      <c r="B750" s="5" t="s">
        <v>1434</v>
      </c>
      <c r="C750" s="5" t="s">
        <v>1435</v>
      </c>
      <c r="D750" s="5">
        <v>34.026055560000003</v>
      </c>
      <c r="E750" s="5">
        <v>36.072555559999998</v>
      </c>
      <c r="F750" s="5">
        <v>36231670</v>
      </c>
      <c r="G750" s="5" t="s">
        <v>1375</v>
      </c>
      <c r="H750" s="5" t="s">
        <v>1376</v>
      </c>
      <c r="I750" s="5" t="s">
        <v>1210</v>
      </c>
      <c r="J750" s="5" t="s">
        <v>1393</v>
      </c>
      <c r="K750" s="5" t="s">
        <v>662</v>
      </c>
      <c r="L750" s="5" t="str">
        <f>VLOOKUP($K750,'Property names'!$A$1:$D$100,2,FALSE)</f>
        <v>The measure of temperature of the soil.</v>
      </c>
      <c r="M750" s="5" t="str">
        <f>VLOOKUP($K750,'Property names'!$A$1:$D$100,3,FALSE)</f>
        <v>Degrees Celsius</v>
      </c>
      <c r="N750" s="5" t="str">
        <f>VLOOKUP($K750,'Property names'!$A$1:$D$100,4,FALSE)</f>
        <v>ºC</v>
      </c>
      <c r="O750" s="5" t="str">
        <f t="shared" si="19"/>
        <v>Saaideh_Baalbeck_36231670_Temp_1-140cm</v>
      </c>
      <c r="P750" s="5" t="str">
        <f t="shared" si="20"/>
        <v>The datastream containing mesures of field Saaideh Baalbeck by sensor 36231670 which measures Soil Temperature.</v>
      </c>
      <c r="Q750" s="5" t="s">
        <v>653</v>
      </c>
    </row>
    <row r="751" spans="1:17" ht="12.75">
      <c r="A751" s="5" t="s">
        <v>402</v>
      </c>
      <c r="B751" s="5" t="s">
        <v>1434</v>
      </c>
      <c r="C751" s="5" t="s">
        <v>1435</v>
      </c>
      <c r="D751" s="5">
        <v>34.026055560000003</v>
      </c>
      <c r="E751" s="5">
        <v>36.072555559999998</v>
      </c>
      <c r="F751" s="5">
        <v>36231670</v>
      </c>
      <c r="G751" s="5" t="s">
        <v>1375</v>
      </c>
      <c r="H751" s="5" t="s">
        <v>1376</v>
      </c>
      <c r="I751" s="5" t="s">
        <v>1210</v>
      </c>
      <c r="J751" s="5" t="s">
        <v>1394</v>
      </c>
      <c r="K751" s="5" t="s">
        <v>662</v>
      </c>
      <c r="L751" s="5" t="str">
        <f>VLOOKUP($K751,'Property names'!$A$1:$D$100,2,FALSE)</f>
        <v>The measure of temperature of the soil.</v>
      </c>
      <c r="M751" s="5" t="str">
        <f>VLOOKUP($K751,'Property names'!$A$1:$D$100,3,FALSE)</f>
        <v>Degrees Celsius</v>
      </c>
      <c r="N751" s="5" t="str">
        <f>VLOOKUP($K751,'Property names'!$A$1:$D$100,4,FALSE)</f>
        <v>ºC</v>
      </c>
      <c r="O751" s="5" t="str">
        <f t="shared" si="19"/>
        <v>Saaideh_Baalbeck_36231670_Temp_1-160cm</v>
      </c>
      <c r="P751" s="5" t="str">
        <f t="shared" si="20"/>
        <v>The datastream containing mesures of field Saaideh Baalbeck by sensor 36231670 which measures Soil Temperature.</v>
      </c>
      <c r="Q751" s="5" t="s">
        <v>653</v>
      </c>
    </row>
    <row r="752" spans="1:17" ht="12.75">
      <c r="A752" s="5" t="s">
        <v>402</v>
      </c>
      <c r="B752" s="5" t="s">
        <v>1434</v>
      </c>
      <c r="C752" s="5" t="s">
        <v>1435</v>
      </c>
      <c r="D752" s="5">
        <v>34.026055560000003</v>
      </c>
      <c r="E752" s="5">
        <v>36.072555559999998</v>
      </c>
      <c r="F752" s="5">
        <v>36231670</v>
      </c>
      <c r="G752" s="5" t="s">
        <v>1375</v>
      </c>
      <c r="H752" s="5" t="s">
        <v>1376</v>
      </c>
      <c r="I752" s="5" t="s">
        <v>1210</v>
      </c>
      <c r="J752" s="5" t="s">
        <v>1395</v>
      </c>
      <c r="K752" s="5" t="s">
        <v>660</v>
      </c>
      <c r="L752" s="5" t="str">
        <f>VLOOKUP($K752,'Property names'!$A$1:$D$100,2,FALSE)</f>
        <v>The amount of moisture present in the soil, often expressed as a percentage of the maximum amount the soil could hold at a given temperature.</v>
      </c>
      <c r="M752" s="5" t="str">
        <f>VLOOKUP($K752,'Property names'!$A$1:$D$100,3,FALSE)</f>
        <v>Percentage</v>
      </c>
      <c r="N752" s="5" t="str">
        <f>VLOOKUP($K752,'Property names'!$A$1:$D$100,4,FALSE)</f>
        <v>%</v>
      </c>
      <c r="O752" s="5" t="str">
        <f t="shared" si="19"/>
        <v>Saaideh_Baalbeck_36231670_VWC_2-10cm</v>
      </c>
      <c r="P752" s="5" t="str">
        <f t="shared" si="20"/>
        <v>The datastream containing mesures of field Saaideh Baalbeck by sensor 36231670 which measures Soil Moisture.</v>
      </c>
      <c r="Q752" s="5" t="s">
        <v>653</v>
      </c>
    </row>
    <row r="753" spans="1:17" ht="12.75">
      <c r="A753" s="5" t="s">
        <v>402</v>
      </c>
      <c r="B753" s="5" t="s">
        <v>1434</v>
      </c>
      <c r="C753" s="5" t="s">
        <v>1435</v>
      </c>
      <c r="D753" s="5">
        <v>34.026055560000003</v>
      </c>
      <c r="E753" s="5">
        <v>36.072555559999998</v>
      </c>
      <c r="F753" s="5">
        <v>36231670</v>
      </c>
      <c r="G753" s="5" t="s">
        <v>1375</v>
      </c>
      <c r="H753" s="5" t="s">
        <v>1376</v>
      </c>
      <c r="I753" s="5" t="s">
        <v>1210</v>
      </c>
      <c r="J753" s="5" t="s">
        <v>1396</v>
      </c>
      <c r="K753" s="5" t="s">
        <v>660</v>
      </c>
      <c r="L753" s="5" t="str">
        <f>VLOOKUP($K753,'Property names'!$A$1:$D$100,2,FALSE)</f>
        <v>The amount of moisture present in the soil, often expressed as a percentage of the maximum amount the soil could hold at a given temperature.</v>
      </c>
      <c r="M753" s="5" t="str">
        <f>VLOOKUP($K753,'Property names'!$A$1:$D$100,3,FALSE)</f>
        <v>Percentage</v>
      </c>
      <c r="N753" s="5" t="str">
        <f>VLOOKUP($K753,'Property names'!$A$1:$D$100,4,FALSE)</f>
        <v>%</v>
      </c>
      <c r="O753" s="5" t="str">
        <f t="shared" si="19"/>
        <v>Saaideh_Baalbeck_36231670_VWC_2-20cm</v>
      </c>
      <c r="P753" s="5" t="str">
        <f t="shared" si="20"/>
        <v>The datastream containing mesures of field Saaideh Baalbeck by sensor 36231670 which measures Soil Moisture.</v>
      </c>
      <c r="Q753" s="5" t="s">
        <v>653</v>
      </c>
    </row>
    <row r="754" spans="1:17" ht="12.75">
      <c r="A754" s="5" t="s">
        <v>402</v>
      </c>
      <c r="B754" s="5" t="s">
        <v>1434</v>
      </c>
      <c r="C754" s="5" t="s">
        <v>1435</v>
      </c>
      <c r="D754" s="5">
        <v>34.026055560000003</v>
      </c>
      <c r="E754" s="5">
        <v>36.072555559999998</v>
      </c>
      <c r="F754" s="5">
        <v>36231670</v>
      </c>
      <c r="G754" s="5" t="s">
        <v>1375</v>
      </c>
      <c r="H754" s="5" t="s">
        <v>1376</v>
      </c>
      <c r="I754" s="5" t="s">
        <v>1210</v>
      </c>
      <c r="J754" s="5" t="s">
        <v>1397</v>
      </c>
      <c r="K754" s="5" t="s">
        <v>660</v>
      </c>
      <c r="L754" s="5" t="str">
        <f>VLOOKUP($K754,'Property names'!$A$1:$D$100,2,FALSE)</f>
        <v>The amount of moisture present in the soil, often expressed as a percentage of the maximum amount the soil could hold at a given temperature.</v>
      </c>
      <c r="M754" s="5" t="str">
        <f>VLOOKUP($K754,'Property names'!$A$1:$D$100,3,FALSE)</f>
        <v>Percentage</v>
      </c>
      <c r="N754" s="5" t="str">
        <f>VLOOKUP($K754,'Property names'!$A$1:$D$100,4,FALSE)</f>
        <v>%</v>
      </c>
      <c r="O754" s="5" t="str">
        <f t="shared" si="19"/>
        <v>Saaideh_Baalbeck_36231670_VWC_2-40cm</v>
      </c>
      <c r="P754" s="5" t="str">
        <f t="shared" si="20"/>
        <v>The datastream containing mesures of field Saaideh Baalbeck by sensor 36231670 which measures Soil Moisture.</v>
      </c>
      <c r="Q754" s="5" t="s">
        <v>653</v>
      </c>
    </row>
    <row r="755" spans="1:17" ht="12.75">
      <c r="A755" s="5" t="s">
        <v>402</v>
      </c>
      <c r="B755" s="5" t="s">
        <v>1434</v>
      </c>
      <c r="C755" s="5" t="s">
        <v>1435</v>
      </c>
      <c r="D755" s="5">
        <v>34.026055560000003</v>
      </c>
      <c r="E755" s="5">
        <v>36.072555559999998</v>
      </c>
      <c r="F755" s="5">
        <v>36231670</v>
      </c>
      <c r="G755" s="5" t="s">
        <v>1375</v>
      </c>
      <c r="H755" s="5" t="s">
        <v>1376</v>
      </c>
      <c r="I755" s="5" t="s">
        <v>1210</v>
      </c>
      <c r="J755" s="5" t="s">
        <v>1398</v>
      </c>
      <c r="K755" s="5" t="s">
        <v>660</v>
      </c>
      <c r="L755" s="5" t="str">
        <f>VLOOKUP($K755,'Property names'!$A$1:$D$100,2,FALSE)</f>
        <v>The amount of moisture present in the soil, often expressed as a percentage of the maximum amount the soil could hold at a given temperature.</v>
      </c>
      <c r="M755" s="5" t="str">
        <f>VLOOKUP($K755,'Property names'!$A$1:$D$100,3,FALSE)</f>
        <v>Percentage</v>
      </c>
      <c r="N755" s="5" t="str">
        <f>VLOOKUP($K755,'Property names'!$A$1:$D$100,4,FALSE)</f>
        <v>%</v>
      </c>
      <c r="O755" s="5" t="str">
        <f t="shared" si="19"/>
        <v>Saaideh_Baalbeck_36231670_VWC_2-60cm</v>
      </c>
      <c r="P755" s="5" t="str">
        <f t="shared" si="20"/>
        <v>The datastream containing mesures of field Saaideh Baalbeck by sensor 36231670 which measures Soil Moisture.</v>
      </c>
      <c r="Q755" s="5" t="s">
        <v>653</v>
      </c>
    </row>
    <row r="756" spans="1:17" ht="12.75">
      <c r="A756" s="5" t="s">
        <v>402</v>
      </c>
      <c r="B756" s="5" t="s">
        <v>1434</v>
      </c>
      <c r="C756" s="5" t="s">
        <v>1435</v>
      </c>
      <c r="D756" s="5">
        <v>34.026055560000003</v>
      </c>
      <c r="E756" s="5">
        <v>36.072555559999998</v>
      </c>
      <c r="F756" s="5">
        <v>36231670</v>
      </c>
      <c r="G756" s="5" t="s">
        <v>1375</v>
      </c>
      <c r="H756" s="5" t="s">
        <v>1376</v>
      </c>
      <c r="I756" s="5" t="s">
        <v>1210</v>
      </c>
      <c r="J756" s="5" t="s">
        <v>1399</v>
      </c>
      <c r="K756" s="5" t="s">
        <v>660</v>
      </c>
      <c r="L756" s="5" t="str">
        <f>VLOOKUP($K756,'Property names'!$A$1:$D$100,2,FALSE)</f>
        <v>The amount of moisture present in the soil, often expressed as a percentage of the maximum amount the soil could hold at a given temperature.</v>
      </c>
      <c r="M756" s="5" t="str">
        <f>VLOOKUP($K756,'Property names'!$A$1:$D$100,3,FALSE)</f>
        <v>Percentage</v>
      </c>
      <c r="N756" s="5" t="str">
        <f>VLOOKUP($K756,'Property names'!$A$1:$D$100,4,FALSE)</f>
        <v>%</v>
      </c>
      <c r="O756" s="5" t="str">
        <f t="shared" si="19"/>
        <v>Saaideh_Baalbeck_36231670_VWC_2-80cm</v>
      </c>
      <c r="P756" s="5" t="str">
        <f t="shared" si="20"/>
        <v>The datastream containing mesures of field Saaideh Baalbeck by sensor 36231670 which measures Soil Moisture.</v>
      </c>
      <c r="Q756" s="5" t="s">
        <v>653</v>
      </c>
    </row>
    <row r="757" spans="1:17" ht="12.75">
      <c r="A757" s="5" t="s">
        <v>402</v>
      </c>
      <c r="B757" s="5" t="s">
        <v>1434</v>
      </c>
      <c r="C757" s="5" t="s">
        <v>1435</v>
      </c>
      <c r="D757" s="5">
        <v>34.026055560000003</v>
      </c>
      <c r="E757" s="5">
        <v>36.072555559999998</v>
      </c>
      <c r="F757" s="5">
        <v>36231670</v>
      </c>
      <c r="G757" s="5" t="s">
        <v>1375</v>
      </c>
      <c r="H757" s="5" t="s">
        <v>1376</v>
      </c>
      <c r="I757" s="5" t="s">
        <v>1210</v>
      </c>
      <c r="J757" s="5" t="s">
        <v>1400</v>
      </c>
      <c r="K757" s="5" t="s">
        <v>660</v>
      </c>
      <c r="L757" s="5" t="str">
        <f>VLOOKUP($K757,'Property names'!$A$1:$D$100,2,FALSE)</f>
        <v>The amount of moisture present in the soil, often expressed as a percentage of the maximum amount the soil could hold at a given temperature.</v>
      </c>
      <c r="M757" s="5" t="str">
        <f>VLOOKUP($K757,'Property names'!$A$1:$D$100,3,FALSE)</f>
        <v>Percentage</v>
      </c>
      <c r="N757" s="5" t="str">
        <f>VLOOKUP($K757,'Property names'!$A$1:$D$100,4,FALSE)</f>
        <v>%</v>
      </c>
      <c r="O757" s="5" t="str">
        <f t="shared" si="19"/>
        <v>Saaideh_Baalbeck_36231670_VWC_2-100cm</v>
      </c>
      <c r="P757" s="5" t="str">
        <f t="shared" si="20"/>
        <v>The datastream containing mesures of field Saaideh Baalbeck by sensor 36231670 which measures Soil Moisture.</v>
      </c>
      <c r="Q757" s="5" t="s">
        <v>653</v>
      </c>
    </row>
    <row r="758" spans="1:17" ht="12.75">
      <c r="A758" s="5" t="s">
        <v>402</v>
      </c>
      <c r="B758" s="5" t="s">
        <v>1434</v>
      </c>
      <c r="C758" s="5" t="s">
        <v>1435</v>
      </c>
      <c r="D758" s="5">
        <v>34.026055560000003</v>
      </c>
      <c r="E758" s="5">
        <v>36.072555559999998</v>
      </c>
      <c r="F758" s="5">
        <v>36231670</v>
      </c>
      <c r="G758" s="5" t="s">
        <v>1375</v>
      </c>
      <c r="H758" s="5" t="s">
        <v>1376</v>
      </c>
      <c r="I758" s="5" t="s">
        <v>1210</v>
      </c>
      <c r="J758" s="5" t="s">
        <v>1401</v>
      </c>
      <c r="K758" s="5" t="s">
        <v>660</v>
      </c>
      <c r="L758" s="5" t="str">
        <f>VLOOKUP($K758,'Property names'!$A$1:$D$100,2,FALSE)</f>
        <v>The amount of moisture present in the soil, often expressed as a percentage of the maximum amount the soil could hold at a given temperature.</v>
      </c>
      <c r="M758" s="5" t="str">
        <f>VLOOKUP($K758,'Property names'!$A$1:$D$100,3,FALSE)</f>
        <v>Percentage</v>
      </c>
      <c r="N758" s="5" t="str">
        <f>VLOOKUP($K758,'Property names'!$A$1:$D$100,4,FALSE)</f>
        <v>%</v>
      </c>
      <c r="O758" s="5" t="str">
        <f t="shared" si="19"/>
        <v>Saaideh_Baalbeck_36231670_VWC_2-120cm</v>
      </c>
      <c r="P758" s="5" t="str">
        <f t="shared" si="20"/>
        <v>The datastream containing mesures of field Saaideh Baalbeck by sensor 36231670 which measures Soil Moisture.</v>
      </c>
      <c r="Q758" s="5" t="s">
        <v>653</v>
      </c>
    </row>
    <row r="759" spans="1:17" ht="12.75">
      <c r="A759" s="5" t="s">
        <v>402</v>
      </c>
      <c r="B759" s="5" t="s">
        <v>1434</v>
      </c>
      <c r="C759" s="5" t="s">
        <v>1435</v>
      </c>
      <c r="D759" s="5">
        <v>34.026055560000003</v>
      </c>
      <c r="E759" s="5">
        <v>36.072555559999998</v>
      </c>
      <c r="F759" s="5">
        <v>36231670</v>
      </c>
      <c r="G759" s="5" t="s">
        <v>1375</v>
      </c>
      <c r="H759" s="5" t="s">
        <v>1376</v>
      </c>
      <c r="I759" s="5" t="s">
        <v>1210</v>
      </c>
      <c r="J759" s="5" t="s">
        <v>1402</v>
      </c>
      <c r="K759" s="5" t="s">
        <v>660</v>
      </c>
      <c r="L759" s="5" t="str">
        <f>VLOOKUP($K759,'Property names'!$A$1:$D$100,2,FALSE)</f>
        <v>The amount of moisture present in the soil, often expressed as a percentage of the maximum amount the soil could hold at a given temperature.</v>
      </c>
      <c r="M759" s="5" t="str">
        <f>VLOOKUP($K759,'Property names'!$A$1:$D$100,3,FALSE)</f>
        <v>Percentage</v>
      </c>
      <c r="N759" s="5" t="str">
        <f>VLOOKUP($K759,'Property names'!$A$1:$D$100,4,FALSE)</f>
        <v>%</v>
      </c>
      <c r="O759" s="5" t="str">
        <f t="shared" si="19"/>
        <v>Saaideh_Baalbeck_36231670_VWC_2-140cm</v>
      </c>
      <c r="P759" s="5" t="str">
        <f t="shared" si="20"/>
        <v>The datastream containing mesures of field Saaideh Baalbeck by sensor 36231670 which measures Soil Moisture.</v>
      </c>
      <c r="Q759" s="5" t="s">
        <v>653</v>
      </c>
    </row>
    <row r="760" spans="1:17" ht="12.75">
      <c r="A760" s="5" t="s">
        <v>402</v>
      </c>
      <c r="B760" s="5" t="s">
        <v>1434</v>
      </c>
      <c r="C760" s="5" t="s">
        <v>1435</v>
      </c>
      <c r="D760" s="5">
        <v>34.026055560000003</v>
      </c>
      <c r="E760" s="5">
        <v>36.072555559999998</v>
      </c>
      <c r="F760" s="5">
        <v>36231670</v>
      </c>
      <c r="G760" s="5" t="s">
        <v>1375</v>
      </c>
      <c r="H760" s="5" t="s">
        <v>1376</v>
      </c>
      <c r="I760" s="5" t="s">
        <v>1210</v>
      </c>
      <c r="J760" s="5" t="s">
        <v>1403</v>
      </c>
      <c r="K760" s="5" t="s">
        <v>660</v>
      </c>
      <c r="L760" s="5" t="str">
        <f>VLOOKUP($K760,'Property names'!$A$1:$D$100,2,FALSE)</f>
        <v>The amount of moisture present in the soil, often expressed as a percentage of the maximum amount the soil could hold at a given temperature.</v>
      </c>
      <c r="M760" s="5" t="str">
        <f>VLOOKUP($K760,'Property names'!$A$1:$D$100,3,FALSE)</f>
        <v>Percentage</v>
      </c>
      <c r="N760" s="5" t="str">
        <f>VLOOKUP($K760,'Property names'!$A$1:$D$100,4,FALSE)</f>
        <v>%</v>
      </c>
      <c r="O760" s="5" t="str">
        <f t="shared" si="19"/>
        <v>Saaideh_Baalbeck_36231670_VWC_2-160cm</v>
      </c>
      <c r="P760" s="5" t="str">
        <f t="shared" si="20"/>
        <v>The datastream containing mesures of field Saaideh Baalbeck by sensor 36231670 which measures Soil Moisture.</v>
      </c>
      <c r="Q760" s="5" t="s">
        <v>653</v>
      </c>
    </row>
    <row r="761" spans="1:17" ht="12.75">
      <c r="A761" s="5" t="s">
        <v>402</v>
      </c>
      <c r="B761" s="5" t="s">
        <v>1434</v>
      </c>
      <c r="C761" s="5" t="s">
        <v>1435</v>
      </c>
      <c r="D761" s="5">
        <v>34.026055560000003</v>
      </c>
      <c r="E761" s="5">
        <v>36.072555559999998</v>
      </c>
      <c r="F761" s="5">
        <v>36231670</v>
      </c>
      <c r="G761" s="5" t="s">
        <v>1375</v>
      </c>
      <c r="H761" s="5" t="s">
        <v>1376</v>
      </c>
      <c r="I761" s="5" t="s">
        <v>1210</v>
      </c>
      <c r="J761" s="5" t="s">
        <v>1404</v>
      </c>
      <c r="K761" s="5" t="s">
        <v>662</v>
      </c>
      <c r="L761" s="5" t="str">
        <f>VLOOKUP($K761,'Property names'!$A$1:$D$100,2,FALSE)</f>
        <v>The measure of temperature of the soil.</v>
      </c>
      <c r="M761" s="5" t="str">
        <f>VLOOKUP($K761,'Property names'!$A$1:$D$100,3,FALSE)</f>
        <v>Degrees Celsius</v>
      </c>
      <c r="N761" s="5" t="str">
        <f>VLOOKUP($K761,'Property names'!$A$1:$D$100,4,FALSE)</f>
        <v>ºC</v>
      </c>
      <c r="O761" s="5" t="str">
        <f t="shared" si="19"/>
        <v>Saaideh_Baalbeck_36231670_Temp_2-10cm</v>
      </c>
      <c r="P761" s="5" t="str">
        <f t="shared" si="20"/>
        <v>The datastream containing mesures of field Saaideh Baalbeck by sensor 36231670 which measures Soil Temperature.</v>
      </c>
      <c r="Q761" s="5" t="s">
        <v>653</v>
      </c>
    </row>
    <row r="762" spans="1:17" ht="12.75">
      <c r="A762" s="5" t="s">
        <v>402</v>
      </c>
      <c r="B762" s="5" t="s">
        <v>1434</v>
      </c>
      <c r="C762" s="5" t="s">
        <v>1435</v>
      </c>
      <c r="D762" s="5">
        <v>34.026055560000003</v>
      </c>
      <c r="E762" s="5">
        <v>36.072555559999998</v>
      </c>
      <c r="F762" s="5">
        <v>36231670</v>
      </c>
      <c r="G762" s="5" t="s">
        <v>1375</v>
      </c>
      <c r="H762" s="5" t="s">
        <v>1376</v>
      </c>
      <c r="I762" s="5" t="s">
        <v>1210</v>
      </c>
      <c r="J762" s="5" t="s">
        <v>1405</v>
      </c>
      <c r="K762" s="5" t="s">
        <v>662</v>
      </c>
      <c r="L762" s="5" t="str">
        <f>VLOOKUP($K762,'Property names'!$A$1:$D$100,2,FALSE)</f>
        <v>The measure of temperature of the soil.</v>
      </c>
      <c r="M762" s="5" t="str">
        <f>VLOOKUP($K762,'Property names'!$A$1:$D$100,3,FALSE)</f>
        <v>Degrees Celsius</v>
      </c>
      <c r="N762" s="5" t="str">
        <f>VLOOKUP($K762,'Property names'!$A$1:$D$100,4,FALSE)</f>
        <v>ºC</v>
      </c>
      <c r="O762" s="5" t="str">
        <f t="shared" si="19"/>
        <v>Saaideh_Baalbeck_36231670_Temp_2-20cm</v>
      </c>
      <c r="P762" s="5" t="str">
        <f t="shared" si="20"/>
        <v>The datastream containing mesures of field Saaideh Baalbeck by sensor 36231670 which measures Soil Temperature.</v>
      </c>
      <c r="Q762" s="5" t="s">
        <v>653</v>
      </c>
    </row>
    <row r="763" spans="1:17" ht="12.75">
      <c r="A763" s="5" t="s">
        <v>402</v>
      </c>
      <c r="B763" s="5" t="s">
        <v>1434</v>
      </c>
      <c r="C763" s="5" t="s">
        <v>1435</v>
      </c>
      <c r="D763" s="5">
        <v>34.026055560000003</v>
      </c>
      <c r="E763" s="5">
        <v>36.072555559999998</v>
      </c>
      <c r="F763" s="5">
        <v>36231670</v>
      </c>
      <c r="G763" s="5" t="s">
        <v>1375</v>
      </c>
      <c r="H763" s="5" t="s">
        <v>1376</v>
      </c>
      <c r="I763" s="5" t="s">
        <v>1210</v>
      </c>
      <c r="J763" s="5" t="s">
        <v>1406</v>
      </c>
      <c r="K763" s="5" t="s">
        <v>662</v>
      </c>
      <c r="L763" s="5" t="str">
        <f>VLOOKUP($K763,'Property names'!$A$1:$D$100,2,FALSE)</f>
        <v>The measure of temperature of the soil.</v>
      </c>
      <c r="M763" s="5" t="str">
        <f>VLOOKUP($K763,'Property names'!$A$1:$D$100,3,FALSE)</f>
        <v>Degrees Celsius</v>
      </c>
      <c r="N763" s="5" t="str">
        <f>VLOOKUP($K763,'Property names'!$A$1:$D$100,4,FALSE)</f>
        <v>ºC</v>
      </c>
      <c r="O763" s="5" t="str">
        <f t="shared" si="19"/>
        <v>Saaideh_Baalbeck_36231670_Temp_2-40cm</v>
      </c>
      <c r="P763" s="5" t="str">
        <f t="shared" si="20"/>
        <v>The datastream containing mesures of field Saaideh Baalbeck by sensor 36231670 which measures Soil Temperature.</v>
      </c>
      <c r="Q763" s="5" t="s">
        <v>653</v>
      </c>
    </row>
    <row r="764" spans="1:17" ht="12.75">
      <c r="A764" s="5" t="s">
        <v>402</v>
      </c>
      <c r="B764" s="5" t="s">
        <v>1434</v>
      </c>
      <c r="C764" s="5" t="s">
        <v>1435</v>
      </c>
      <c r="D764" s="5">
        <v>34.026055560000003</v>
      </c>
      <c r="E764" s="5">
        <v>36.072555559999998</v>
      </c>
      <c r="F764" s="5">
        <v>36231670</v>
      </c>
      <c r="G764" s="5" t="s">
        <v>1375</v>
      </c>
      <c r="H764" s="5" t="s">
        <v>1376</v>
      </c>
      <c r="I764" s="5" t="s">
        <v>1210</v>
      </c>
      <c r="J764" s="5" t="s">
        <v>1407</v>
      </c>
      <c r="K764" s="5" t="s">
        <v>662</v>
      </c>
      <c r="L764" s="5" t="str">
        <f>VLOOKUP($K764,'Property names'!$A$1:$D$100,2,FALSE)</f>
        <v>The measure of temperature of the soil.</v>
      </c>
      <c r="M764" s="5" t="str">
        <f>VLOOKUP($K764,'Property names'!$A$1:$D$100,3,FALSE)</f>
        <v>Degrees Celsius</v>
      </c>
      <c r="N764" s="5" t="str">
        <f>VLOOKUP($K764,'Property names'!$A$1:$D$100,4,FALSE)</f>
        <v>ºC</v>
      </c>
      <c r="O764" s="5" t="str">
        <f t="shared" si="19"/>
        <v>Saaideh_Baalbeck_36231670_Temp_2-60cm</v>
      </c>
      <c r="P764" s="5" t="str">
        <f t="shared" si="20"/>
        <v>The datastream containing mesures of field Saaideh Baalbeck by sensor 36231670 which measures Soil Temperature.</v>
      </c>
      <c r="Q764" s="5" t="s">
        <v>653</v>
      </c>
    </row>
    <row r="765" spans="1:17" ht="12.75">
      <c r="A765" s="5" t="s">
        <v>402</v>
      </c>
      <c r="B765" s="5" t="s">
        <v>1434</v>
      </c>
      <c r="C765" s="5" t="s">
        <v>1435</v>
      </c>
      <c r="D765" s="5">
        <v>34.026055560000003</v>
      </c>
      <c r="E765" s="5">
        <v>36.072555559999998</v>
      </c>
      <c r="F765" s="5">
        <v>36231670</v>
      </c>
      <c r="G765" s="5" t="s">
        <v>1375</v>
      </c>
      <c r="H765" s="5" t="s">
        <v>1376</v>
      </c>
      <c r="I765" s="5" t="s">
        <v>1210</v>
      </c>
      <c r="J765" s="5" t="s">
        <v>1408</v>
      </c>
      <c r="K765" s="5" t="s">
        <v>662</v>
      </c>
      <c r="L765" s="5" t="str">
        <f>VLOOKUP($K765,'Property names'!$A$1:$D$100,2,FALSE)</f>
        <v>The measure of temperature of the soil.</v>
      </c>
      <c r="M765" s="5" t="str">
        <f>VLOOKUP($K765,'Property names'!$A$1:$D$100,3,FALSE)</f>
        <v>Degrees Celsius</v>
      </c>
      <c r="N765" s="5" t="str">
        <f>VLOOKUP($K765,'Property names'!$A$1:$D$100,4,FALSE)</f>
        <v>ºC</v>
      </c>
      <c r="O765" s="5" t="str">
        <f t="shared" si="19"/>
        <v>Saaideh_Baalbeck_36231670_Temp_2-80cm</v>
      </c>
      <c r="P765" s="5" t="str">
        <f t="shared" si="20"/>
        <v>The datastream containing mesures of field Saaideh Baalbeck by sensor 36231670 which measures Soil Temperature.</v>
      </c>
      <c r="Q765" s="5" t="s">
        <v>653</v>
      </c>
    </row>
    <row r="766" spans="1:17" ht="12.75">
      <c r="A766" s="5" t="s">
        <v>402</v>
      </c>
      <c r="B766" s="5" t="s">
        <v>1434</v>
      </c>
      <c r="C766" s="5" t="s">
        <v>1435</v>
      </c>
      <c r="D766" s="5">
        <v>34.026055560000003</v>
      </c>
      <c r="E766" s="5">
        <v>36.072555559999998</v>
      </c>
      <c r="F766" s="5">
        <v>36231670</v>
      </c>
      <c r="G766" s="5" t="s">
        <v>1375</v>
      </c>
      <c r="H766" s="5" t="s">
        <v>1376</v>
      </c>
      <c r="I766" s="5" t="s">
        <v>1210</v>
      </c>
      <c r="J766" s="5" t="s">
        <v>1409</v>
      </c>
      <c r="K766" s="5" t="s">
        <v>662</v>
      </c>
      <c r="L766" s="5" t="str">
        <f>VLOOKUP($K766,'Property names'!$A$1:$D$100,2,FALSE)</f>
        <v>The measure of temperature of the soil.</v>
      </c>
      <c r="M766" s="5" t="str">
        <f>VLOOKUP($K766,'Property names'!$A$1:$D$100,3,FALSE)</f>
        <v>Degrees Celsius</v>
      </c>
      <c r="N766" s="5" t="str">
        <f>VLOOKUP($K766,'Property names'!$A$1:$D$100,4,FALSE)</f>
        <v>ºC</v>
      </c>
      <c r="O766" s="5" t="str">
        <f t="shared" si="19"/>
        <v>Saaideh_Baalbeck_36231670_Temp_2-100cm</v>
      </c>
      <c r="P766" s="5" t="str">
        <f t="shared" si="20"/>
        <v>The datastream containing mesures of field Saaideh Baalbeck by sensor 36231670 which measures Soil Temperature.</v>
      </c>
      <c r="Q766" s="5" t="s">
        <v>653</v>
      </c>
    </row>
    <row r="767" spans="1:17" ht="12.75">
      <c r="A767" s="5" t="s">
        <v>402</v>
      </c>
      <c r="B767" s="5" t="s">
        <v>1434</v>
      </c>
      <c r="C767" s="5" t="s">
        <v>1435</v>
      </c>
      <c r="D767" s="5">
        <v>34.026055560000003</v>
      </c>
      <c r="E767" s="5">
        <v>36.072555559999998</v>
      </c>
      <c r="F767" s="5">
        <v>36231670</v>
      </c>
      <c r="G767" s="5" t="s">
        <v>1375</v>
      </c>
      <c r="H767" s="5" t="s">
        <v>1376</v>
      </c>
      <c r="I767" s="5" t="s">
        <v>1210</v>
      </c>
      <c r="J767" s="5" t="s">
        <v>1410</v>
      </c>
      <c r="K767" s="5" t="s">
        <v>662</v>
      </c>
      <c r="L767" s="5" t="str">
        <f>VLOOKUP($K767,'Property names'!$A$1:$D$100,2,FALSE)</f>
        <v>The measure of temperature of the soil.</v>
      </c>
      <c r="M767" s="5" t="str">
        <f>VLOOKUP($K767,'Property names'!$A$1:$D$100,3,FALSE)</f>
        <v>Degrees Celsius</v>
      </c>
      <c r="N767" s="5" t="str">
        <f>VLOOKUP($K767,'Property names'!$A$1:$D$100,4,FALSE)</f>
        <v>ºC</v>
      </c>
      <c r="O767" s="5" t="str">
        <f t="shared" si="19"/>
        <v>Saaideh_Baalbeck_36231670_Temp_2-120cm</v>
      </c>
      <c r="P767" s="5" t="str">
        <f t="shared" si="20"/>
        <v>The datastream containing mesures of field Saaideh Baalbeck by sensor 36231670 which measures Soil Temperature.</v>
      </c>
      <c r="Q767" s="5" t="s">
        <v>653</v>
      </c>
    </row>
    <row r="768" spans="1:17" ht="12.75">
      <c r="A768" s="5" t="s">
        <v>402</v>
      </c>
      <c r="B768" s="5" t="s">
        <v>1434</v>
      </c>
      <c r="C768" s="5" t="s">
        <v>1435</v>
      </c>
      <c r="D768" s="5">
        <v>34.026055560000003</v>
      </c>
      <c r="E768" s="5">
        <v>36.072555559999998</v>
      </c>
      <c r="F768" s="5">
        <v>36231670</v>
      </c>
      <c r="G768" s="5" t="s">
        <v>1375</v>
      </c>
      <c r="H768" s="5" t="s">
        <v>1376</v>
      </c>
      <c r="I768" s="5" t="s">
        <v>1210</v>
      </c>
      <c r="J768" s="5" t="s">
        <v>1411</v>
      </c>
      <c r="K768" s="5" t="s">
        <v>662</v>
      </c>
      <c r="L768" s="5" t="str">
        <f>VLOOKUP($K768,'Property names'!$A$1:$D$100,2,FALSE)</f>
        <v>The measure of temperature of the soil.</v>
      </c>
      <c r="M768" s="5" t="str">
        <f>VLOOKUP($K768,'Property names'!$A$1:$D$100,3,FALSE)</f>
        <v>Degrees Celsius</v>
      </c>
      <c r="N768" s="5" t="str">
        <f>VLOOKUP($K768,'Property names'!$A$1:$D$100,4,FALSE)</f>
        <v>ºC</v>
      </c>
      <c r="O768" s="5" t="str">
        <f t="shared" si="19"/>
        <v>Saaideh_Baalbeck_36231670_Temp_2-140cm</v>
      </c>
      <c r="P768" s="5" t="str">
        <f t="shared" si="20"/>
        <v>The datastream containing mesures of field Saaideh Baalbeck by sensor 36231670 which measures Soil Temperature.</v>
      </c>
      <c r="Q768" s="5" t="s">
        <v>653</v>
      </c>
    </row>
    <row r="769" spans="1:17" ht="12.75">
      <c r="A769" s="5" t="s">
        <v>402</v>
      </c>
      <c r="B769" s="5" t="s">
        <v>1434</v>
      </c>
      <c r="C769" s="5" t="s">
        <v>1435</v>
      </c>
      <c r="D769" s="5">
        <v>34.026055560000003</v>
      </c>
      <c r="E769" s="5">
        <v>36.072555559999998</v>
      </c>
      <c r="F769" s="5">
        <v>36231670</v>
      </c>
      <c r="G769" s="5" t="s">
        <v>1375</v>
      </c>
      <c r="H769" s="5" t="s">
        <v>1376</v>
      </c>
      <c r="I769" s="5" t="s">
        <v>1210</v>
      </c>
      <c r="J769" s="5" t="s">
        <v>1412</v>
      </c>
      <c r="K769" s="5" t="s">
        <v>662</v>
      </c>
      <c r="L769" s="5" t="str">
        <f>VLOOKUP($K769,'Property names'!$A$1:$D$100,2,FALSE)</f>
        <v>The measure of temperature of the soil.</v>
      </c>
      <c r="M769" s="5" t="str">
        <f>VLOOKUP($K769,'Property names'!$A$1:$D$100,3,FALSE)</f>
        <v>Degrees Celsius</v>
      </c>
      <c r="N769" s="5" t="str">
        <f>VLOOKUP($K769,'Property names'!$A$1:$D$100,4,FALSE)</f>
        <v>ºC</v>
      </c>
      <c r="O769" s="5" t="str">
        <f t="shared" si="19"/>
        <v>Saaideh_Baalbeck_36231670_Temp_2-160cm</v>
      </c>
      <c r="P769" s="5" t="str">
        <f t="shared" si="20"/>
        <v>The datastream containing mesures of field Saaideh Baalbeck by sensor 36231670 which measures Soil Temperature.</v>
      </c>
      <c r="Q769" s="5" t="s">
        <v>653</v>
      </c>
    </row>
    <row r="770" spans="1:17" ht="12.75">
      <c r="A770" s="5" t="s">
        <v>402</v>
      </c>
      <c r="B770" s="5" t="s">
        <v>1434</v>
      </c>
      <c r="C770" s="5" t="s">
        <v>1435</v>
      </c>
      <c r="D770" s="5">
        <v>34.026055560000003</v>
      </c>
      <c r="E770" s="5">
        <v>36.072555559999998</v>
      </c>
      <c r="F770" s="5">
        <v>36231670</v>
      </c>
      <c r="G770" s="5" t="s">
        <v>1375</v>
      </c>
      <c r="H770" s="5" t="s">
        <v>1376</v>
      </c>
      <c r="I770" s="5" t="s">
        <v>1210</v>
      </c>
      <c r="J770" s="5" t="s">
        <v>1413</v>
      </c>
      <c r="K770" s="5" t="s">
        <v>660</v>
      </c>
      <c r="L770" s="5" t="str">
        <f>VLOOKUP($K770,'Property names'!$A$1:$D$100,2,FALSE)</f>
        <v>The amount of moisture present in the soil, often expressed as a percentage of the maximum amount the soil could hold at a given temperature.</v>
      </c>
      <c r="M770" s="5" t="str">
        <f>VLOOKUP($K770,'Property names'!$A$1:$D$100,3,FALSE)</f>
        <v>Percentage</v>
      </c>
      <c r="N770" s="5" t="str">
        <f>VLOOKUP($K770,'Property names'!$A$1:$D$100,4,FALSE)</f>
        <v>%</v>
      </c>
      <c r="O770" s="5" t="str">
        <f t="shared" si="19"/>
        <v>Saaideh_Baalbeck_36231670_VWC_3-10cm</v>
      </c>
      <c r="P770" s="5" t="str">
        <f t="shared" si="20"/>
        <v>The datastream containing mesures of field Saaideh Baalbeck by sensor 36231670 which measures Soil Moisture.</v>
      </c>
      <c r="Q770" s="5" t="s">
        <v>653</v>
      </c>
    </row>
    <row r="771" spans="1:17" ht="12.75">
      <c r="A771" s="5" t="s">
        <v>402</v>
      </c>
      <c r="B771" s="5" t="s">
        <v>1434</v>
      </c>
      <c r="C771" s="5" t="s">
        <v>1435</v>
      </c>
      <c r="D771" s="5">
        <v>34.026055560000003</v>
      </c>
      <c r="E771" s="5">
        <v>36.072555559999998</v>
      </c>
      <c r="F771" s="5">
        <v>36231670</v>
      </c>
      <c r="G771" s="5" t="s">
        <v>1375</v>
      </c>
      <c r="H771" s="5" t="s">
        <v>1376</v>
      </c>
      <c r="I771" s="5" t="s">
        <v>1210</v>
      </c>
      <c r="J771" s="5" t="s">
        <v>1414</v>
      </c>
      <c r="K771" s="5" t="s">
        <v>660</v>
      </c>
      <c r="L771" s="5" t="str">
        <f>VLOOKUP($K771,'Property names'!$A$1:$D$100,2,FALSE)</f>
        <v>The amount of moisture present in the soil, often expressed as a percentage of the maximum amount the soil could hold at a given temperature.</v>
      </c>
      <c r="M771" s="5" t="str">
        <f>VLOOKUP($K771,'Property names'!$A$1:$D$100,3,FALSE)</f>
        <v>Percentage</v>
      </c>
      <c r="N771" s="5" t="str">
        <f>VLOOKUP($K771,'Property names'!$A$1:$D$100,4,FALSE)</f>
        <v>%</v>
      </c>
      <c r="O771" s="5" t="str">
        <f t="shared" si="19"/>
        <v>Saaideh_Baalbeck_36231670_VWC_3-20cm</v>
      </c>
      <c r="P771" s="5" t="str">
        <f t="shared" si="20"/>
        <v>The datastream containing mesures of field Saaideh Baalbeck by sensor 36231670 which measures Soil Moisture.</v>
      </c>
      <c r="Q771" s="5" t="s">
        <v>653</v>
      </c>
    </row>
    <row r="772" spans="1:17" ht="12.75">
      <c r="A772" s="5" t="s">
        <v>402</v>
      </c>
      <c r="B772" s="5" t="s">
        <v>1434</v>
      </c>
      <c r="C772" s="5" t="s">
        <v>1435</v>
      </c>
      <c r="D772" s="5">
        <v>34.026055560000003</v>
      </c>
      <c r="E772" s="5">
        <v>36.072555559999998</v>
      </c>
      <c r="F772" s="5">
        <v>36231670</v>
      </c>
      <c r="G772" s="5" t="s">
        <v>1375</v>
      </c>
      <c r="H772" s="5" t="s">
        <v>1376</v>
      </c>
      <c r="I772" s="5" t="s">
        <v>1210</v>
      </c>
      <c r="J772" s="5" t="s">
        <v>1415</v>
      </c>
      <c r="K772" s="5" t="s">
        <v>660</v>
      </c>
      <c r="L772" s="5" t="str">
        <f>VLOOKUP($K772,'Property names'!$A$1:$D$100,2,FALSE)</f>
        <v>The amount of moisture present in the soil, often expressed as a percentage of the maximum amount the soil could hold at a given temperature.</v>
      </c>
      <c r="M772" s="5" t="str">
        <f>VLOOKUP($K772,'Property names'!$A$1:$D$100,3,FALSE)</f>
        <v>Percentage</v>
      </c>
      <c r="N772" s="5" t="str">
        <f>VLOOKUP($K772,'Property names'!$A$1:$D$100,4,FALSE)</f>
        <v>%</v>
      </c>
      <c r="O772" s="5" t="str">
        <f t="shared" si="19"/>
        <v>Saaideh_Baalbeck_36231670_VWC_3-40cm</v>
      </c>
      <c r="P772" s="5" t="str">
        <f t="shared" si="20"/>
        <v>The datastream containing mesures of field Saaideh Baalbeck by sensor 36231670 which measures Soil Moisture.</v>
      </c>
      <c r="Q772" s="5" t="s">
        <v>653</v>
      </c>
    </row>
    <row r="773" spans="1:17" ht="12.75">
      <c r="A773" s="5" t="s">
        <v>402</v>
      </c>
      <c r="B773" s="5" t="s">
        <v>1434</v>
      </c>
      <c r="C773" s="5" t="s">
        <v>1435</v>
      </c>
      <c r="D773" s="5">
        <v>34.026055560000003</v>
      </c>
      <c r="E773" s="5">
        <v>36.072555559999998</v>
      </c>
      <c r="F773" s="5">
        <v>36231670</v>
      </c>
      <c r="G773" s="5" t="s">
        <v>1375</v>
      </c>
      <c r="H773" s="5" t="s">
        <v>1376</v>
      </c>
      <c r="I773" s="5" t="s">
        <v>1210</v>
      </c>
      <c r="J773" s="5" t="s">
        <v>1416</v>
      </c>
      <c r="K773" s="5" t="s">
        <v>660</v>
      </c>
      <c r="L773" s="5" t="str">
        <f>VLOOKUP($K773,'Property names'!$A$1:$D$100,2,FALSE)</f>
        <v>The amount of moisture present in the soil, often expressed as a percentage of the maximum amount the soil could hold at a given temperature.</v>
      </c>
      <c r="M773" s="5" t="str">
        <f>VLOOKUP($K773,'Property names'!$A$1:$D$100,3,FALSE)</f>
        <v>Percentage</v>
      </c>
      <c r="N773" s="5" t="str">
        <f>VLOOKUP($K773,'Property names'!$A$1:$D$100,4,FALSE)</f>
        <v>%</v>
      </c>
      <c r="O773" s="5" t="str">
        <f t="shared" si="19"/>
        <v>Saaideh_Baalbeck_36231670_VWC_3-60cm</v>
      </c>
      <c r="P773" s="5" t="str">
        <f t="shared" si="20"/>
        <v>The datastream containing mesures of field Saaideh Baalbeck by sensor 36231670 which measures Soil Moisture.</v>
      </c>
      <c r="Q773" s="5" t="s">
        <v>653</v>
      </c>
    </row>
    <row r="774" spans="1:17" ht="12.75">
      <c r="A774" s="5" t="s">
        <v>402</v>
      </c>
      <c r="B774" s="5" t="s">
        <v>1434</v>
      </c>
      <c r="C774" s="5" t="s">
        <v>1435</v>
      </c>
      <c r="D774" s="5">
        <v>34.026055560000003</v>
      </c>
      <c r="E774" s="5">
        <v>36.072555559999998</v>
      </c>
      <c r="F774" s="5">
        <v>36231670</v>
      </c>
      <c r="G774" s="5" t="s">
        <v>1375</v>
      </c>
      <c r="H774" s="5" t="s">
        <v>1376</v>
      </c>
      <c r="I774" s="5" t="s">
        <v>1210</v>
      </c>
      <c r="J774" s="5" t="s">
        <v>1417</v>
      </c>
      <c r="K774" s="5" t="s">
        <v>660</v>
      </c>
      <c r="L774" s="5" t="str">
        <f>VLOOKUP($K774,'Property names'!$A$1:$D$100,2,FALSE)</f>
        <v>The amount of moisture present in the soil, often expressed as a percentage of the maximum amount the soil could hold at a given temperature.</v>
      </c>
      <c r="M774" s="5" t="str">
        <f>VLOOKUP($K774,'Property names'!$A$1:$D$100,3,FALSE)</f>
        <v>Percentage</v>
      </c>
      <c r="N774" s="5" t="str">
        <f>VLOOKUP($K774,'Property names'!$A$1:$D$100,4,FALSE)</f>
        <v>%</v>
      </c>
      <c r="O774" s="5" t="str">
        <f t="shared" si="19"/>
        <v>Saaideh_Baalbeck_36231670_VWC_3-80cm</v>
      </c>
      <c r="P774" s="5" t="str">
        <f t="shared" si="20"/>
        <v>The datastream containing mesures of field Saaideh Baalbeck by sensor 36231670 which measures Soil Moisture.</v>
      </c>
      <c r="Q774" s="5" t="s">
        <v>653</v>
      </c>
    </row>
    <row r="775" spans="1:17" ht="12.75">
      <c r="A775" s="5" t="s">
        <v>402</v>
      </c>
      <c r="B775" s="5" t="s">
        <v>1434</v>
      </c>
      <c r="C775" s="5" t="s">
        <v>1435</v>
      </c>
      <c r="D775" s="5">
        <v>34.026055560000003</v>
      </c>
      <c r="E775" s="5">
        <v>36.072555559999998</v>
      </c>
      <c r="F775" s="5">
        <v>36231670</v>
      </c>
      <c r="G775" s="5" t="s">
        <v>1375</v>
      </c>
      <c r="H775" s="5" t="s">
        <v>1376</v>
      </c>
      <c r="I775" s="5" t="s">
        <v>1210</v>
      </c>
      <c r="J775" s="5" t="s">
        <v>1418</v>
      </c>
      <c r="K775" s="5" t="s">
        <v>660</v>
      </c>
      <c r="L775" s="5" t="str">
        <f>VLOOKUP($K775,'Property names'!$A$1:$D$100,2,FALSE)</f>
        <v>The amount of moisture present in the soil, often expressed as a percentage of the maximum amount the soil could hold at a given temperature.</v>
      </c>
      <c r="M775" s="5" t="str">
        <f>VLOOKUP($K775,'Property names'!$A$1:$D$100,3,FALSE)</f>
        <v>Percentage</v>
      </c>
      <c r="N775" s="5" t="str">
        <f>VLOOKUP($K775,'Property names'!$A$1:$D$100,4,FALSE)</f>
        <v>%</v>
      </c>
      <c r="O775" s="5" t="str">
        <f t="shared" si="19"/>
        <v>Saaideh_Baalbeck_36231670_VWC_3-100cm</v>
      </c>
      <c r="P775" s="5" t="str">
        <f t="shared" si="20"/>
        <v>The datastream containing mesures of field Saaideh Baalbeck by sensor 36231670 which measures Soil Moisture.</v>
      </c>
      <c r="Q775" s="5" t="s">
        <v>653</v>
      </c>
    </row>
    <row r="776" spans="1:17" ht="12.75">
      <c r="A776" s="5" t="s">
        <v>402</v>
      </c>
      <c r="B776" s="5" t="s">
        <v>1434</v>
      </c>
      <c r="C776" s="5" t="s">
        <v>1435</v>
      </c>
      <c r="D776" s="5">
        <v>34.026055560000003</v>
      </c>
      <c r="E776" s="5">
        <v>36.072555559999998</v>
      </c>
      <c r="F776" s="5">
        <v>36231670</v>
      </c>
      <c r="G776" s="5" t="s">
        <v>1375</v>
      </c>
      <c r="H776" s="5" t="s">
        <v>1376</v>
      </c>
      <c r="I776" s="5" t="s">
        <v>1210</v>
      </c>
      <c r="J776" s="5" t="s">
        <v>1419</v>
      </c>
      <c r="K776" s="5" t="s">
        <v>660</v>
      </c>
      <c r="L776" s="5" t="str">
        <f>VLOOKUP($K776,'Property names'!$A$1:$D$100,2,FALSE)</f>
        <v>The amount of moisture present in the soil, often expressed as a percentage of the maximum amount the soil could hold at a given temperature.</v>
      </c>
      <c r="M776" s="5" t="str">
        <f>VLOOKUP($K776,'Property names'!$A$1:$D$100,3,FALSE)</f>
        <v>Percentage</v>
      </c>
      <c r="N776" s="5" t="str">
        <f>VLOOKUP($K776,'Property names'!$A$1:$D$100,4,FALSE)</f>
        <v>%</v>
      </c>
      <c r="O776" s="5" t="str">
        <f t="shared" si="19"/>
        <v>Saaideh_Baalbeck_36231670_VWC_3-120cm</v>
      </c>
      <c r="P776" s="5" t="str">
        <f t="shared" si="20"/>
        <v>The datastream containing mesures of field Saaideh Baalbeck by sensor 36231670 which measures Soil Moisture.</v>
      </c>
      <c r="Q776" s="5" t="s">
        <v>653</v>
      </c>
    </row>
    <row r="777" spans="1:17" ht="12.75">
      <c r="A777" s="5" t="s">
        <v>402</v>
      </c>
      <c r="B777" s="5" t="s">
        <v>1434</v>
      </c>
      <c r="C777" s="5" t="s">
        <v>1435</v>
      </c>
      <c r="D777" s="5">
        <v>34.026055560000003</v>
      </c>
      <c r="E777" s="5">
        <v>36.072555559999998</v>
      </c>
      <c r="F777" s="5">
        <v>36231670</v>
      </c>
      <c r="G777" s="5" t="s">
        <v>1375</v>
      </c>
      <c r="H777" s="5" t="s">
        <v>1376</v>
      </c>
      <c r="I777" s="5" t="s">
        <v>1210</v>
      </c>
      <c r="J777" s="5" t="s">
        <v>1420</v>
      </c>
      <c r="K777" s="5" t="s">
        <v>660</v>
      </c>
      <c r="L777" s="5" t="str">
        <f>VLOOKUP($K777,'Property names'!$A$1:$D$100,2,FALSE)</f>
        <v>The amount of moisture present in the soil, often expressed as a percentage of the maximum amount the soil could hold at a given temperature.</v>
      </c>
      <c r="M777" s="5" t="str">
        <f>VLOOKUP($K777,'Property names'!$A$1:$D$100,3,FALSE)</f>
        <v>Percentage</v>
      </c>
      <c r="N777" s="5" t="str">
        <f>VLOOKUP($K777,'Property names'!$A$1:$D$100,4,FALSE)</f>
        <v>%</v>
      </c>
      <c r="O777" s="5" t="str">
        <f t="shared" si="19"/>
        <v>Saaideh_Baalbeck_36231670_VWC_3-140cm</v>
      </c>
      <c r="P777" s="5" t="str">
        <f t="shared" si="20"/>
        <v>The datastream containing mesures of field Saaideh Baalbeck by sensor 36231670 which measures Soil Moisture.</v>
      </c>
      <c r="Q777" s="5" t="s">
        <v>653</v>
      </c>
    </row>
    <row r="778" spans="1:17" ht="12.75">
      <c r="A778" s="5" t="s">
        <v>402</v>
      </c>
      <c r="B778" s="5" t="s">
        <v>1434</v>
      </c>
      <c r="C778" s="5" t="s">
        <v>1435</v>
      </c>
      <c r="D778" s="5">
        <v>34.026055560000003</v>
      </c>
      <c r="E778" s="5">
        <v>36.072555559999998</v>
      </c>
      <c r="F778" s="5">
        <v>36231670</v>
      </c>
      <c r="G778" s="5" t="s">
        <v>1375</v>
      </c>
      <c r="H778" s="5" t="s">
        <v>1376</v>
      </c>
      <c r="I778" s="5" t="s">
        <v>1210</v>
      </c>
      <c r="J778" s="5" t="s">
        <v>1421</v>
      </c>
      <c r="K778" s="5" t="s">
        <v>660</v>
      </c>
      <c r="L778" s="5" t="str">
        <f>VLOOKUP($K778,'Property names'!$A$1:$D$100,2,FALSE)</f>
        <v>The amount of moisture present in the soil, often expressed as a percentage of the maximum amount the soil could hold at a given temperature.</v>
      </c>
      <c r="M778" s="5" t="str">
        <f>VLOOKUP($K778,'Property names'!$A$1:$D$100,3,FALSE)</f>
        <v>Percentage</v>
      </c>
      <c r="N778" s="5" t="str">
        <f>VLOOKUP($K778,'Property names'!$A$1:$D$100,4,FALSE)</f>
        <v>%</v>
      </c>
      <c r="O778" s="5" t="str">
        <f t="shared" si="19"/>
        <v>Saaideh_Baalbeck_36231670_VWC_3-160cm</v>
      </c>
      <c r="P778" s="5" t="str">
        <f t="shared" si="20"/>
        <v>The datastream containing mesures of field Saaideh Baalbeck by sensor 36231670 which measures Soil Moisture.</v>
      </c>
      <c r="Q778" s="5" t="s">
        <v>653</v>
      </c>
    </row>
    <row r="779" spans="1:17" ht="12.75">
      <c r="A779" s="5" t="s">
        <v>402</v>
      </c>
      <c r="B779" s="5" t="s">
        <v>1434</v>
      </c>
      <c r="C779" s="5" t="s">
        <v>1435</v>
      </c>
      <c r="D779" s="5">
        <v>34.026055560000003</v>
      </c>
      <c r="E779" s="5">
        <v>36.072555559999998</v>
      </c>
      <c r="F779" s="5">
        <v>36231670</v>
      </c>
      <c r="G779" s="5" t="s">
        <v>1375</v>
      </c>
      <c r="H779" s="5" t="s">
        <v>1376</v>
      </c>
      <c r="I779" s="5" t="s">
        <v>1210</v>
      </c>
      <c r="J779" s="5" t="s">
        <v>1422</v>
      </c>
      <c r="K779" s="5" t="s">
        <v>662</v>
      </c>
      <c r="L779" s="5" t="str">
        <f>VLOOKUP($K779,'Property names'!$A$1:$D$100,2,FALSE)</f>
        <v>The measure of temperature of the soil.</v>
      </c>
      <c r="M779" s="5" t="str">
        <f>VLOOKUP($K779,'Property names'!$A$1:$D$100,3,FALSE)</f>
        <v>Degrees Celsius</v>
      </c>
      <c r="N779" s="5" t="str">
        <f>VLOOKUP($K779,'Property names'!$A$1:$D$100,4,FALSE)</f>
        <v>ºC</v>
      </c>
      <c r="O779" s="5" t="str">
        <f t="shared" si="19"/>
        <v>Saaideh_Baalbeck_36231670_Temp_3-10cm</v>
      </c>
      <c r="P779" s="5" t="str">
        <f t="shared" si="20"/>
        <v>The datastream containing mesures of field Saaideh Baalbeck by sensor 36231670 which measures Soil Temperature.</v>
      </c>
      <c r="Q779" s="5" t="s">
        <v>653</v>
      </c>
    </row>
    <row r="780" spans="1:17" ht="12.75">
      <c r="A780" s="5" t="s">
        <v>402</v>
      </c>
      <c r="B780" s="5" t="s">
        <v>1434</v>
      </c>
      <c r="C780" s="5" t="s">
        <v>1435</v>
      </c>
      <c r="D780" s="5">
        <v>34.026055560000003</v>
      </c>
      <c r="E780" s="5">
        <v>36.072555559999998</v>
      </c>
      <c r="F780" s="5">
        <v>36231670</v>
      </c>
      <c r="G780" s="5" t="s">
        <v>1375</v>
      </c>
      <c r="H780" s="5" t="s">
        <v>1376</v>
      </c>
      <c r="I780" s="5" t="s">
        <v>1210</v>
      </c>
      <c r="J780" s="5" t="s">
        <v>1423</v>
      </c>
      <c r="K780" s="5" t="s">
        <v>662</v>
      </c>
      <c r="L780" s="5" t="str">
        <f>VLOOKUP($K780,'Property names'!$A$1:$D$100,2,FALSE)</f>
        <v>The measure of temperature of the soil.</v>
      </c>
      <c r="M780" s="5" t="str">
        <f>VLOOKUP($K780,'Property names'!$A$1:$D$100,3,FALSE)</f>
        <v>Degrees Celsius</v>
      </c>
      <c r="N780" s="5" t="str">
        <f>VLOOKUP($K780,'Property names'!$A$1:$D$100,4,FALSE)</f>
        <v>ºC</v>
      </c>
      <c r="O780" s="5" t="str">
        <f t="shared" si="19"/>
        <v>Saaideh_Baalbeck_36231670_Temp_3-20cm</v>
      </c>
      <c r="P780" s="5" t="str">
        <f t="shared" si="20"/>
        <v>The datastream containing mesures of field Saaideh Baalbeck by sensor 36231670 which measures Soil Temperature.</v>
      </c>
      <c r="Q780" s="5" t="s">
        <v>653</v>
      </c>
    </row>
    <row r="781" spans="1:17" ht="12.75">
      <c r="A781" s="5" t="s">
        <v>402</v>
      </c>
      <c r="B781" s="5" t="s">
        <v>1434</v>
      </c>
      <c r="C781" s="5" t="s">
        <v>1435</v>
      </c>
      <c r="D781" s="5">
        <v>34.026055560000003</v>
      </c>
      <c r="E781" s="5">
        <v>36.072555559999998</v>
      </c>
      <c r="F781" s="5">
        <v>36231670</v>
      </c>
      <c r="G781" s="5" t="s">
        <v>1375</v>
      </c>
      <c r="H781" s="5" t="s">
        <v>1376</v>
      </c>
      <c r="I781" s="5" t="s">
        <v>1210</v>
      </c>
      <c r="J781" s="5" t="s">
        <v>1424</v>
      </c>
      <c r="K781" s="5" t="s">
        <v>662</v>
      </c>
      <c r="L781" s="5" t="str">
        <f>VLOOKUP($K781,'Property names'!$A$1:$D$100,2,FALSE)</f>
        <v>The measure of temperature of the soil.</v>
      </c>
      <c r="M781" s="5" t="str">
        <f>VLOOKUP($K781,'Property names'!$A$1:$D$100,3,FALSE)</f>
        <v>Degrees Celsius</v>
      </c>
      <c r="N781" s="5" t="str">
        <f>VLOOKUP($K781,'Property names'!$A$1:$D$100,4,FALSE)</f>
        <v>ºC</v>
      </c>
      <c r="O781" s="5" t="str">
        <f t="shared" si="19"/>
        <v>Saaideh_Baalbeck_36231670_Temp_3-40cm</v>
      </c>
      <c r="P781" s="5" t="str">
        <f t="shared" si="20"/>
        <v>The datastream containing mesures of field Saaideh Baalbeck by sensor 36231670 which measures Soil Temperature.</v>
      </c>
      <c r="Q781" s="5" t="s">
        <v>653</v>
      </c>
    </row>
    <row r="782" spans="1:17" ht="12.75">
      <c r="A782" s="5" t="s">
        <v>402</v>
      </c>
      <c r="B782" s="5" t="s">
        <v>1434</v>
      </c>
      <c r="C782" s="5" t="s">
        <v>1435</v>
      </c>
      <c r="D782" s="5">
        <v>34.026055560000003</v>
      </c>
      <c r="E782" s="5">
        <v>36.072555559999998</v>
      </c>
      <c r="F782" s="5">
        <v>36231670</v>
      </c>
      <c r="G782" s="5" t="s">
        <v>1375</v>
      </c>
      <c r="H782" s="5" t="s">
        <v>1376</v>
      </c>
      <c r="I782" s="5" t="s">
        <v>1210</v>
      </c>
      <c r="J782" s="5" t="s">
        <v>1425</v>
      </c>
      <c r="K782" s="5" t="s">
        <v>662</v>
      </c>
      <c r="L782" s="5" t="str">
        <f>VLOOKUP($K782,'Property names'!$A$1:$D$100,2,FALSE)</f>
        <v>The measure of temperature of the soil.</v>
      </c>
      <c r="M782" s="5" t="str">
        <f>VLOOKUP($K782,'Property names'!$A$1:$D$100,3,FALSE)</f>
        <v>Degrees Celsius</v>
      </c>
      <c r="N782" s="5" t="str">
        <f>VLOOKUP($K782,'Property names'!$A$1:$D$100,4,FALSE)</f>
        <v>ºC</v>
      </c>
      <c r="O782" s="5" t="str">
        <f t="shared" si="19"/>
        <v>Saaideh_Baalbeck_36231670_Temp_3-60cm</v>
      </c>
      <c r="P782" s="5" t="str">
        <f t="shared" si="20"/>
        <v>The datastream containing mesures of field Saaideh Baalbeck by sensor 36231670 which measures Soil Temperature.</v>
      </c>
      <c r="Q782" s="5" t="s">
        <v>653</v>
      </c>
    </row>
    <row r="783" spans="1:17" ht="12.75">
      <c r="A783" s="5" t="s">
        <v>402</v>
      </c>
      <c r="B783" s="5" t="s">
        <v>1434</v>
      </c>
      <c r="C783" s="5" t="s">
        <v>1435</v>
      </c>
      <c r="D783" s="5">
        <v>34.026055560000003</v>
      </c>
      <c r="E783" s="5">
        <v>36.072555559999998</v>
      </c>
      <c r="F783" s="5">
        <v>36231670</v>
      </c>
      <c r="G783" s="5" t="s">
        <v>1375</v>
      </c>
      <c r="H783" s="5" t="s">
        <v>1376</v>
      </c>
      <c r="I783" s="5" t="s">
        <v>1210</v>
      </c>
      <c r="J783" s="5" t="s">
        <v>1426</v>
      </c>
      <c r="K783" s="5" t="s">
        <v>662</v>
      </c>
      <c r="L783" s="5" t="str">
        <f>VLOOKUP($K783,'Property names'!$A$1:$D$100,2,FALSE)</f>
        <v>The measure of temperature of the soil.</v>
      </c>
      <c r="M783" s="5" t="str">
        <f>VLOOKUP($K783,'Property names'!$A$1:$D$100,3,FALSE)</f>
        <v>Degrees Celsius</v>
      </c>
      <c r="N783" s="5" t="str">
        <f>VLOOKUP($K783,'Property names'!$A$1:$D$100,4,FALSE)</f>
        <v>ºC</v>
      </c>
      <c r="O783" s="5" t="str">
        <f t="shared" si="19"/>
        <v>Saaideh_Baalbeck_36231670_Temp_3-80cm</v>
      </c>
      <c r="P783" s="5" t="str">
        <f t="shared" si="20"/>
        <v>The datastream containing mesures of field Saaideh Baalbeck by sensor 36231670 which measures Soil Temperature.</v>
      </c>
      <c r="Q783" s="5" t="s">
        <v>653</v>
      </c>
    </row>
    <row r="784" spans="1:17" ht="12.75">
      <c r="A784" s="5" t="s">
        <v>402</v>
      </c>
      <c r="B784" s="5" t="s">
        <v>1434</v>
      </c>
      <c r="C784" s="5" t="s">
        <v>1435</v>
      </c>
      <c r="D784" s="5">
        <v>34.026055560000003</v>
      </c>
      <c r="E784" s="5">
        <v>36.072555559999998</v>
      </c>
      <c r="F784" s="5">
        <v>36231670</v>
      </c>
      <c r="G784" s="5" t="s">
        <v>1375</v>
      </c>
      <c r="H784" s="5" t="s">
        <v>1376</v>
      </c>
      <c r="I784" s="5" t="s">
        <v>1210</v>
      </c>
      <c r="J784" s="5" t="s">
        <v>1427</v>
      </c>
      <c r="K784" s="5" t="s">
        <v>662</v>
      </c>
      <c r="L784" s="5" t="str">
        <f>VLOOKUP($K784,'Property names'!$A$1:$D$100,2,FALSE)</f>
        <v>The measure of temperature of the soil.</v>
      </c>
      <c r="M784" s="5" t="str">
        <f>VLOOKUP($K784,'Property names'!$A$1:$D$100,3,FALSE)</f>
        <v>Degrees Celsius</v>
      </c>
      <c r="N784" s="5" t="str">
        <f>VLOOKUP($K784,'Property names'!$A$1:$D$100,4,FALSE)</f>
        <v>ºC</v>
      </c>
      <c r="O784" s="5" t="str">
        <f t="shared" si="19"/>
        <v>Saaideh_Baalbeck_36231670_Temp_3-100cm</v>
      </c>
      <c r="P784" s="5" t="str">
        <f t="shared" si="20"/>
        <v>The datastream containing mesures of field Saaideh Baalbeck by sensor 36231670 which measures Soil Temperature.</v>
      </c>
      <c r="Q784" s="5" t="s">
        <v>653</v>
      </c>
    </row>
    <row r="785" spans="1:17" ht="12.75">
      <c r="A785" s="5" t="s">
        <v>402</v>
      </c>
      <c r="B785" s="5" t="s">
        <v>1434</v>
      </c>
      <c r="C785" s="5" t="s">
        <v>1435</v>
      </c>
      <c r="D785" s="5">
        <v>34.026055560000003</v>
      </c>
      <c r="E785" s="5">
        <v>36.072555559999998</v>
      </c>
      <c r="F785" s="5">
        <v>36231670</v>
      </c>
      <c r="G785" s="5" t="s">
        <v>1375</v>
      </c>
      <c r="H785" s="5" t="s">
        <v>1376</v>
      </c>
      <c r="I785" s="5" t="s">
        <v>1210</v>
      </c>
      <c r="J785" s="5" t="s">
        <v>1428</v>
      </c>
      <c r="K785" s="5" t="s">
        <v>662</v>
      </c>
      <c r="L785" s="5" t="str">
        <f>VLOOKUP($K785,'Property names'!$A$1:$D$100,2,FALSE)</f>
        <v>The measure of temperature of the soil.</v>
      </c>
      <c r="M785" s="5" t="str">
        <f>VLOOKUP($K785,'Property names'!$A$1:$D$100,3,FALSE)</f>
        <v>Degrees Celsius</v>
      </c>
      <c r="N785" s="5" t="str">
        <f>VLOOKUP($K785,'Property names'!$A$1:$D$100,4,FALSE)</f>
        <v>ºC</v>
      </c>
      <c r="O785" s="5" t="str">
        <f t="shared" si="19"/>
        <v>Saaideh_Baalbeck_36231670_Temp_3-120cm</v>
      </c>
      <c r="P785" s="5" t="str">
        <f t="shared" si="20"/>
        <v>The datastream containing mesures of field Saaideh Baalbeck by sensor 36231670 which measures Soil Temperature.</v>
      </c>
      <c r="Q785" s="5" t="s">
        <v>653</v>
      </c>
    </row>
    <row r="786" spans="1:17" ht="12.75">
      <c r="A786" s="5" t="s">
        <v>402</v>
      </c>
      <c r="B786" s="5" t="s">
        <v>1434</v>
      </c>
      <c r="C786" s="5" t="s">
        <v>1435</v>
      </c>
      <c r="D786" s="5">
        <v>34.026055560000003</v>
      </c>
      <c r="E786" s="5">
        <v>36.072555559999998</v>
      </c>
      <c r="F786" s="5">
        <v>36231670</v>
      </c>
      <c r="G786" s="5" t="s">
        <v>1375</v>
      </c>
      <c r="H786" s="5" t="s">
        <v>1376</v>
      </c>
      <c r="I786" s="5" t="s">
        <v>1210</v>
      </c>
      <c r="J786" s="5" t="s">
        <v>1429</v>
      </c>
      <c r="K786" s="5" t="s">
        <v>662</v>
      </c>
      <c r="L786" s="5" t="str">
        <f>VLOOKUP($K786,'Property names'!$A$1:$D$100,2,FALSE)</f>
        <v>The measure of temperature of the soil.</v>
      </c>
      <c r="M786" s="5" t="str">
        <f>VLOOKUP($K786,'Property names'!$A$1:$D$100,3,FALSE)</f>
        <v>Degrees Celsius</v>
      </c>
      <c r="N786" s="5" t="str">
        <f>VLOOKUP($K786,'Property names'!$A$1:$D$100,4,FALSE)</f>
        <v>ºC</v>
      </c>
      <c r="O786" s="5" t="str">
        <f t="shared" si="19"/>
        <v>Saaideh_Baalbeck_36231670_Temp_3-140cm</v>
      </c>
      <c r="P786" s="5" t="str">
        <f t="shared" si="20"/>
        <v>The datastream containing mesures of field Saaideh Baalbeck by sensor 36231670 which measures Soil Temperature.</v>
      </c>
      <c r="Q786" s="5" t="s">
        <v>653</v>
      </c>
    </row>
    <row r="787" spans="1:17" ht="12.75">
      <c r="A787" s="5" t="s">
        <v>402</v>
      </c>
      <c r="B787" s="5" t="s">
        <v>1434</v>
      </c>
      <c r="C787" s="5" t="s">
        <v>1435</v>
      </c>
      <c r="D787" s="5">
        <v>34.026055560000003</v>
      </c>
      <c r="E787" s="5">
        <v>36.072555559999998</v>
      </c>
      <c r="F787" s="5">
        <v>36231670</v>
      </c>
      <c r="G787" s="5" t="s">
        <v>1375</v>
      </c>
      <c r="H787" s="5" t="s">
        <v>1376</v>
      </c>
      <c r="I787" s="5" t="s">
        <v>1210</v>
      </c>
      <c r="J787" s="5" t="s">
        <v>1430</v>
      </c>
      <c r="K787" s="5" t="s">
        <v>662</v>
      </c>
      <c r="L787" s="5" t="str">
        <f>VLOOKUP($K787,'Property names'!$A$1:$D$100,2,FALSE)</f>
        <v>The measure of temperature of the soil.</v>
      </c>
      <c r="M787" s="5" t="str">
        <f>VLOOKUP($K787,'Property names'!$A$1:$D$100,3,FALSE)</f>
        <v>Degrees Celsius</v>
      </c>
      <c r="N787" s="5" t="str">
        <f>VLOOKUP($K787,'Property names'!$A$1:$D$100,4,FALSE)</f>
        <v>ºC</v>
      </c>
      <c r="O787" s="5" t="str">
        <f t="shared" si="19"/>
        <v>Saaideh_Baalbeck_36231670_Temp_3-160cm</v>
      </c>
      <c r="P787" s="5" t="str">
        <f t="shared" si="20"/>
        <v>The datastream containing mesures of field Saaideh Baalbeck by sensor 36231670 which measures Soil Temperature.</v>
      </c>
      <c r="Q787" s="5" t="s">
        <v>653</v>
      </c>
    </row>
    <row r="788" spans="1:17" ht="12.75">
      <c r="A788" s="5" t="s">
        <v>402</v>
      </c>
      <c r="B788" s="5" t="s">
        <v>1434</v>
      </c>
      <c r="C788" s="5" t="s">
        <v>1435</v>
      </c>
      <c r="D788" s="5">
        <v>34.026055560000003</v>
      </c>
      <c r="E788" s="5">
        <v>36.072555559999998</v>
      </c>
      <c r="F788" s="5">
        <v>36231670</v>
      </c>
      <c r="G788" s="5" t="s">
        <v>1375</v>
      </c>
      <c r="H788" s="5" t="s">
        <v>1376</v>
      </c>
      <c r="I788" s="5" t="s">
        <v>1210</v>
      </c>
      <c r="J788" s="5" t="s">
        <v>1431</v>
      </c>
      <c r="K788" s="5" t="s">
        <v>665</v>
      </c>
      <c r="L788" s="5" t="str">
        <f>VLOOKUP($K788,'Property names'!$A$1:$D$100,2,FALSE)</f>
        <v>The percentage of battery level associated to the specific sensor.</v>
      </c>
      <c r="M788" s="5" t="str">
        <f>VLOOKUP($K788,'Property names'!$A$1:$D$100,3,FALSE)</f>
        <v>Percentage</v>
      </c>
      <c r="N788" s="5" t="str">
        <f>VLOOKUP($K788,'Property names'!$A$1:$D$100,4,FALSE)</f>
        <v>%</v>
      </c>
      <c r="O788" s="5" t="str">
        <f t="shared" si="19"/>
        <v>Saaideh_Baalbeck_36231670_Battery_V</v>
      </c>
      <c r="P788" s="5" t="str">
        <f t="shared" si="20"/>
        <v>The datastream containing mesures of field Saaideh Baalbeck by sensor 36231670 which measures Battery Level.</v>
      </c>
      <c r="Q788" s="5" t="s">
        <v>653</v>
      </c>
    </row>
    <row r="789" spans="1:17" ht="12.75">
      <c r="A789" s="5" t="s">
        <v>402</v>
      </c>
      <c r="B789" s="5" t="s">
        <v>1434</v>
      </c>
      <c r="C789" s="5" t="s">
        <v>1435</v>
      </c>
      <c r="D789" s="5">
        <v>34.026055560000003</v>
      </c>
      <c r="E789" s="5">
        <v>36.072555559999998</v>
      </c>
      <c r="F789" s="5">
        <v>36231670</v>
      </c>
      <c r="G789" s="5" t="s">
        <v>1375</v>
      </c>
      <c r="H789" s="5" t="s">
        <v>1376</v>
      </c>
      <c r="I789" s="5" t="s">
        <v>1210</v>
      </c>
      <c r="J789" s="5" t="s">
        <v>1432</v>
      </c>
      <c r="K789" s="5" t="s">
        <v>709</v>
      </c>
      <c r="L789" s="5" t="str">
        <f>VLOOKUP($K789,'Property names'!$A$1:$D$100,2,FALSE)</f>
        <v>Energy from the sun in the form of electromagnetic waves.</v>
      </c>
      <c r="M789" s="5" t="str">
        <f>VLOOKUP($K789,'Property names'!$A$1:$D$100,3,FALSE)</f>
        <v>Watts per square meter</v>
      </c>
      <c r="N789" s="5" t="str">
        <f>VLOOKUP($K789,'Property names'!$A$1:$D$100,4,FALSE)</f>
        <v>W/m²</v>
      </c>
      <c r="O789" s="5" t="str">
        <f t="shared" si="19"/>
        <v>Saaideh_Baalbeck_36231670_Solar_V</v>
      </c>
      <c r="P789" s="5" t="str">
        <f t="shared" si="20"/>
        <v>The datastream containing mesures of field Saaideh Baalbeck by sensor 36231670 which measures Solar Radiation.</v>
      </c>
      <c r="Q789" s="5" t="s">
        <v>653</v>
      </c>
    </row>
    <row r="790" spans="1:17" ht="12.75">
      <c r="A790" s="5" t="s">
        <v>402</v>
      </c>
      <c r="B790" s="5" t="s">
        <v>1434</v>
      </c>
      <c r="C790" s="5" t="s">
        <v>1435</v>
      </c>
      <c r="D790" s="5">
        <v>34.026055560000003</v>
      </c>
      <c r="E790" s="5">
        <v>36.072555559999998</v>
      </c>
      <c r="F790" s="5">
        <v>36231670</v>
      </c>
      <c r="G790" s="5" t="s">
        <v>1375</v>
      </c>
      <c r="H790" s="5" t="s">
        <v>1376</v>
      </c>
      <c r="I790" s="5" t="s">
        <v>1210</v>
      </c>
      <c r="J790" s="5" t="s">
        <v>1433</v>
      </c>
      <c r="K790" s="5" t="s">
        <v>1433</v>
      </c>
      <c r="L790" s="5" t="str">
        <f>VLOOKUP($K790,'Property names'!$A$1:$D$100,2,FALSE)</f>
        <v>-</v>
      </c>
      <c r="M790" s="5" t="str">
        <f>VLOOKUP($K790,'Property names'!$A$1:$D$100,3,FALSE)</f>
        <v>-</v>
      </c>
      <c r="N790" s="5" t="str">
        <f>VLOOKUP($K790,'Property names'!$A$1:$D$100,4,FALSE)</f>
        <v>-</v>
      </c>
      <c r="O790" s="5" t="str">
        <f t="shared" si="19"/>
        <v>Saaideh_Baalbeck_36231670_CSQ</v>
      </c>
      <c r="P790" s="5" t="str">
        <f t="shared" si="20"/>
        <v>The datastream containing mesures of field Saaideh Baalbeck by sensor 36231670 which measures CSQ.</v>
      </c>
      <c r="Q790" s="5" t="s">
        <v>653</v>
      </c>
    </row>
    <row r="791" spans="1:17" ht="12.75">
      <c r="A791" s="5" t="s">
        <v>402</v>
      </c>
      <c r="B791" s="5" t="s">
        <v>1436</v>
      </c>
      <c r="C791" s="5" t="s">
        <v>1437</v>
      </c>
      <c r="D791" s="5">
        <v>33.876611109999999</v>
      </c>
      <c r="E791" s="5">
        <v>36.049388890000003</v>
      </c>
      <c r="F791" s="5">
        <v>36231669</v>
      </c>
      <c r="G791" s="5" t="s">
        <v>1375</v>
      </c>
      <c r="H791" s="5" t="s">
        <v>1376</v>
      </c>
      <c r="I791" s="5" t="s">
        <v>1210</v>
      </c>
      <c r="J791" s="5" t="s">
        <v>1377</v>
      </c>
      <c r="K791" s="5" t="s">
        <v>660</v>
      </c>
      <c r="L791" s="5" t="str">
        <f>VLOOKUP($K791,'Property names'!$A$1:$D$100,2,FALSE)</f>
        <v>The amount of moisture present in the soil, often expressed as a percentage of the maximum amount the soil could hold at a given temperature.</v>
      </c>
      <c r="M791" s="5" t="str">
        <f>VLOOKUP($K791,'Property names'!$A$1:$D$100,3,FALSE)</f>
        <v>Percentage</v>
      </c>
      <c r="N791" s="5" t="str">
        <f>VLOOKUP($K791,'Property names'!$A$1:$D$100,4,FALSE)</f>
        <v>%</v>
      </c>
      <c r="O791" s="5" t="str">
        <f t="shared" si="19"/>
        <v>Saraain_Baalbeck_36231669_VWC_1-10cm</v>
      </c>
      <c r="P791" s="5" t="str">
        <f t="shared" si="20"/>
        <v>The datastream containing mesures of field Saraain Baalbeck by sensor 36231669 which measures Soil Moisture.</v>
      </c>
      <c r="Q791" s="5" t="s">
        <v>653</v>
      </c>
    </row>
    <row r="792" spans="1:17" ht="12.75">
      <c r="A792" s="5" t="s">
        <v>402</v>
      </c>
      <c r="B792" s="5" t="s">
        <v>1436</v>
      </c>
      <c r="C792" s="5" t="s">
        <v>1437</v>
      </c>
      <c r="D792" s="5">
        <v>33.876611109999999</v>
      </c>
      <c r="E792" s="5">
        <v>36.049388890000003</v>
      </c>
      <c r="F792" s="5">
        <v>36231669</v>
      </c>
      <c r="G792" s="5" t="s">
        <v>1375</v>
      </c>
      <c r="H792" s="5" t="s">
        <v>1376</v>
      </c>
      <c r="I792" s="5" t="s">
        <v>1210</v>
      </c>
      <c r="J792" s="5" t="s">
        <v>1378</v>
      </c>
      <c r="K792" s="5" t="s">
        <v>660</v>
      </c>
      <c r="L792" s="5" t="str">
        <f>VLOOKUP($K792,'Property names'!$A$1:$D$100,2,FALSE)</f>
        <v>The amount of moisture present in the soil, often expressed as a percentage of the maximum amount the soil could hold at a given temperature.</v>
      </c>
      <c r="M792" s="5" t="str">
        <f>VLOOKUP($K792,'Property names'!$A$1:$D$100,3,FALSE)</f>
        <v>Percentage</v>
      </c>
      <c r="N792" s="5" t="str">
        <f>VLOOKUP($K792,'Property names'!$A$1:$D$100,4,FALSE)</f>
        <v>%</v>
      </c>
      <c r="O792" s="5" t="str">
        <f t="shared" si="19"/>
        <v>Saraain_Baalbeck_36231669_VWC_1-20cm</v>
      </c>
      <c r="P792" s="5" t="str">
        <f t="shared" si="20"/>
        <v>The datastream containing mesures of field Saraain Baalbeck by sensor 36231669 which measures Soil Moisture.</v>
      </c>
      <c r="Q792" s="5" t="s">
        <v>653</v>
      </c>
    </row>
    <row r="793" spans="1:17" ht="12.75">
      <c r="A793" s="5" t="s">
        <v>402</v>
      </c>
      <c r="B793" s="5" t="s">
        <v>1436</v>
      </c>
      <c r="C793" s="5" t="s">
        <v>1437</v>
      </c>
      <c r="D793" s="5">
        <v>33.876611109999999</v>
      </c>
      <c r="E793" s="5">
        <v>36.049388890000003</v>
      </c>
      <c r="F793" s="5">
        <v>36231669</v>
      </c>
      <c r="G793" s="5" t="s">
        <v>1375</v>
      </c>
      <c r="H793" s="5" t="s">
        <v>1376</v>
      </c>
      <c r="I793" s="5" t="s">
        <v>1210</v>
      </c>
      <c r="J793" s="5" t="s">
        <v>1379</v>
      </c>
      <c r="K793" s="5" t="s">
        <v>660</v>
      </c>
      <c r="L793" s="5" t="str">
        <f>VLOOKUP($K793,'Property names'!$A$1:$D$100,2,FALSE)</f>
        <v>The amount of moisture present in the soil, often expressed as a percentage of the maximum amount the soil could hold at a given temperature.</v>
      </c>
      <c r="M793" s="5" t="str">
        <f>VLOOKUP($K793,'Property names'!$A$1:$D$100,3,FALSE)</f>
        <v>Percentage</v>
      </c>
      <c r="N793" s="5" t="str">
        <f>VLOOKUP($K793,'Property names'!$A$1:$D$100,4,FALSE)</f>
        <v>%</v>
      </c>
      <c r="O793" s="5" t="str">
        <f t="shared" si="19"/>
        <v>Saraain_Baalbeck_36231669_VWC_1-40cm</v>
      </c>
      <c r="P793" s="5" t="str">
        <f t="shared" si="20"/>
        <v>The datastream containing mesures of field Saraain Baalbeck by sensor 36231669 which measures Soil Moisture.</v>
      </c>
      <c r="Q793" s="5" t="s">
        <v>653</v>
      </c>
    </row>
    <row r="794" spans="1:17" ht="12.75">
      <c r="A794" s="5" t="s">
        <v>402</v>
      </c>
      <c r="B794" s="5" t="s">
        <v>1436</v>
      </c>
      <c r="C794" s="5" t="s">
        <v>1437</v>
      </c>
      <c r="D794" s="5">
        <v>33.876611109999999</v>
      </c>
      <c r="E794" s="5">
        <v>36.049388890000003</v>
      </c>
      <c r="F794" s="5">
        <v>36231669</v>
      </c>
      <c r="G794" s="5" t="s">
        <v>1375</v>
      </c>
      <c r="H794" s="5" t="s">
        <v>1376</v>
      </c>
      <c r="I794" s="5" t="s">
        <v>1210</v>
      </c>
      <c r="J794" s="5" t="s">
        <v>1380</v>
      </c>
      <c r="K794" s="5" t="s">
        <v>660</v>
      </c>
      <c r="L794" s="5" t="str">
        <f>VLOOKUP($K794,'Property names'!$A$1:$D$100,2,FALSE)</f>
        <v>The amount of moisture present in the soil, often expressed as a percentage of the maximum amount the soil could hold at a given temperature.</v>
      </c>
      <c r="M794" s="5" t="str">
        <f>VLOOKUP($K794,'Property names'!$A$1:$D$100,3,FALSE)</f>
        <v>Percentage</v>
      </c>
      <c r="N794" s="5" t="str">
        <f>VLOOKUP($K794,'Property names'!$A$1:$D$100,4,FALSE)</f>
        <v>%</v>
      </c>
      <c r="O794" s="5" t="str">
        <f t="shared" si="19"/>
        <v>Saraain_Baalbeck_36231669_VWC_1-60cm</v>
      </c>
      <c r="P794" s="5" t="str">
        <f t="shared" si="20"/>
        <v>The datastream containing mesures of field Saraain Baalbeck by sensor 36231669 which measures Soil Moisture.</v>
      </c>
      <c r="Q794" s="5" t="s">
        <v>653</v>
      </c>
    </row>
    <row r="795" spans="1:17" ht="12.75">
      <c r="A795" s="5" t="s">
        <v>402</v>
      </c>
      <c r="B795" s="5" t="s">
        <v>1436</v>
      </c>
      <c r="C795" s="5" t="s">
        <v>1437</v>
      </c>
      <c r="D795" s="5">
        <v>33.876611109999999</v>
      </c>
      <c r="E795" s="5">
        <v>36.049388890000003</v>
      </c>
      <c r="F795" s="5">
        <v>36231669</v>
      </c>
      <c r="G795" s="5" t="s">
        <v>1375</v>
      </c>
      <c r="H795" s="5" t="s">
        <v>1376</v>
      </c>
      <c r="I795" s="5" t="s">
        <v>1210</v>
      </c>
      <c r="J795" s="5" t="s">
        <v>1381</v>
      </c>
      <c r="K795" s="5" t="s">
        <v>660</v>
      </c>
      <c r="L795" s="5" t="str">
        <f>VLOOKUP($K795,'Property names'!$A$1:$D$100,2,FALSE)</f>
        <v>The amount of moisture present in the soil, often expressed as a percentage of the maximum amount the soil could hold at a given temperature.</v>
      </c>
      <c r="M795" s="5" t="str">
        <f>VLOOKUP($K795,'Property names'!$A$1:$D$100,3,FALSE)</f>
        <v>Percentage</v>
      </c>
      <c r="N795" s="5" t="str">
        <f>VLOOKUP($K795,'Property names'!$A$1:$D$100,4,FALSE)</f>
        <v>%</v>
      </c>
      <c r="O795" s="5" t="str">
        <f t="shared" si="19"/>
        <v>Saraain_Baalbeck_36231669_VWC_1-80cm</v>
      </c>
      <c r="P795" s="5" t="str">
        <f t="shared" si="20"/>
        <v>The datastream containing mesures of field Saraain Baalbeck by sensor 36231669 which measures Soil Moisture.</v>
      </c>
      <c r="Q795" s="5" t="s">
        <v>653</v>
      </c>
    </row>
    <row r="796" spans="1:17" ht="12.75">
      <c r="A796" s="5" t="s">
        <v>402</v>
      </c>
      <c r="B796" s="5" t="s">
        <v>1436</v>
      </c>
      <c r="C796" s="5" t="s">
        <v>1437</v>
      </c>
      <c r="D796" s="5">
        <v>33.876611109999999</v>
      </c>
      <c r="E796" s="5">
        <v>36.049388890000003</v>
      </c>
      <c r="F796" s="5">
        <v>36231669</v>
      </c>
      <c r="G796" s="5" t="s">
        <v>1375</v>
      </c>
      <c r="H796" s="5" t="s">
        <v>1376</v>
      </c>
      <c r="I796" s="5" t="s">
        <v>1210</v>
      </c>
      <c r="J796" s="5" t="s">
        <v>1382</v>
      </c>
      <c r="K796" s="5" t="s">
        <v>660</v>
      </c>
      <c r="L796" s="5" t="str">
        <f>VLOOKUP($K796,'Property names'!$A$1:$D$100,2,FALSE)</f>
        <v>The amount of moisture present in the soil, often expressed as a percentage of the maximum amount the soil could hold at a given temperature.</v>
      </c>
      <c r="M796" s="5" t="str">
        <f>VLOOKUP($K796,'Property names'!$A$1:$D$100,3,FALSE)</f>
        <v>Percentage</v>
      </c>
      <c r="N796" s="5" t="str">
        <f>VLOOKUP($K796,'Property names'!$A$1:$D$100,4,FALSE)</f>
        <v>%</v>
      </c>
      <c r="O796" s="5" t="str">
        <f t="shared" si="19"/>
        <v>Saraain_Baalbeck_36231669_VWC_1-100cm</v>
      </c>
      <c r="P796" s="5" t="str">
        <f t="shared" si="20"/>
        <v>The datastream containing mesures of field Saraain Baalbeck by sensor 36231669 which measures Soil Moisture.</v>
      </c>
      <c r="Q796" s="5" t="s">
        <v>653</v>
      </c>
    </row>
    <row r="797" spans="1:17" ht="12.75">
      <c r="A797" s="5" t="s">
        <v>402</v>
      </c>
      <c r="B797" s="5" t="s">
        <v>1436</v>
      </c>
      <c r="C797" s="5" t="s">
        <v>1437</v>
      </c>
      <c r="D797" s="5">
        <v>33.876611109999999</v>
      </c>
      <c r="E797" s="5">
        <v>36.049388890000003</v>
      </c>
      <c r="F797" s="5">
        <v>36231669</v>
      </c>
      <c r="G797" s="5" t="s">
        <v>1375</v>
      </c>
      <c r="H797" s="5" t="s">
        <v>1376</v>
      </c>
      <c r="I797" s="5" t="s">
        <v>1210</v>
      </c>
      <c r="J797" s="5" t="s">
        <v>1383</v>
      </c>
      <c r="K797" s="5" t="s">
        <v>660</v>
      </c>
      <c r="L797" s="5" t="str">
        <f>VLOOKUP($K797,'Property names'!$A$1:$D$100,2,FALSE)</f>
        <v>The amount of moisture present in the soil, often expressed as a percentage of the maximum amount the soil could hold at a given temperature.</v>
      </c>
      <c r="M797" s="5" t="str">
        <f>VLOOKUP($K797,'Property names'!$A$1:$D$100,3,FALSE)</f>
        <v>Percentage</v>
      </c>
      <c r="N797" s="5" t="str">
        <f>VLOOKUP($K797,'Property names'!$A$1:$D$100,4,FALSE)</f>
        <v>%</v>
      </c>
      <c r="O797" s="5" t="str">
        <f t="shared" si="19"/>
        <v>Saraain_Baalbeck_36231669_VWC_1-120cm</v>
      </c>
      <c r="P797" s="5" t="str">
        <f t="shared" si="20"/>
        <v>The datastream containing mesures of field Saraain Baalbeck by sensor 36231669 which measures Soil Moisture.</v>
      </c>
      <c r="Q797" s="5" t="s">
        <v>653</v>
      </c>
    </row>
    <row r="798" spans="1:17" ht="12.75">
      <c r="A798" s="5" t="s">
        <v>402</v>
      </c>
      <c r="B798" s="5" t="s">
        <v>1436</v>
      </c>
      <c r="C798" s="5" t="s">
        <v>1437</v>
      </c>
      <c r="D798" s="5">
        <v>33.876611109999999</v>
      </c>
      <c r="E798" s="5">
        <v>36.049388890000003</v>
      </c>
      <c r="F798" s="5">
        <v>36231669</v>
      </c>
      <c r="G798" s="5" t="s">
        <v>1375</v>
      </c>
      <c r="H798" s="5" t="s">
        <v>1376</v>
      </c>
      <c r="I798" s="5" t="s">
        <v>1210</v>
      </c>
      <c r="J798" s="5" t="s">
        <v>1384</v>
      </c>
      <c r="K798" s="5" t="s">
        <v>660</v>
      </c>
      <c r="L798" s="5" t="str">
        <f>VLOOKUP($K798,'Property names'!$A$1:$D$100,2,FALSE)</f>
        <v>The amount of moisture present in the soil, often expressed as a percentage of the maximum amount the soil could hold at a given temperature.</v>
      </c>
      <c r="M798" s="5" t="str">
        <f>VLOOKUP($K798,'Property names'!$A$1:$D$100,3,FALSE)</f>
        <v>Percentage</v>
      </c>
      <c r="N798" s="5" t="str">
        <f>VLOOKUP($K798,'Property names'!$A$1:$D$100,4,FALSE)</f>
        <v>%</v>
      </c>
      <c r="O798" s="5" t="str">
        <f t="shared" si="19"/>
        <v>Saraain_Baalbeck_36231669_VWC_1-140cm</v>
      </c>
      <c r="P798" s="5" t="str">
        <f t="shared" si="20"/>
        <v>The datastream containing mesures of field Saraain Baalbeck by sensor 36231669 which measures Soil Moisture.</v>
      </c>
      <c r="Q798" s="5" t="s">
        <v>653</v>
      </c>
    </row>
    <row r="799" spans="1:17" ht="12.75">
      <c r="A799" s="5" t="s">
        <v>402</v>
      </c>
      <c r="B799" s="5" t="s">
        <v>1436</v>
      </c>
      <c r="C799" s="5" t="s">
        <v>1437</v>
      </c>
      <c r="D799" s="5">
        <v>33.876611109999999</v>
      </c>
      <c r="E799" s="5">
        <v>36.049388890000003</v>
      </c>
      <c r="F799" s="5">
        <v>36231669</v>
      </c>
      <c r="G799" s="5" t="s">
        <v>1375</v>
      </c>
      <c r="H799" s="5" t="s">
        <v>1376</v>
      </c>
      <c r="I799" s="5" t="s">
        <v>1210</v>
      </c>
      <c r="J799" s="5" t="s">
        <v>1385</v>
      </c>
      <c r="K799" s="5" t="s">
        <v>660</v>
      </c>
      <c r="L799" s="5" t="str">
        <f>VLOOKUP($K799,'Property names'!$A$1:$D$100,2,FALSE)</f>
        <v>The amount of moisture present in the soil, often expressed as a percentage of the maximum amount the soil could hold at a given temperature.</v>
      </c>
      <c r="M799" s="5" t="str">
        <f>VLOOKUP($K799,'Property names'!$A$1:$D$100,3,FALSE)</f>
        <v>Percentage</v>
      </c>
      <c r="N799" s="5" t="str">
        <f>VLOOKUP($K799,'Property names'!$A$1:$D$100,4,FALSE)</f>
        <v>%</v>
      </c>
      <c r="O799" s="5" t="str">
        <f t="shared" si="19"/>
        <v>Saraain_Baalbeck_36231669_VWC_1-160cm</v>
      </c>
      <c r="P799" s="5" t="str">
        <f t="shared" si="20"/>
        <v>The datastream containing mesures of field Saraain Baalbeck by sensor 36231669 which measures Soil Moisture.</v>
      </c>
      <c r="Q799" s="5" t="s">
        <v>653</v>
      </c>
    </row>
    <row r="800" spans="1:17" ht="12.75">
      <c r="A800" s="5" t="s">
        <v>402</v>
      </c>
      <c r="B800" s="5" t="s">
        <v>1436</v>
      </c>
      <c r="C800" s="5" t="s">
        <v>1437</v>
      </c>
      <c r="D800" s="5">
        <v>33.876611109999999</v>
      </c>
      <c r="E800" s="5">
        <v>36.049388890000003</v>
      </c>
      <c r="F800" s="5">
        <v>36231669</v>
      </c>
      <c r="G800" s="5" t="s">
        <v>1375</v>
      </c>
      <c r="H800" s="5" t="s">
        <v>1376</v>
      </c>
      <c r="I800" s="5" t="s">
        <v>1210</v>
      </c>
      <c r="J800" s="5" t="s">
        <v>1386</v>
      </c>
      <c r="K800" s="5" t="s">
        <v>662</v>
      </c>
      <c r="L800" s="5" t="str">
        <f>VLOOKUP($K800,'Property names'!$A$1:$D$100,2,FALSE)</f>
        <v>The measure of temperature of the soil.</v>
      </c>
      <c r="M800" s="5" t="str">
        <f>VLOOKUP($K800,'Property names'!$A$1:$D$100,3,FALSE)</f>
        <v>Degrees Celsius</v>
      </c>
      <c r="N800" s="5" t="str">
        <f>VLOOKUP($K800,'Property names'!$A$1:$D$100,4,FALSE)</f>
        <v>ºC</v>
      </c>
      <c r="O800" s="5" t="str">
        <f t="shared" si="19"/>
        <v>Saraain_Baalbeck_36231669_Temp_1-10cm</v>
      </c>
      <c r="P800" s="5" t="str">
        <f t="shared" si="20"/>
        <v>The datastream containing mesures of field Saraain Baalbeck by sensor 36231669 which measures Soil Temperature.</v>
      </c>
      <c r="Q800" s="5" t="s">
        <v>653</v>
      </c>
    </row>
    <row r="801" spans="1:17" ht="12.75">
      <c r="A801" s="5" t="s">
        <v>402</v>
      </c>
      <c r="B801" s="5" t="s">
        <v>1436</v>
      </c>
      <c r="C801" s="5" t="s">
        <v>1437</v>
      </c>
      <c r="D801" s="5">
        <v>33.876611109999999</v>
      </c>
      <c r="E801" s="5">
        <v>36.049388890000003</v>
      </c>
      <c r="F801" s="5">
        <v>36231669</v>
      </c>
      <c r="G801" s="5" t="s">
        <v>1375</v>
      </c>
      <c r="H801" s="5" t="s">
        <v>1376</v>
      </c>
      <c r="I801" s="5" t="s">
        <v>1210</v>
      </c>
      <c r="J801" s="5" t="s">
        <v>1387</v>
      </c>
      <c r="K801" s="5" t="s">
        <v>662</v>
      </c>
      <c r="L801" s="5" t="str">
        <f>VLOOKUP($K801,'Property names'!$A$1:$D$100,2,FALSE)</f>
        <v>The measure of temperature of the soil.</v>
      </c>
      <c r="M801" s="5" t="str">
        <f>VLOOKUP($K801,'Property names'!$A$1:$D$100,3,FALSE)</f>
        <v>Degrees Celsius</v>
      </c>
      <c r="N801" s="5" t="str">
        <f>VLOOKUP($K801,'Property names'!$A$1:$D$100,4,FALSE)</f>
        <v>ºC</v>
      </c>
      <c r="O801" s="5" t="str">
        <f t="shared" si="19"/>
        <v>Saraain_Baalbeck_36231669_Temp_1-20cm</v>
      </c>
      <c r="P801" s="5" t="str">
        <f t="shared" si="20"/>
        <v>The datastream containing mesures of field Saraain Baalbeck by sensor 36231669 which measures Soil Temperature.</v>
      </c>
      <c r="Q801" s="5" t="s">
        <v>653</v>
      </c>
    </row>
    <row r="802" spans="1:17" ht="12.75">
      <c r="A802" s="5" t="s">
        <v>402</v>
      </c>
      <c r="B802" s="5" t="s">
        <v>1436</v>
      </c>
      <c r="C802" s="5" t="s">
        <v>1437</v>
      </c>
      <c r="D802" s="5">
        <v>33.876611109999999</v>
      </c>
      <c r="E802" s="5">
        <v>36.049388890000003</v>
      </c>
      <c r="F802" s="5">
        <v>36231669</v>
      </c>
      <c r="G802" s="5" t="s">
        <v>1375</v>
      </c>
      <c r="H802" s="5" t="s">
        <v>1376</v>
      </c>
      <c r="I802" s="5" t="s">
        <v>1210</v>
      </c>
      <c r="J802" s="5" t="s">
        <v>1388</v>
      </c>
      <c r="K802" s="5" t="s">
        <v>662</v>
      </c>
      <c r="L802" s="5" t="str">
        <f>VLOOKUP($K802,'Property names'!$A$1:$D$100,2,FALSE)</f>
        <v>The measure of temperature of the soil.</v>
      </c>
      <c r="M802" s="5" t="str">
        <f>VLOOKUP($K802,'Property names'!$A$1:$D$100,3,FALSE)</f>
        <v>Degrees Celsius</v>
      </c>
      <c r="N802" s="5" t="str">
        <f>VLOOKUP($K802,'Property names'!$A$1:$D$100,4,FALSE)</f>
        <v>ºC</v>
      </c>
      <c r="O802" s="5" t="str">
        <f t="shared" si="19"/>
        <v>Saraain_Baalbeck_36231669_Temp_1-40cm</v>
      </c>
      <c r="P802" s="5" t="str">
        <f t="shared" si="20"/>
        <v>The datastream containing mesures of field Saraain Baalbeck by sensor 36231669 which measures Soil Temperature.</v>
      </c>
      <c r="Q802" s="5" t="s">
        <v>653</v>
      </c>
    </row>
    <row r="803" spans="1:17" ht="12.75">
      <c r="A803" s="5" t="s">
        <v>402</v>
      </c>
      <c r="B803" s="5" t="s">
        <v>1436</v>
      </c>
      <c r="C803" s="5" t="s">
        <v>1437</v>
      </c>
      <c r="D803" s="5">
        <v>33.876611109999999</v>
      </c>
      <c r="E803" s="5">
        <v>36.049388890000003</v>
      </c>
      <c r="F803" s="5">
        <v>36231669</v>
      </c>
      <c r="G803" s="5" t="s">
        <v>1375</v>
      </c>
      <c r="H803" s="5" t="s">
        <v>1376</v>
      </c>
      <c r="I803" s="5" t="s">
        <v>1210</v>
      </c>
      <c r="J803" s="5" t="s">
        <v>1389</v>
      </c>
      <c r="K803" s="5" t="s">
        <v>662</v>
      </c>
      <c r="L803" s="5" t="str">
        <f>VLOOKUP($K803,'Property names'!$A$1:$D$100,2,FALSE)</f>
        <v>The measure of temperature of the soil.</v>
      </c>
      <c r="M803" s="5" t="str">
        <f>VLOOKUP($K803,'Property names'!$A$1:$D$100,3,FALSE)</f>
        <v>Degrees Celsius</v>
      </c>
      <c r="N803" s="5" t="str">
        <f>VLOOKUP($K803,'Property names'!$A$1:$D$100,4,FALSE)</f>
        <v>ºC</v>
      </c>
      <c r="O803" s="5" t="str">
        <f t="shared" si="19"/>
        <v>Saraain_Baalbeck_36231669_Temp_1-60cm</v>
      </c>
      <c r="P803" s="5" t="str">
        <f t="shared" si="20"/>
        <v>The datastream containing mesures of field Saraain Baalbeck by sensor 36231669 which measures Soil Temperature.</v>
      </c>
      <c r="Q803" s="5" t="s">
        <v>653</v>
      </c>
    </row>
    <row r="804" spans="1:17" ht="12.75">
      <c r="A804" s="5" t="s">
        <v>402</v>
      </c>
      <c r="B804" s="5" t="s">
        <v>1436</v>
      </c>
      <c r="C804" s="5" t="s">
        <v>1437</v>
      </c>
      <c r="D804" s="5">
        <v>33.876611109999999</v>
      </c>
      <c r="E804" s="5">
        <v>36.049388890000003</v>
      </c>
      <c r="F804" s="5">
        <v>36231669</v>
      </c>
      <c r="G804" s="5" t="s">
        <v>1375</v>
      </c>
      <c r="H804" s="5" t="s">
        <v>1376</v>
      </c>
      <c r="I804" s="5" t="s">
        <v>1210</v>
      </c>
      <c r="J804" s="5" t="s">
        <v>1390</v>
      </c>
      <c r="K804" s="5" t="s">
        <v>662</v>
      </c>
      <c r="L804" s="5" t="str">
        <f>VLOOKUP($K804,'Property names'!$A$1:$D$100,2,FALSE)</f>
        <v>The measure of temperature of the soil.</v>
      </c>
      <c r="M804" s="5" t="str">
        <f>VLOOKUP($K804,'Property names'!$A$1:$D$100,3,FALSE)</f>
        <v>Degrees Celsius</v>
      </c>
      <c r="N804" s="5" t="str">
        <f>VLOOKUP($K804,'Property names'!$A$1:$D$100,4,FALSE)</f>
        <v>ºC</v>
      </c>
      <c r="O804" s="5" t="str">
        <f t="shared" si="19"/>
        <v>Saraain_Baalbeck_36231669_Temp_1-80cm</v>
      </c>
      <c r="P804" s="5" t="str">
        <f t="shared" si="20"/>
        <v>The datastream containing mesures of field Saraain Baalbeck by sensor 36231669 which measures Soil Temperature.</v>
      </c>
      <c r="Q804" s="5" t="s">
        <v>653</v>
      </c>
    </row>
    <row r="805" spans="1:17" ht="12.75">
      <c r="A805" s="5" t="s">
        <v>402</v>
      </c>
      <c r="B805" s="5" t="s">
        <v>1436</v>
      </c>
      <c r="C805" s="5" t="s">
        <v>1437</v>
      </c>
      <c r="D805" s="5">
        <v>33.876611109999999</v>
      </c>
      <c r="E805" s="5">
        <v>36.049388890000003</v>
      </c>
      <c r="F805" s="5">
        <v>36231669</v>
      </c>
      <c r="G805" s="5" t="s">
        <v>1375</v>
      </c>
      <c r="H805" s="5" t="s">
        <v>1376</v>
      </c>
      <c r="I805" s="5" t="s">
        <v>1210</v>
      </c>
      <c r="J805" s="5" t="s">
        <v>1391</v>
      </c>
      <c r="K805" s="5" t="s">
        <v>662</v>
      </c>
      <c r="L805" s="5" t="str">
        <f>VLOOKUP($K805,'Property names'!$A$1:$D$100,2,FALSE)</f>
        <v>The measure of temperature of the soil.</v>
      </c>
      <c r="M805" s="5" t="str">
        <f>VLOOKUP($K805,'Property names'!$A$1:$D$100,3,FALSE)</f>
        <v>Degrees Celsius</v>
      </c>
      <c r="N805" s="5" t="str">
        <f>VLOOKUP($K805,'Property names'!$A$1:$D$100,4,FALSE)</f>
        <v>ºC</v>
      </c>
      <c r="O805" s="5" t="str">
        <f t="shared" si="19"/>
        <v>Saraain_Baalbeck_36231669_Temp_1-100cm</v>
      </c>
      <c r="P805" s="5" t="str">
        <f t="shared" si="20"/>
        <v>The datastream containing mesures of field Saraain Baalbeck by sensor 36231669 which measures Soil Temperature.</v>
      </c>
      <c r="Q805" s="5" t="s">
        <v>653</v>
      </c>
    </row>
    <row r="806" spans="1:17" ht="12.75">
      <c r="A806" s="5" t="s">
        <v>402</v>
      </c>
      <c r="B806" s="5" t="s">
        <v>1436</v>
      </c>
      <c r="C806" s="5" t="s">
        <v>1437</v>
      </c>
      <c r="D806" s="5">
        <v>33.876611109999999</v>
      </c>
      <c r="E806" s="5">
        <v>36.049388890000003</v>
      </c>
      <c r="F806" s="5">
        <v>36231669</v>
      </c>
      <c r="G806" s="5" t="s">
        <v>1375</v>
      </c>
      <c r="H806" s="5" t="s">
        <v>1376</v>
      </c>
      <c r="I806" s="5" t="s">
        <v>1210</v>
      </c>
      <c r="J806" s="5" t="s">
        <v>1392</v>
      </c>
      <c r="K806" s="5" t="s">
        <v>662</v>
      </c>
      <c r="L806" s="5" t="str">
        <f>VLOOKUP($K806,'Property names'!$A$1:$D$100,2,FALSE)</f>
        <v>The measure of temperature of the soil.</v>
      </c>
      <c r="M806" s="5" t="str">
        <f>VLOOKUP($K806,'Property names'!$A$1:$D$100,3,FALSE)</f>
        <v>Degrees Celsius</v>
      </c>
      <c r="N806" s="5" t="str">
        <f>VLOOKUP($K806,'Property names'!$A$1:$D$100,4,FALSE)</f>
        <v>ºC</v>
      </c>
      <c r="O806" s="5" t="str">
        <f t="shared" si="19"/>
        <v>Saraain_Baalbeck_36231669_Temp_1-120cm</v>
      </c>
      <c r="P806" s="5" t="str">
        <f t="shared" si="20"/>
        <v>The datastream containing mesures of field Saraain Baalbeck by sensor 36231669 which measures Soil Temperature.</v>
      </c>
      <c r="Q806" s="5" t="s">
        <v>653</v>
      </c>
    </row>
    <row r="807" spans="1:17" ht="12.75">
      <c r="A807" s="5" t="s">
        <v>402</v>
      </c>
      <c r="B807" s="5" t="s">
        <v>1436</v>
      </c>
      <c r="C807" s="5" t="s">
        <v>1437</v>
      </c>
      <c r="D807" s="5">
        <v>33.876611109999999</v>
      </c>
      <c r="E807" s="5">
        <v>36.049388890000003</v>
      </c>
      <c r="F807" s="5">
        <v>36231669</v>
      </c>
      <c r="G807" s="5" t="s">
        <v>1375</v>
      </c>
      <c r="H807" s="5" t="s">
        <v>1376</v>
      </c>
      <c r="I807" s="5" t="s">
        <v>1210</v>
      </c>
      <c r="J807" s="5" t="s">
        <v>1393</v>
      </c>
      <c r="K807" s="5" t="s">
        <v>662</v>
      </c>
      <c r="L807" s="5" t="str">
        <f>VLOOKUP($K807,'Property names'!$A$1:$D$100,2,FALSE)</f>
        <v>The measure of temperature of the soil.</v>
      </c>
      <c r="M807" s="5" t="str">
        <f>VLOOKUP($K807,'Property names'!$A$1:$D$100,3,FALSE)</f>
        <v>Degrees Celsius</v>
      </c>
      <c r="N807" s="5" t="str">
        <f>VLOOKUP($K807,'Property names'!$A$1:$D$100,4,FALSE)</f>
        <v>ºC</v>
      </c>
      <c r="O807" s="5" t="str">
        <f t="shared" si="19"/>
        <v>Saraain_Baalbeck_36231669_Temp_1-140cm</v>
      </c>
      <c r="P807" s="5" t="str">
        <f t="shared" si="20"/>
        <v>The datastream containing mesures of field Saraain Baalbeck by sensor 36231669 which measures Soil Temperature.</v>
      </c>
      <c r="Q807" s="5" t="s">
        <v>653</v>
      </c>
    </row>
    <row r="808" spans="1:17" ht="12.75">
      <c r="A808" s="5" t="s">
        <v>402</v>
      </c>
      <c r="B808" s="5" t="s">
        <v>1436</v>
      </c>
      <c r="C808" s="5" t="s">
        <v>1437</v>
      </c>
      <c r="D808" s="5">
        <v>33.876611109999999</v>
      </c>
      <c r="E808" s="5">
        <v>36.049388890000003</v>
      </c>
      <c r="F808" s="5">
        <v>36231669</v>
      </c>
      <c r="G808" s="5" t="s">
        <v>1375</v>
      </c>
      <c r="H808" s="5" t="s">
        <v>1376</v>
      </c>
      <c r="I808" s="5" t="s">
        <v>1210</v>
      </c>
      <c r="J808" s="5" t="s">
        <v>1394</v>
      </c>
      <c r="K808" s="5" t="s">
        <v>662</v>
      </c>
      <c r="L808" s="5" t="str">
        <f>VLOOKUP($K808,'Property names'!$A$1:$D$100,2,FALSE)</f>
        <v>The measure of temperature of the soil.</v>
      </c>
      <c r="M808" s="5" t="str">
        <f>VLOOKUP($K808,'Property names'!$A$1:$D$100,3,FALSE)</f>
        <v>Degrees Celsius</v>
      </c>
      <c r="N808" s="5" t="str">
        <f>VLOOKUP($K808,'Property names'!$A$1:$D$100,4,FALSE)</f>
        <v>ºC</v>
      </c>
      <c r="O808" s="5" t="str">
        <f t="shared" si="19"/>
        <v>Saraain_Baalbeck_36231669_Temp_1-160cm</v>
      </c>
      <c r="P808" s="5" t="str">
        <f t="shared" si="20"/>
        <v>The datastream containing mesures of field Saraain Baalbeck by sensor 36231669 which measures Soil Temperature.</v>
      </c>
      <c r="Q808" s="5" t="s">
        <v>653</v>
      </c>
    </row>
    <row r="809" spans="1:17" ht="12.75">
      <c r="A809" s="5" t="s">
        <v>402</v>
      </c>
      <c r="B809" s="5" t="s">
        <v>1436</v>
      </c>
      <c r="C809" s="5" t="s">
        <v>1437</v>
      </c>
      <c r="D809" s="5">
        <v>33.876611109999999</v>
      </c>
      <c r="E809" s="5">
        <v>36.049388890000003</v>
      </c>
      <c r="F809" s="5">
        <v>36231669</v>
      </c>
      <c r="G809" s="5" t="s">
        <v>1375</v>
      </c>
      <c r="H809" s="5" t="s">
        <v>1376</v>
      </c>
      <c r="I809" s="5" t="s">
        <v>1210</v>
      </c>
      <c r="J809" s="5" t="s">
        <v>1395</v>
      </c>
      <c r="K809" s="5" t="s">
        <v>660</v>
      </c>
      <c r="L809" s="5" t="str">
        <f>VLOOKUP($K809,'Property names'!$A$1:$D$100,2,FALSE)</f>
        <v>The amount of moisture present in the soil, often expressed as a percentage of the maximum amount the soil could hold at a given temperature.</v>
      </c>
      <c r="M809" s="5" t="str">
        <f>VLOOKUP($K809,'Property names'!$A$1:$D$100,3,FALSE)</f>
        <v>Percentage</v>
      </c>
      <c r="N809" s="5" t="str">
        <f>VLOOKUP($K809,'Property names'!$A$1:$D$100,4,FALSE)</f>
        <v>%</v>
      </c>
      <c r="O809" s="5" t="str">
        <f t="shared" si="19"/>
        <v>Saraain_Baalbeck_36231669_VWC_2-10cm</v>
      </c>
      <c r="P809" s="5" t="str">
        <f t="shared" si="20"/>
        <v>The datastream containing mesures of field Saraain Baalbeck by sensor 36231669 which measures Soil Moisture.</v>
      </c>
      <c r="Q809" s="5" t="s">
        <v>653</v>
      </c>
    </row>
    <row r="810" spans="1:17" ht="12.75">
      <c r="A810" s="5" t="s">
        <v>402</v>
      </c>
      <c r="B810" s="5" t="s">
        <v>1436</v>
      </c>
      <c r="C810" s="5" t="s">
        <v>1437</v>
      </c>
      <c r="D810" s="5">
        <v>33.876611109999999</v>
      </c>
      <c r="E810" s="5">
        <v>36.049388890000003</v>
      </c>
      <c r="F810" s="5">
        <v>36231669</v>
      </c>
      <c r="G810" s="5" t="s">
        <v>1375</v>
      </c>
      <c r="H810" s="5" t="s">
        <v>1376</v>
      </c>
      <c r="I810" s="5" t="s">
        <v>1210</v>
      </c>
      <c r="J810" s="5" t="s">
        <v>1396</v>
      </c>
      <c r="K810" s="5" t="s">
        <v>660</v>
      </c>
      <c r="L810" s="5" t="str">
        <f>VLOOKUP($K810,'Property names'!$A$1:$D$100,2,FALSE)</f>
        <v>The amount of moisture present in the soil, often expressed as a percentage of the maximum amount the soil could hold at a given temperature.</v>
      </c>
      <c r="M810" s="5" t="str">
        <f>VLOOKUP($K810,'Property names'!$A$1:$D$100,3,FALSE)</f>
        <v>Percentage</v>
      </c>
      <c r="N810" s="5" t="str">
        <f>VLOOKUP($K810,'Property names'!$A$1:$D$100,4,FALSE)</f>
        <v>%</v>
      </c>
      <c r="O810" s="5" t="str">
        <f t="shared" si="19"/>
        <v>Saraain_Baalbeck_36231669_VWC_2-20cm</v>
      </c>
      <c r="P810" s="5" t="str">
        <f t="shared" si="20"/>
        <v>The datastream containing mesures of field Saraain Baalbeck by sensor 36231669 which measures Soil Moisture.</v>
      </c>
      <c r="Q810" s="5" t="s">
        <v>653</v>
      </c>
    </row>
    <row r="811" spans="1:17" ht="12.75">
      <c r="A811" s="5" t="s">
        <v>402</v>
      </c>
      <c r="B811" s="5" t="s">
        <v>1436</v>
      </c>
      <c r="C811" s="5" t="s">
        <v>1437</v>
      </c>
      <c r="D811" s="5">
        <v>33.876611109999999</v>
      </c>
      <c r="E811" s="5">
        <v>36.049388890000003</v>
      </c>
      <c r="F811" s="5">
        <v>36231669</v>
      </c>
      <c r="G811" s="5" t="s">
        <v>1375</v>
      </c>
      <c r="H811" s="5" t="s">
        <v>1376</v>
      </c>
      <c r="I811" s="5" t="s">
        <v>1210</v>
      </c>
      <c r="J811" s="5" t="s">
        <v>1397</v>
      </c>
      <c r="K811" s="5" t="s">
        <v>660</v>
      </c>
      <c r="L811" s="5" t="str">
        <f>VLOOKUP($K811,'Property names'!$A$1:$D$100,2,FALSE)</f>
        <v>The amount of moisture present in the soil, often expressed as a percentage of the maximum amount the soil could hold at a given temperature.</v>
      </c>
      <c r="M811" s="5" t="str">
        <f>VLOOKUP($K811,'Property names'!$A$1:$D$100,3,FALSE)</f>
        <v>Percentage</v>
      </c>
      <c r="N811" s="5" t="str">
        <f>VLOOKUP($K811,'Property names'!$A$1:$D$100,4,FALSE)</f>
        <v>%</v>
      </c>
      <c r="O811" s="5" t="str">
        <f t="shared" si="19"/>
        <v>Saraain_Baalbeck_36231669_VWC_2-40cm</v>
      </c>
      <c r="P811" s="5" t="str">
        <f t="shared" si="20"/>
        <v>The datastream containing mesures of field Saraain Baalbeck by sensor 36231669 which measures Soil Moisture.</v>
      </c>
      <c r="Q811" s="5" t="s">
        <v>653</v>
      </c>
    </row>
    <row r="812" spans="1:17" ht="12.75">
      <c r="A812" s="5" t="s">
        <v>402</v>
      </c>
      <c r="B812" s="5" t="s">
        <v>1436</v>
      </c>
      <c r="C812" s="5" t="s">
        <v>1437</v>
      </c>
      <c r="D812" s="5">
        <v>33.876611109999999</v>
      </c>
      <c r="E812" s="5">
        <v>36.049388890000003</v>
      </c>
      <c r="F812" s="5">
        <v>36231669</v>
      </c>
      <c r="G812" s="5" t="s">
        <v>1375</v>
      </c>
      <c r="H812" s="5" t="s">
        <v>1376</v>
      </c>
      <c r="I812" s="5" t="s">
        <v>1210</v>
      </c>
      <c r="J812" s="5" t="s">
        <v>1398</v>
      </c>
      <c r="K812" s="5" t="s">
        <v>660</v>
      </c>
      <c r="L812" s="5" t="str">
        <f>VLOOKUP($K812,'Property names'!$A$1:$D$100,2,FALSE)</f>
        <v>The amount of moisture present in the soil, often expressed as a percentage of the maximum amount the soil could hold at a given temperature.</v>
      </c>
      <c r="M812" s="5" t="str">
        <f>VLOOKUP($K812,'Property names'!$A$1:$D$100,3,FALSE)</f>
        <v>Percentage</v>
      </c>
      <c r="N812" s="5" t="str">
        <f>VLOOKUP($K812,'Property names'!$A$1:$D$100,4,FALSE)</f>
        <v>%</v>
      </c>
      <c r="O812" s="5" t="str">
        <f t="shared" si="19"/>
        <v>Saraain_Baalbeck_36231669_VWC_2-60cm</v>
      </c>
      <c r="P812" s="5" t="str">
        <f t="shared" si="20"/>
        <v>The datastream containing mesures of field Saraain Baalbeck by sensor 36231669 which measures Soil Moisture.</v>
      </c>
      <c r="Q812" s="5" t="s">
        <v>653</v>
      </c>
    </row>
    <row r="813" spans="1:17" ht="12.75">
      <c r="A813" s="5" t="s">
        <v>402</v>
      </c>
      <c r="B813" s="5" t="s">
        <v>1436</v>
      </c>
      <c r="C813" s="5" t="s">
        <v>1437</v>
      </c>
      <c r="D813" s="5">
        <v>33.876611109999999</v>
      </c>
      <c r="E813" s="5">
        <v>36.049388890000003</v>
      </c>
      <c r="F813" s="5">
        <v>36231669</v>
      </c>
      <c r="G813" s="5" t="s">
        <v>1375</v>
      </c>
      <c r="H813" s="5" t="s">
        <v>1376</v>
      </c>
      <c r="I813" s="5" t="s">
        <v>1210</v>
      </c>
      <c r="J813" s="5" t="s">
        <v>1399</v>
      </c>
      <c r="K813" s="5" t="s">
        <v>660</v>
      </c>
      <c r="L813" s="5" t="str">
        <f>VLOOKUP($K813,'Property names'!$A$1:$D$100,2,FALSE)</f>
        <v>The amount of moisture present in the soil, often expressed as a percentage of the maximum amount the soil could hold at a given temperature.</v>
      </c>
      <c r="M813" s="5" t="str">
        <f>VLOOKUP($K813,'Property names'!$A$1:$D$100,3,FALSE)</f>
        <v>Percentage</v>
      </c>
      <c r="N813" s="5" t="str">
        <f>VLOOKUP($K813,'Property names'!$A$1:$D$100,4,FALSE)</f>
        <v>%</v>
      </c>
      <c r="O813" s="5" t="str">
        <f t="shared" si="19"/>
        <v>Saraain_Baalbeck_36231669_VWC_2-80cm</v>
      </c>
      <c r="P813" s="5" t="str">
        <f t="shared" si="20"/>
        <v>The datastream containing mesures of field Saraain Baalbeck by sensor 36231669 which measures Soil Moisture.</v>
      </c>
      <c r="Q813" s="5" t="s">
        <v>653</v>
      </c>
    </row>
    <row r="814" spans="1:17" ht="12.75">
      <c r="A814" s="5" t="s">
        <v>402</v>
      </c>
      <c r="B814" s="5" t="s">
        <v>1436</v>
      </c>
      <c r="C814" s="5" t="s">
        <v>1437</v>
      </c>
      <c r="D814" s="5">
        <v>33.876611109999999</v>
      </c>
      <c r="E814" s="5">
        <v>36.049388890000003</v>
      </c>
      <c r="F814" s="5">
        <v>36231669</v>
      </c>
      <c r="G814" s="5" t="s">
        <v>1375</v>
      </c>
      <c r="H814" s="5" t="s">
        <v>1376</v>
      </c>
      <c r="I814" s="5" t="s">
        <v>1210</v>
      </c>
      <c r="J814" s="5" t="s">
        <v>1400</v>
      </c>
      <c r="K814" s="5" t="s">
        <v>660</v>
      </c>
      <c r="L814" s="5" t="str">
        <f>VLOOKUP($K814,'Property names'!$A$1:$D$100,2,FALSE)</f>
        <v>The amount of moisture present in the soil, often expressed as a percentage of the maximum amount the soil could hold at a given temperature.</v>
      </c>
      <c r="M814" s="5" t="str">
        <f>VLOOKUP($K814,'Property names'!$A$1:$D$100,3,FALSE)</f>
        <v>Percentage</v>
      </c>
      <c r="N814" s="5" t="str">
        <f>VLOOKUP($K814,'Property names'!$A$1:$D$100,4,FALSE)</f>
        <v>%</v>
      </c>
      <c r="O814" s="5" t="str">
        <f t="shared" si="19"/>
        <v>Saraain_Baalbeck_36231669_VWC_2-100cm</v>
      </c>
      <c r="P814" s="5" t="str">
        <f t="shared" si="20"/>
        <v>The datastream containing mesures of field Saraain Baalbeck by sensor 36231669 which measures Soil Moisture.</v>
      </c>
      <c r="Q814" s="5" t="s">
        <v>653</v>
      </c>
    </row>
    <row r="815" spans="1:17" ht="12.75">
      <c r="A815" s="5" t="s">
        <v>402</v>
      </c>
      <c r="B815" s="5" t="s">
        <v>1436</v>
      </c>
      <c r="C815" s="5" t="s">
        <v>1437</v>
      </c>
      <c r="D815" s="5">
        <v>33.876611109999999</v>
      </c>
      <c r="E815" s="5">
        <v>36.049388890000003</v>
      </c>
      <c r="F815" s="5">
        <v>36231669</v>
      </c>
      <c r="G815" s="5" t="s">
        <v>1375</v>
      </c>
      <c r="H815" s="5" t="s">
        <v>1376</v>
      </c>
      <c r="I815" s="5" t="s">
        <v>1210</v>
      </c>
      <c r="J815" s="5" t="s">
        <v>1401</v>
      </c>
      <c r="K815" s="5" t="s">
        <v>660</v>
      </c>
      <c r="L815" s="5" t="str">
        <f>VLOOKUP($K815,'Property names'!$A$1:$D$100,2,FALSE)</f>
        <v>The amount of moisture present in the soil, often expressed as a percentage of the maximum amount the soil could hold at a given temperature.</v>
      </c>
      <c r="M815" s="5" t="str">
        <f>VLOOKUP($K815,'Property names'!$A$1:$D$100,3,FALSE)</f>
        <v>Percentage</v>
      </c>
      <c r="N815" s="5" t="str">
        <f>VLOOKUP($K815,'Property names'!$A$1:$D$100,4,FALSE)</f>
        <v>%</v>
      </c>
      <c r="O815" s="5" t="str">
        <f t="shared" si="19"/>
        <v>Saraain_Baalbeck_36231669_VWC_2-120cm</v>
      </c>
      <c r="P815" s="5" t="str">
        <f t="shared" si="20"/>
        <v>The datastream containing mesures of field Saraain Baalbeck by sensor 36231669 which measures Soil Moisture.</v>
      </c>
      <c r="Q815" s="5" t="s">
        <v>653</v>
      </c>
    </row>
    <row r="816" spans="1:17" ht="12.75">
      <c r="A816" s="5" t="s">
        <v>402</v>
      </c>
      <c r="B816" s="5" t="s">
        <v>1436</v>
      </c>
      <c r="C816" s="5" t="s">
        <v>1437</v>
      </c>
      <c r="D816" s="5">
        <v>33.876611109999999</v>
      </c>
      <c r="E816" s="5">
        <v>36.049388890000003</v>
      </c>
      <c r="F816" s="5">
        <v>36231669</v>
      </c>
      <c r="G816" s="5" t="s">
        <v>1375</v>
      </c>
      <c r="H816" s="5" t="s">
        <v>1376</v>
      </c>
      <c r="I816" s="5" t="s">
        <v>1210</v>
      </c>
      <c r="J816" s="5" t="s">
        <v>1402</v>
      </c>
      <c r="K816" s="5" t="s">
        <v>660</v>
      </c>
      <c r="L816" s="5" t="str">
        <f>VLOOKUP($K816,'Property names'!$A$1:$D$100,2,FALSE)</f>
        <v>The amount of moisture present in the soil, often expressed as a percentage of the maximum amount the soil could hold at a given temperature.</v>
      </c>
      <c r="M816" s="5" t="str">
        <f>VLOOKUP($K816,'Property names'!$A$1:$D$100,3,FALSE)</f>
        <v>Percentage</v>
      </c>
      <c r="N816" s="5" t="str">
        <f>VLOOKUP($K816,'Property names'!$A$1:$D$100,4,FALSE)</f>
        <v>%</v>
      </c>
      <c r="O816" s="5" t="str">
        <f t="shared" si="19"/>
        <v>Saraain_Baalbeck_36231669_VWC_2-140cm</v>
      </c>
      <c r="P816" s="5" t="str">
        <f t="shared" si="20"/>
        <v>The datastream containing mesures of field Saraain Baalbeck by sensor 36231669 which measures Soil Moisture.</v>
      </c>
      <c r="Q816" s="5" t="s">
        <v>653</v>
      </c>
    </row>
    <row r="817" spans="1:17" ht="12.75">
      <c r="A817" s="5" t="s">
        <v>402</v>
      </c>
      <c r="B817" s="5" t="s">
        <v>1436</v>
      </c>
      <c r="C817" s="5" t="s">
        <v>1437</v>
      </c>
      <c r="D817" s="5">
        <v>33.876611109999999</v>
      </c>
      <c r="E817" s="5">
        <v>36.049388890000003</v>
      </c>
      <c r="F817" s="5">
        <v>36231669</v>
      </c>
      <c r="G817" s="5" t="s">
        <v>1375</v>
      </c>
      <c r="H817" s="5" t="s">
        <v>1376</v>
      </c>
      <c r="I817" s="5" t="s">
        <v>1210</v>
      </c>
      <c r="J817" s="5" t="s">
        <v>1403</v>
      </c>
      <c r="K817" s="5" t="s">
        <v>660</v>
      </c>
      <c r="L817" s="5" t="str">
        <f>VLOOKUP($K817,'Property names'!$A$1:$D$100,2,FALSE)</f>
        <v>The amount of moisture present in the soil, often expressed as a percentage of the maximum amount the soil could hold at a given temperature.</v>
      </c>
      <c r="M817" s="5" t="str">
        <f>VLOOKUP($K817,'Property names'!$A$1:$D$100,3,FALSE)</f>
        <v>Percentage</v>
      </c>
      <c r="N817" s="5" t="str">
        <f>VLOOKUP($K817,'Property names'!$A$1:$D$100,4,FALSE)</f>
        <v>%</v>
      </c>
      <c r="O817" s="5" t="str">
        <f t="shared" si="19"/>
        <v>Saraain_Baalbeck_36231669_VWC_2-160cm</v>
      </c>
      <c r="P817" s="5" t="str">
        <f t="shared" si="20"/>
        <v>The datastream containing mesures of field Saraain Baalbeck by sensor 36231669 which measures Soil Moisture.</v>
      </c>
      <c r="Q817" s="5" t="s">
        <v>653</v>
      </c>
    </row>
    <row r="818" spans="1:17" ht="12.75">
      <c r="A818" s="5" t="s">
        <v>402</v>
      </c>
      <c r="B818" s="5" t="s">
        <v>1436</v>
      </c>
      <c r="C818" s="5" t="s">
        <v>1437</v>
      </c>
      <c r="D818" s="5">
        <v>33.876611109999999</v>
      </c>
      <c r="E818" s="5">
        <v>36.049388890000003</v>
      </c>
      <c r="F818" s="5">
        <v>36231669</v>
      </c>
      <c r="G818" s="5" t="s">
        <v>1375</v>
      </c>
      <c r="H818" s="5" t="s">
        <v>1376</v>
      </c>
      <c r="I818" s="5" t="s">
        <v>1210</v>
      </c>
      <c r="J818" s="5" t="s">
        <v>1404</v>
      </c>
      <c r="K818" s="5" t="s">
        <v>662</v>
      </c>
      <c r="L818" s="5" t="str">
        <f>VLOOKUP($K818,'Property names'!$A$1:$D$100,2,FALSE)</f>
        <v>The measure of temperature of the soil.</v>
      </c>
      <c r="M818" s="5" t="str">
        <f>VLOOKUP($K818,'Property names'!$A$1:$D$100,3,FALSE)</f>
        <v>Degrees Celsius</v>
      </c>
      <c r="N818" s="5" t="str">
        <f>VLOOKUP($K818,'Property names'!$A$1:$D$100,4,FALSE)</f>
        <v>ºC</v>
      </c>
      <c r="O818" s="5" t="str">
        <f t="shared" si="19"/>
        <v>Saraain_Baalbeck_36231669_Temp_2-10cm</v>
      </c>
      <c r="P818" s="5" t="str">
        <f t="shared" si="20"/>
        <v>The datastream containing mesures of field Saraain Baalbeck by sensor 36231669 which measures Soil Temperature.</v>
      </c>
      <c r="Q818" s="5" t="s">
        <v>653</v>
      </c>
    </row>
    <row r="819" spans="1:17" ht="12.75">
      <c r="A819" s="5" t="s">
        <v>402</v>
      </c>
      <c r="B819" s="5" t="s">
        <v>1436</v>
      </c>
      <c r="C819" s="5" t="s">
        <v>1437</v>
      </c>
      <c r="D819" s="5">
        <v>33.876611109999999</v>
      </c>
      <c r="E819" s="5">
        <v>36.049388890000003</v>
      </c>
      <c r="F819" s="5">
        <v>36231669</v>
      </c>
      <c r="G819" s="5" t="s">
        <v>1375</v>
      </c>
      <c r="H819" s="5" t="s">
        <v>1376</v>
      </c>
      <c r="I819" s="5" t="s">
        <v>1210</v>
      </c>
      <c r="J819" s="5" t="s">
        <v>1405</v>
      </c>
      <c r="K819" s="5" t="s">
        <v>662</v>
      </c>
      <c r="L819" s="5" t="str">
        <f>VLOOKUP($K819,'Property names'!$A$1:$D$100,2,FALSE)</f>
        <v>The measure of temperature of the soil.</v>
      </c>
      <c r="M819" s="5" t="str">
        <f>VLOOKUP($K819,'Property names'!$A$1:$D$100,3,FALSE)</f>
        <v>Degrees Celsius</v>
      </c>
      <c r="N819" s="5" t="str">
        <f>VLOOKUP($K819,'Property names'!$A$1:$D$100,4,FALSE)</f>
        <v>ºC</v>
      </c>
      <c r="O819" s="5" t="str">
        <f t="shared" si="19"/>
        <v>Saraain_Baalbeck_36231669_Temp_2-20cm</v>
      </c>
      <c r="P819" s="5" t="str">
        <f t="shared" si="20"/>
        <v>The datastream containing mesures of field Saraain Baalbeck by sensor 36231669 which measures Soil Temperature.</v>
      </c>
      <c r="Q819" s="5" t="s">
        <v>653</v>
      </c>
    </row>
    <row r="820" spans="1:17" ht="12.75">
      <c r="A820" s="5" t="s">
        <v>402</v>
      </c>
      <c r="B820" s="5" t="s">
        <v>1436</v>
      </c>
      <c r="C820" s="5" t="s">
        <v>1437</v>
      </c>
      <c r="D820" s="5">
        <v>33.876611109999999</v>
      </c>
      <c r="E820" s="5">
        <v>36.049388890000003</v>
      </c>
      <c r="F820" s="5">
        <v>36231669</v>
      </c>
      <c r="G820" s="5" t="s">
        <v>1375</v>
      </c>
      <c r="H820" s="5" t="s">
        <v>1376</v>
      </c>
      <c r="I820" s="5" t="s">
        <v>1210</v>
      </c>
      <c r="J820" s="5" t="s">
        <v>1406</v>
      </c>
      <c r="K820" s="5" t="s">
        <v>662</v>
      </c>
      <c r="L820" s="5" t="str">
        <f>VLOOKUP($K820,'Property names'!$A$1:$D$100,2,FALSE)</f>
        <v>The measure of temperature of the soil.</v>
      </c>
      <c r="M820" s="5" t="str">
        <f>VLOOKUP($K820,'Property names'!$A$1:$D$100,3,FALSE)</f>
        <v>Degrees Celsius</v>
      </c>
      <c r="N820" s="5" t="str">
        <f>VLOOKUP($K820,'Property names'!$A$1:$D$100,4,FALSE)</f>
        <v>ºC</v>
      </c>
      <c r="O820" s="5" t="str">
        <f t="shared" si="19"/>
        <v>Saraain_Baalbeck_36231669_Temp_2-40cm</v>
      </c>
      <c r="P820" s="5" t="str">
        <f t="shared" si="20"/>
        <v>The datastream containing mesures of field Saraain Baalbeck by sensor 36231669 which measures Soil Temperature.</v>
      </c>
      <c r="Q820" s="5" t="s">
        <v>653</v>
      </c>
    </row>
    <row r="821" spans="1:17" ht="12.75">
      <c r="A821" s="5" t="s">
        <v>402</v>
      </c>
      <c r="B821" s="5" t="s">
        <v>1436</v>
      </c>
      <c r="C821" s="5" t="s">
        <v>1437</v>
      </c>
      <c r="D821" s="5">
        <v>33.876611109999999</v>
      </c>
      <c r="E821" s="5">
        <v>36.049388890000003</v>
      </c>
      <c r="F821" s="5">
        <v>36231669</v>
      </c>
      <c r="G821" s="5" t="s">
        <v>1375</v>
      </c>
      <c r="H821" s="5" t="s">
        <v>1376</v>
      </c>
      <c r="I821" s="5" t="s">
        <v>1210</v>
      </c>
      <c r="J821" s="5" t="s">
        <v>1407</v>
      </c>
      <c r="K821" s="5" t="s">
        <v>662</v>
      </c>
      <c r="L821" s="5" t="str">
        <f>VLOOKUP($K821,'Property names'!$A$1:$D$100,2,FALSE)</f>
        <v>The measure of temperature of the soil.</v>
      </c>
      <c r="M821" s="5" t="str">
        <f>VLOOKUP($K821,'Property names'!$A$1:$D$100,3,FALSE)</f>
        <v>Degrees Celsius</v>
      </c>
      <c r="N821" s="5" t="str">
        <f>VLOOKUP($K821,'Property names'!$A$1:$D$100,4,FALSE)</f>
        <v>ºC</v>
      </c>
      <c r="O821" s="5" t="str">
        <f t="shared" si="19"/>
        <v>Saraain_Baalbeck_36231669_Temp_2-60cm</v>
      </c>
      <c r="P821" s="5" t="str">
        <f t="shared" si="20"/>
        <v>The datastream containing mesures of field Saraain Baalbeck by sensor 36231669 which measures Soil Temperature.</v>
      </c>
      <c r="Q821" s="5" t="s">
        <v>653</v>
      </c>
    </row>
    <row r="822" spans="1:17" ht="12.75">
      <c r="A822" s="5" t="s">
        <v>402</v>
      </c>
      <c r="B822" s="5" t="s">
        <v>1436</v>
      </c>
      <c r="C822" s="5" t="s">
        <v>1437</v>
      </c>
      <c r="D822" s="5">
        <v>33.876611109999999</v>
      </c>
      <c r="E822" s="5">
        <v>36.049388890000003</v>
      </c>
      <c r="F822" s="5">
        <v>36231669</v>
      </c>
      <c r="G822" s="5" t="s">
        <v>1375</v>
      </c>
      <c r="H822" s="5" t="s">
        <v>1376</v>
      </c>
      <c r="I822" s="5" t="s">
        <v>1210</v>
      </c>
      <c r="J822" s="5" t="s">
        <v>1408</v>
      </c>
      <c r="K822" s="5" t="s">
        <v>662</v>
      </c>
      <c r="L822" s="5" t="str">
        <f>VLOOKUP($K822,'Property names'!$A$1:$D$100,2,FALSE)</f>
        <v>The measure of temperature of the soil.</v>
      </c>
      <c r="M822" s="5" t="str">
        <f>VLOOKUP($K822,'Property names'!$A$1:$D$100,3,FALSE)</f>
        <v>Degrees Celsius</v>
      </c>
      <c r="N822" s="5" t="str">
        <f>VLOOKUP($K822,'Property names'!$A$1:$D$100,4,FALSE)</f>
        <v>ºC</v>
      </c>
      <c r="O822" s="5" t="str">
        <f t="shared" si="19"/>
        <v>Saraain_Baalbeck_36231669_Temp_2-80cm</v>
      </c>
      <c r="P822" s="5" t="str">
        <f t="shared" si="20"/>
        <v>The datastream containing mesures of field Saraain Baalbeck by sensor 36231669 which measures Soil Temperature.</v>
      </c>
      <c r="Q822" s="5" t="s">
        <v>653</v>
      </c>
    </row>
    <row r="823" spans="1:17" ht="12.75">
      <c r="A823" s="5" t="s">
        <v>402</v>
      </c>
      <c r="B823" s="5" t="s">
        <v>1436</v>
      </c>
      <c r="C823" s="5" t="s">
        <v>1437</v>
      </c>
      <c r="D823" s="5">
        <v>33.876611109999999</v>
      </c>
      <c r="E823" s="5">
        <v>36.049388890000003</v>
      </c>
      <c r="F823" s="5">
        <v>36231669</v>
      </c>
      <c r="G823" s="5" t="s">
        <v>1375</v>
      </c>
      <c r="H823" s="5" t="s">
        <v>1376</v>
      </c>
      <c r="I823" s="5" t="s">
        <v>1210</v>
      </c>
      <c r="J823" s="5" t="s">
        <v>1409</v>
      </c>
      <c r="K823" s="5" t="s">
        <v>662</v>
      </c>
      <c r="L823" s="5" t="str">
        <f>VLOOKUP($K823,'Property names'!$A$1:$D$100,2,FALSE)</f>
        <v>The measure of temperature of the soil.</v>
      </c>
      <c r="M823" s="5" t="str">
        <f>VLOOKUP($K823,'Property names'!$A$1:$D$100,3,FALSE)</f>
        <v>Degrees Celsius</v>
      </c>
      <c r="N823" s="5" t="str">
        <f>VLOOKUP($K823,'Property names'!$A$1:$D$100,4,FALSE)</f>
        <v>ºC</v>
      </c>
      <c r="O823" s="5" t="str">
        <f t="shared" si="19"/>
        <v>Saraain_Baalbeck_36231669_Temp_2-100cm</v>
      </c>
      <c r="P823" s="5" t="str">
        <f t="shared" si="20"/>
        <v>The datastream containing mesures of field Saraain Baalbeck by sensor 36231669 which measures Soil Temperature.</v>
      </c>
      <c r="Q823" s="5" t="s">
        <v>653</v>
      </c>
    </row>
    <row r="824" spans="1:17" ht="12.75">
      <c r="A824" s="5" t="s">
        <v>402</v>
      </c>
      <c r="B824" s="5" t="s">
        <v>1436</v>
      </c>
      <c r="C824" s="5" t="s">
        <v>1437</v>
      </c>
      <c r="D824" s="5">
        <v>33.876611109999999</v>
      </c>
      <c r="E824" s="5">
        <v>36.049388890000003</v>
      </c>
      <c r="F824" s="5">
        <v>36231669</v>
      </c>
      <c r="G824" s="5" t="s">
        <v>1375</v>
      </c>
      <c r="H824" s="5" t="s">
        <v>1376</v>
      </c>
      <c r="I824" s="5" t="s">
        <v>1210</v>
      </c>
      <c r="J824" s="5" t="s">
        <v>1410</v>
      </c>
      <c r="K824" s="5" t="s">
        <v>662</v>
      </c>
      <c r="L824" s="5" t="str">
        <f>VLOOKUP($K824,'Property names'!$A$1:$D$100,2,FALSE)</f>
        <v>The measure of temperature of the soil.</v>
      </c>
      <c r="M824" s="5" t="str">
        <f>VLOOKUP($K824,'Property names'!$A$1:$D$100,3,FALSE)</f>
        <v>Degrees Celsius</v>
      </c>
      <c r="N824" s="5" t="str">
        <f>VLOOKUP($K824,'Property names'!$A$1:$D$100,4,FALSE)</f>
        <v>ºC</v>
      </c>
      <c r="O824" s="5" t="str">
        <f t="shared" si="19"/>
        <v>Saraain_Baalbeck_36231669_Temp_2-120cm</v>
      </c>
      <c r="P824" s="5" t="str">
        <f t="shared" si="20"/>
        <v>The datastream containing mesures of field Saraain Baalbeck by sensor 36231669 which measures Soil Temperature.</v>
      </c>
      <c r="Q824" s="5" t="s">
        <v>653</v>
      </c>
    </row>
    <row r="825" spans="1:17" ht="12.75">
      <c r="A825" s="5" t="s">
        <v>402</v>
      </c>
      <c r="B825" s="5" t="s">
        <v>1436</v>
      </c>
      <c r="C825" s="5" t="s">
        <v>1437</v>
      </c>
      <c r="D825" s="5">
        <v>33.876611109999999</v>
      </c>
      <c r="E825" s="5">
        <v>36.049388890000003</v>
      </c>
      <c r="F825" s="5">
        <v>36231669</v>
      </c>
      <c r="G825" s="5" t="s">
        <v>1375</v>
      </c>
      <c r="H825" s="5" t="s">
        <v>1376</v>
      </c>
      <c r="I825" s="5" t="s">
        <v>1210</v>
      </c>
      <c r="J825" s="5" t="s">
        <v>1411</v>
      </c>
      <c r="K825" s="5" t="s">
        <v>662</v>
      </c>
      <c r="L825" s="5" t="str">
        <f>VLOOKUP($K825,'Property names'!$A$1:$D$100,2,FALSE)</f>
        <v>The measure of temperature of the soil.</v>
      </c>
      <c r="M825" s="5" t="str">
        <f>VLOOKUP($K825,'Property names'!$A$1:$D$100,3,FALSE)</f>
        <v>Degrees Celsius</v>
      </c>
      <c r="N825" s="5" t="str">
        <f>VLOOKUP($K825,'Property names'!$A$1:$D$100,4,FALSE)</f>
        <v>ºC</v>
      </c>
      <c r="O825" s="5" t="str">
        <f t="shared" si="19"/>
        <v>Saraain_Baalbeck_36231669_Temp_2-140cm</v>
      </c>
      <c r="P825" s="5" t="str">
        <f t="shared" si="20"/>
        <v>The datastream containing mesures of field Saraain Baalbeck by sensor 36231669 which measures Soil Temperature.</v>
      </c>
      <c r="Q825" s="5" t="s">
        <v>653</v>
      </c>
    </row>
    <row r="826" spans="1:17" ht="12.75">
      <c r="A826" s="5" t="s">
        <v>402</v>
      </c>
      <c r="B826" s="5" t="s">
        <v>1436</v>
      </c>
      <c r="C826" s="5" t="s">
        <v>1437</v>
      </c>
      <c r="D826" s="5">
        <v>33.876611109999999</v>
      </c>
      <c r="E826" s="5">
        <v>36.049388890000003</v>
      </c>
      <c r="F826" s="5">
        <v>36231669</v>
      </c>
      <c r="G826" s="5" t="s">
        <v>1375</v>
      </c>
      <c r="H826" s="5" t="s">
        <v>1376</v>
      </c>
      <c r="I826" s="5" t="s">
        <v>1210</v>
      </c>
      <c r="J826" s="5" t="s">
        <v>1412</v>
      </c>
      <c r="K826" s="5" t="s">
        <v>662</v>
      </c>
      <c r="L826" s="5" t="str">
        <f>VLOOKUP($K826,'Property names'!$A$1:$D$100,2,FALSE)</f>
        <v>The measure of temperature of the soil.</v>
      </c>
      <c r="M826" s="5" t="str">
        <f>VLOOKUP($K826,'Property names'!$A$1:$D$100,3,FALSE)</f>
        <v>Degrees Celsius</v>
      </c>
      <c r="N826" s="5" t="str">
        <f>VLOOKUP($K826,'Property names'!$A$1:$D$100,4,FALSE)</f>
        <v>ºC</v>
      </c>
      <c r="O826" s="5" t="str">
        <f t="shared" si="19"/>
        <v>Saraain_Baalbeck_36231669_Temp_2-160cm</v>
      </c>
      <c r="P826" s="5" t="str">
        <f t="shared" si="20"/>
        <v>The datastream containing mesures of field Saraain Baalbeck by sensor 36231669 which measures Soil Temperature.</v>
      </c>
      <c r="Q826" s="5" t="s">
        <v>653</v>
      </c>
    </row>
    <row r="827" spans="1:17" ht="12.75">
      <c r="A827" s="5" t="s">
        <v>402</v>
      </c>
      <c r="B827" s="5" t="s">
        <v>1436</v>
      </c>
      <c r="C827" s="5" t="s">
        <v>1437</v>
      </c>
      <c r="D827" s="5">
        <v>33.876611109999999</v>
      </c>
      <c r="E827" s="5">
        <v>36.049388890000003</v>
      </c>
      <c r="F827" s="5">
        <v>36231669</v>
      </c>
      <c r="G827" s="5" t="s">
        <v>1375</v>
      </c>
      <c r="H827" s="5" t="s">
        <v>1376</v>
      </c>
      <c r="I827" s="5" t="s">
        <v>1210</v>
      </c>
      <c r="J827" s="5" t="s">
        <v>1413</v>
      </c>
      <c r="K827" s="5" t="s">
        <v>660</v>
      </c>
      <c r="L827" s="5" t="str">
        <f>VLOOKUP($K827,'Property names'!$A$1:$D$100,2,FALSE)</f>
        <v>The amount of moisture present in the soil, often expressed as a percentage of the maximum amount the soil could hold at a given temperature.</v>
      </c>
      <c r="M827" s="5" t="str">
        <f>VLOOKUP($K827,'Property names'!$A$1:$D$100,3,FALSE)</f>
        <v>Percentage</v>
      </c>
      <c r="N827" s="5" t="str">
        <f>VLOOKUP($K827,'Property names'!$A$1:$D$100,4,FALSE)</f>
        <v>%</v>
      </c>
      <c r="O827" s="5" t="str">
        <f t="shared" si="19"/>
        <v>Saraain_Baalbeck_36231669_VWC_3-10cm</v>
      </c>
      <c r="P827" s="5" t="str">
        <f t="shared" si="20"/>
        <v>The datastream containing mesures of field Saraain Baalbeck by sensor 36231669 which measures Soil Moisture.</v>
      </c>
      <c r="Q827" s="5" t="s">
        <v>653</v>
      </c>
    </row>
    <row r="828" spans="1:17" ht="12.75">
      <c r="A828" s="5" t="s">
        <v>402</v>
      </c>
      <c r="B828" s="5" t="s">
        <v>1436</v>
      </c>
      <c r="C828" s="5" t="s">
        <v>1437</v>
      </c>
      <c r="D828" s="5">
        <v>33.876611109999999</v>
      </c>
      <c r="E828" s="5">
        <v>36.049388890000003</v>
      </c>
      <c r="F828" s="5">
        <v>36231669</v>
      </c>
      <c r="G828" s="5" t="s">
        <v>1375</v>
      </c>
      <c r="H828" s="5" t="s">
        <v>1376</v>
      </c>
      <c r="I828" s="5" t="s">
        <v>1210</v>
      </c>
      <c r="J828" s="5" t="s">
        <v>1414</v>
      </c>
      <c r="K828" s="5" t="s">
        <v>660</v>
      </c>
      <c r="L828" s="5" t="str">
        <f>VLOOKUP($K828,'Property names'!$A$1:$D$100,2,FALSE)</f>
        <v>The amount of moisture present in the soil, often expressed as a percentage of the maximum amount the soil could hold at a given temperature.</v>
      </c>
      <c r="M828" s="5" t="str">
        <f>VLOOKUP($K828,'Property names'!$A$1:$D$100,3,FALSE)</f>
        <v>Percentage</v>
      </c>
      <c r="N828" s="5" t="str">
        <f>VLOOKUP($K828,'Property names'!$A$1:$D$100,4,FALSE)</f>
        <v>%</v>
      </c>
      <c r="O828" s="5" t="str">
        <f t="shared" si="19"/>
        <v>Saraain_Baalbeck_36231669_VWC_3-20cm</v>
      </c>
      <c r="P828" s="5" t="str">
        <f t="shared" si="20"/>
        <v>The datastream containing mesures of field Saraain Baalbeck by sensor 36231669 which measures Soil Moisture.</v>
      </c>
      <c r="Q828" s="5" t="s">
        <v>653</v>
      </c>
    </row>
    <row r="829" spans="1:17" ht="12.75">
      <c r="A829" s="5" t="s">
        <v>402</v>
      </c>
      <c r="B829" s="5" t="s">
        <v>1436</v>
      </c>
      <c r="C829" s="5" t="s">
        <v>1437</v>
      </c>
      <c r="D829" s="5">
        <v>33.876611109999999</v>
      </c>
      <c r="E829" s="5">
        <v>36.049388890000003</v>
      </c>
      <c r="F829" s="5">
        <v>36231669</v>
      </c>
      <c r="G829" s="5" t="s">
        <v>1375</v>
      </c>
      <c r="H829" s="5" t="s">
        <v>1376</v>
      </c>
      <c r="I829" s="5" t="s">
        <v>1210</v>
      </c>
      <c r="J829" s="5" t="s">
        <v>1415</v>
      </c>
      <c r="K829" s="5" t="s">
        <v>660</v>
      </c>
      <c r="L829" s="5" t="str">
        <f>VLOOKUP($K829,'Property names'!$A$1:$D$100,2,FALSE)</f>
        <v>The amount of moisture present in the soil, often expressed as a percentage of the maximum amount the soil could hold at a given temperature.</v>
      </c>
      <c r="M829" s="5" t="str">
        <f>VLOOKUP($K829,'Property names'!$A$1:$D$100,3,FALSE)</f>
        <v>Percentage</v>
      </c>
      <c r="N829" s="5" t="str">
        <f>VLOOKUP($K829,'Property names'!$A$1:$D$100,4,FALSE)</f>
        <v>%</v>
      </c>
      <c r="O829" s="5" t="str">
        <f t="shared" si="19"/>
        <v>Saraain_Baalbeck_36231669_VWC_3-40cm</v>
      </c>
      <c r="P829" s="5" t="str">
        <f t="shared" si="20"/>
        <v>The datastream containing mesures of field Saraain Baalbeck by sensor 36231669 which measures Soil Moisture.</v>
      </c>
      <c r="Q829" s="5" t="s">
        <v>653</v>
      </c>
    </row>
    <row r="830" spans="1:17" ht="12.75">
      <c r="A830" s="5" t="s">
        <v>402</v>
      </c>
      <c r="B830" s="5" t="s">
        <v>1436</v>
      </c>
      <c r="C830" s="5" t="s">
        <v>1437</v>
      </c>
      <c r="D830" s="5">
        <v>33.876611109999999</v>
      </c>
      <c r="E830" s="5">
        <v>36.049388890000003</v>
      </c>
      <c r="F830" s="5">
        <v>36231669</v>
      </c>
      <c r="G830" s="5" t="s">
        <v>1375</v>
      </c>
      <c r="H830" s="5" t="s">
        <v>1376</v>
      </c>
      <c r="I830" s="5" t="s">
        <v>1210</v>
      </c>
      <c r="J830" s="5" t="s">
        <v>1416</v>
      </c>
      <c r="K830" s="5" t="s">
        <v>660</v>
      </c>
      <c r="L830" s="5" t="str">
        <f>VLOOKUP($K830,'Property names'!$A$1:$D$100,2,FALSE)</f>
        <v>The amount of moisture present in the soil, often expressed as a percentage of the maximum amount the soil could hold at a given temperature.</v>
      </c>
      <c r="M830" s="5" t="str">
        <f>VLOOKUP($K830,'Property names'!$A$1:$D$100,3,FALSE)</f>
        <v>Percentage</v>
      </c>
      <c r="N830" s="5" t="str">
        <f>VLOOKUP($K830,'Property names'!$A$1:$D$100,4,FALSE)</f>
        <v>%</v>
      </c>
      <c r="O830" s="5" t="str">
        <f t="shared" si="19"/>
        <v>Saraain_Baalbeck_36231669_VWC_3-60cm</v>
      </c>
      <c r="P830" s="5" t="str">
        <f t="shared" si="20"/>
        <v>The datastream containing mesures of field Saraain Baalbeck by sensor 36231669 which measures Soil Moisture.</v>
      </c>
      <c r="Q830" s="5" t="s">
        <v>653</v>
      </c>
    </row>
    <row r="831" spans="1:17" ht="12.75">
      <c r="A831" s="5" t="s">
        <v>402</v>
      </c>
      <c r="B831" s="5" t="s">
        <v>1436</v>
      </c>
      <c r="C831" s="5" t="s">
        <v>1437</v>
      </c>
      <c r="D831" s="5">
        <v>33.876611109999999</v>
      </c>
      <c r="E831" s="5">
        <v>36.049388890000003</v>
      </c>
      <c r="F831" s="5">
        <v>36231669</v>
      </c>
      <c r="G831" s="5" t="s">
        <v>1375</v>
      </c>
      <c r="H831" s="5" t="s">
        <v>1376</v>
      </c>
      <c r="I831" s="5" t="s">
        <v>1210</v>
      </c>
      <c r="J831" s="5" t="s">
        <v>1417</v>
      </c>
      <c r="K831" s="5" t="s">
        <v>660</v>
      </c>
      <c r="L831" s="5" t="str">
        <f>VLOOKUP($K831,'Property names'!$A$1:$D$100,2,FALSE)</f>
        <v>The amount of moisture present in the soil, often expressed as a percentage of the maximum amount the soil could hold at a given temperature.</v>
      </c>
      <c r="M831" s="5" t="str">
        <f>VLOOKUP($K831,'Property names'!$A$1:$D$100,3,FALSE)</f>
        <v>Percentage</v>
      </c>
      <c r="N831" s="5" t="str">
        <f>VLOOKUP($K831,'Property names'!$A$1:$D$100,4,FALSE)</f>
        <v>%</v>
      </c>
      <c r="O831" s="5" t="str">
        <f t="shared" si="19"/>
        <v>Saraain_Baalbeck_36231669_VWC_3-80cm</v>
      </c>
      <c r="P831" s="5" t="str">
        <f t="shared" si="20"/>
        <v>The datastream containing mesures of field Saraain Baalbeck by sensor 36231669 which measures Soil Moisture.</v>
      </c>
      <c r="Q831" s="5" t="s">
        <v>653</v>
      </c>
    </row>
    <row r="832" spans="1:17" ht="12.75">
      <c r="A832" s="5" t="s">
        <v>402</v>
      </c>
      <c r="B832" s="5" t="s">
        <v>1436</v>
      </c>
      <c r="C832" s="5" t="s">
        <v>1437</v>
      </c>
      <c r="D832" s="5">
        <v>33.876611109999999</v>
      </c>
      <c r="E832" s="5">
        <v>36.049388890000003</v>
      </c>
      <c r="F832" s="5">
        <v>36231669</v>
      </c>
      <c r="G832" s="5" t="s">
        <v>1375</v>
      </c>
      <c r="H832" s="5" t="s">
        <v>1376</v>
      </c>
      <c r="I832" s="5" t="s">
        <v>1210</v>
      </c>
      <c r="J832" s="5" t="s">
        <v>1418</v>
      </c>
      <c r="K832" s="5" t="s">
        <v>660</v>
      </c>
      <c r="L832" s="5" t="str">
        <f>VLOOKUP($K832,'Property names'!$A$1:$D$100,2,FALSE)</f>
        <v>The amount of moisture present in the soil, often expressed as a percentage of the maximum amount the soil could hold at a given temperature.</v>
      </c>
      <c r="M832" s="5" t="str">
        <f>VLOOKUP($K832,'Property names'!$A$1:$D$100,3,FALSE)</f>
        <v>Percentage</v>
      </c>
      <c r="N832" s="5" t="str">
        <f>VLOOKUP($K832,'Property names'!$A$1:$D$100,4,FALSE)</f>
        <v>%</v>
      </c>
      <c r="O832" s="5" t="str">
        <f t="shared" si="19"/>
        <v>Saraain_Baalbeck_36231669_VWC_3-100cm</v>
      </c>
      <c r="P832" s="5" t="str">
        <f t="shared" si="20"/>
        <v>The datastream containing mesures of field Saraain Baalbeck by sensor 36231669 which measures Soil Moisture.</v>
      </c>
      <c r="Q832" s="5" t="s">
        <v>653</v>
      </c>
    </row>
    <row r="833" spans="1:17" ht="12.75">
      <c r="A833" s="5" t="s">
        <v>402</v>
      </c>
      <c r="B833" s="5" t="s">
        <v>1436</v>
      </c>
      <c r="C833" s="5" t="s">
        <v>1437</v>
      </c>
      <c r="D833" s="5">
        <v>33.876611109999999</v>
      </c>
      <c r="E833" s="5">
        <v>36.049388890000003</v>
      </c>
      <c r="F833" s="5">
        <v>36231669</v>
      </c>
      <c r="G833" s="5" t="s">
        <v>1375</v>
      </c>
      <c r="H833" s="5" t="s">
        <v>1376</v>
      </c>
      <c r="I833" s="5" t="s">
        <v>1210</v>
      </c>
      <c r="J833" s="5" t="s">
        <v>1419</v>
      </c>
      <c r="K833" s="5" t="s">
        <v>660</v>
      </c>
      <c r="L833" s="5" t="str">
        <f>VLOOKUP($K833,'Property names'!$A$1:$D$100,2,FALSE)</f>
        <v>The amount of moisture present in the soil, often expressed as a percentage of the maximum amount the soil could hold at a given temperature.</v>
      </c>
      <c r="M833" s="5" t="str">
        <f>VLOOKUP($K833,'Property names'!$A$1:$D$100,3,FALSE)</f>
        <v>Percentage</v>
      </c>
      <c r="N833" s="5" t="str">
        <f>VLOOKUP($K833,'Property names'!$A$1:$D$100,4,FALSE)</f>
        <v>%</v>
      </c>
      <c r="O833" s="5" t="str">
        <f t="shared" si="19"/>
        <v>Saraain_Baalbeck_36231669_VWC_3-120cm</v>
      </c>
      <c r="P833" s="5" t="str">
        <f t="shared" si="20"/>
        <v>The datastream containing mesures of field Saraain Baalbeck by sensor 36231669 which measures Soil Moisture.</v>
      </c>
      <c r="Q833" s="5" t="s">
        <v>653</v>
      </c>
    </row>
    <row r="834" spans="1:17" ht="12.75">
      <c r="A834" s="5" t="s">
        <v>402</v>
      </c>
      <c r="B834" s="5" t="s">
        <v>1436</v>
      </c>
      <c r="C834" s="5" t="s">
        <v>1437</v>
      </c>
      <c r="D834" s="5">
        <v>33.876611109999999</v>
      </c>
      <c r="E834" s="5">
        <v>36.049388890000003</v>
      </c>
      <c r="F834" s="5">
        <v>36231669</v>
      </c>
      <c r="G834" s="5" t="s">
        <v>1375</v>
      </c>
      <c r="H834" s="5" t="s">
        <v>1376</v>
      </c>
      <c r="I834" s="5" t="s">
        <v>1210</v>
      </c>
      <c r="J834" s="5" t="s">
        <v>1420</v>
      </c>
      <c r="K834" s="5" t="s">
        <v>660</v>
      </c>
      <c r="L834" s="5" t="str">
        <f>VLOOKUP($K834,'Property names'!$A$1:$D$100,2,FALSE)</f>
        <v>The amount of moisture present in the soil, often expressed as a percentage of the maximum amount the soil could hold at a given temperature.</v>
      </c>
      <c r="M834" s="5" t="str">
        <f>VLOOKUP($K834,'Property names'!$A$1:$D$100,3,FALSE)</f>
        <v>Percentage</v>
      </c>
      <c r="N834" s="5" t="str">
        <f>VLOOKUP($K834,'Property names'!$A$1:$D$100,4,FALSE)</f>
        <v>%</v>
      </c>
      <c r="O834" s="5" t="str">
        <f t="shared" si="19"/>
        <v>Saraain_Baalbeck_36231669_VWC_3-140cm</v>
      </c>
      <c r="P834" s="5" t="str">
        <f t="shared" si="20"/>
        <v>The datastream containing mesures of field Saraain Baalbeck by sensor 36231669 which measures Soil Moisture.</v>
      </c>
      <c r="Q834" s="5" t="s">
        <v>653</v>
      </c>
    </row>
    <row r="835" spans="1:17" ht="12.75">
      <c r="A835" s="5" t="s">
        <v>402</v>
      </c>
      <c r="B835" s="5" t="s">
        <v>1436</v>
      </c>
      <c r="C835" s="5" t="s">
        <v>1437</v>
      </c>
      <c r="D835" s="5">
        <v>33.876611109999999</v>
      </c>
      <c r="E835" s="5">
        <v>36.049388890000003</v>
      </c>
      <c r="F835" s="5">
        <v>36231669</v>
      </c>
      <c r="G835" s="5" t="s">
        <v>1375</v>
      </c>
      <c r="H835" s="5" t="s">
        <v>1376</v>
      </c>
      <c r="I835" s="5" t="s">
        <v>1210</v>
      </c>
      <c r="J835" s="5" t="s">
        <v>1421</v>
      </c>
      <c r="K835" s="5" t="s">
        <v>660</v>
      </c>
      <c r="L835" s="5" t="str">
        <f>VLOOKUP($K835,'Property names'!$A$1:$D$100,2,FALSE)</f>
        <v>The amount of moisture present in the soil, often expressed as a percentage of the maximum amount the soil could hold at a given temperature.</v>
      </c>
      <c r="M835" s="5" t="str">
        <f>VLOOKUP($K835,'Property names'!$A$1:$D$100,3,FALSE)</f>
        <v>Percentage</v>
      </c>
      <c r="N835" s="5" t="str">
        <f>VLOOKUP($K835,'Property names'!$A$1:$D$100,4,FALSE)</f>
        <v>%</v>
      </c>
      <c r="O835" s="5" t="str">
        <f t="shared" si="19"/>
        <v>Saraain_Baalbeck_36231669_VWC_3-160cm</v>
      </c>
      <c r="P835" s="5" t="str">
        <f t="shared" si="20"/>
        <v>The datastream containing mesures of field Saraain Baalbeck by sensor 36231669 which measures Soil Moisture.</v>
      </c>
      <c r="Q835" s="5" t="s">
        <v>653</v>
      </c>
    </row>
    <row r="836" spans="1:17" ht="12.75">
      <c r="A836" s="5" t="s">
        <v>402</v>
      </c>
      <c r="B836" s="5" t="s">
        <v>1436</v>
      </c>
      <c r="C836" s="5" t="s">
        <v>1437</v>
      </c>
      <c r="D836" s="5">
        <v>33.876611109999999</v>
      </c>
      <c r="E836" s="5">
        <v>36.049388890000003</v>
      </c>
      <c r="F836" s="5">
        <v>36231669</v>
      </c>
      <c r="G836" s="5" t="s">
        <v>1375</v>
      </c>
      <c r="H836" s="5" t="s">
        <v>1376</v>
      </c>
      <c r="I836" s="5" t="s">
        <v>1210</v>
      </c>
      <c r="J836" s="5" t="s">
        <v>1422</v>
      </c>
      <c r="K836" s="5" t="s">
        <v>662</v>
      </c>
      <c r="L836" s="5" t="str">
        <f>VLOOKUP($K836,'Property names'!$A$1:$D$100,2,FALSE)</f>
        <v>The measure of temperature of the soil.</v>
      </c>
      <c r="M836" s="5" t="str">
        <f>VLOOKUP($K836,'Property names'!$A$1:$D$100,3,FALSE)</f>
        <v>Degrees Celsius</v>
      </c>
      <c r="N836" s="5" t="str">
        <f>VLOOKUP($K836,'Property names'!$A$1:$D$100,4,FALSE)</f>
        <v>ºC</v>
      </c>
      <c r="O836" s="5" t="str">
        <f t="shared" si="19"/>
        <v>Saraain_Baalbeck_36231669_Temp_3-10cm</v>
      </c>
      <c r="P836" s="5" t="str">
        <f t="shared" si="20"/>
        <v>The datastream containing mesures of field Saraain Baalbeck by sensor 36231669 which measures Soil Temperature.</v>
      </c>
      <c r="Q836" s="5" t="s">
        <v>653</v>
      </c>
    </row>
    <row r="837" spans="1:17" ht="12.75">
      <c r="A837" s="5" t="s">
        <v>402</v>
      </c>
      <c r="B837" s="5" t="s">
        <v>1436</v>
      </c>
      <c r="C837" s="5" t="s">
        <v>1437</v>
      </c>
      <c r="D837" s="5">
        <v>33.876611109999999</v>
      </c>
      <c r="E837" s="5">
        <v>36.049388890000003</v>
      </c>
      <c r="F837" s="5">
        <v>36231669</v>
      </c>
      <c r="G837" s="5" t="s">
        <v>1375</v>
      </c>
      <c r="H837" s="5" t="s">
        <v>1376</v>
      </c>
      <c r="I837" s="5" t="s">
        <v>1210</v>
      </c>
      <c r="J837" s="5" t="s">
        <v>1423</v>
      </c>
      <c r="K837" s="5" t="s">
        <v>662</v>
      </c>
      <c r="L837" s="5" t="str">
        <f>VLOOKUP($K837,'Property names'!$A$1:$D$100,2,FALSE)</f>
        <v>The measure of temperature of the soil.</v>
      </c>
      <c r="M837" s="5" t="str">
        <f>VLOOKUP($K837,'Property names'!$A$1:$D$100,3,FALSE)</f>
        <v>Degrees Celsius</v>
      </c>
      <c r="N837" s="5" t="str">
        <f>VLOOKUP($K837,'Property names'!$A$1:$D$100,4,FALSE)</f>
        <v>ºC</v>
      </c>
      <c r="O837" s="5" t="str">
        <f t="shared" si="19"/>
        <v>Saraain_Baalbeck_36231669_Temp_3-20cm</v>
      </c>
      <c r="P837" s="5" t="str">
        <f t="shared" si="20"/>
        <v>The datastream containing mesures of field Saraain Baalbeck by sensor 36231669 which measures Soil Temperature.</v>
      </c>
      <c r="Q837" s="5" t="s">
        <v>653</v>
      </c>
    </row>
    <row r="838" spans="1:17" ht="12.75">
      <c r="A838" s="5" t="s">
        <v>402</v>
      </c>
      <c r="B838" s="5" t="s">
        <v>1436</v>
      </c>
      <c r="C838" s="5" t="s">
        <v>1437</v>
      </c>
      <c r="D838" s="5">
        <v>33.876611109999999</v>
      </c>
      <c r="E838" s="5">
        <v>36.049388890000003</v>
      </c>
      <c r="F838" s="5">
        <v>36231669</v>
      </c>
      <c r="G838" s="5" t="s">
        <v>1375</v>
      </c>
      <c r="H838" s="5" t="s">
        <v>1376</v>
      </c>
      <c r="I838" s="5" t="s">
        <v>1210</v>
      </c>
      <c r="J838" s="5" t="s">
        <v>1424</v>
      </c>
      <c r="K838" s="5" t="s">
        <v>662</v>
      </c>
      <c r="L838" s="5" t="str">
        <f>VLOOKUP($K838,'Property names'!$A$1:$D$100,2,FALSE)</f>
        <v>The measure of temperature of the soil.</v>
      </c>
      <c r="M838" s="5" t="str">
        <f>VLOOKUP($K838,'Property names'!$A$1:$D$100,3,FALSE)</f>
        <v>Degrees Celsius</v>
      </c>
      <c r="N838" s="5" t="str">
        <f>VLOOKUP($K838,'Property names'!$A$1:$D$100,4,FALSE)</f>
        <v>ºC</v>
      </c>
      <c r="O838" s="5" t="str">
        <f t="shared" si="19"/>
        <v>Saraain_Baalbeck_36231669_Temp_3-40cm</v>
      </c>
      <c r="P838" s="5" t="str">
        <f t="shared" si="20"/>
        <v>The datastream containing mesures of field Saraain Baalbeck by sensor 36231669 which measures Soil Temperature.</v>
      </c>
      <c r="Q838" s="5" t="s">
        <v>653</v>
      </c>
    </row>
    <row r="839" spans="1:17" ht="12.75">
      <c r="A839" s="5" t="s">
        <v>402</v>
      </c>
      <c r="B839" s="5" t="s">
        <v>1436</v>
      </c>
      <c r="C839" s="5" t="s">
        <v>1437</v>
      </c>
      <c r="D839" s="5">
        <v>33.876611109999999</v>
      </c>
      <c r="E839" s="5">
        <v>36.049388890000003</v>
      </c>
      <c r="F839" s="5">
        <v>36231669</v>
      </c>
      <c r="G839" s="5" t="s">
        <v>1375</v>
      </c>
      <c r="H839" s="5" t="s">
        <v>1376</v>
      </c>
      <c r="I839" s="5" t="s">
        <v>1210</v>
      </c>
      <c r="J839" s="5" t="s">
        <v>1425</v>
      </c>
      <c r="K839" s="5" t="s">
        <v>662</v>
      </c>
      <c r="L839" s="5" t="str">
        <f>VLOOKUP($K839,'Property names'!$A$1:$D$100,2,FALSE)</f>
        <v>The measure of temperature of the soil.</v>
      </c>
      <c r="M839" s="5" t="str">
        <f>VLOOKUP($K839,'Property names'!$A$1:$D$100,3,FALSE)</f>
        <v>Degrees Celsius</v>
      </c>
      <c r="N839" s="5" t="str">
        <f>VLOOKUP($K839,'Property names'!$A$1:$D$100,4,FALSE)</f>
        <v>ºC</v>
      </c>
      <c r="O839" s="5" t="str">
        <f t="shared" si="19"/>
        <v>Saraain_Baalbeck_36231669_Temp_3-60cm</v>
      </c>
      <c r="P839" s="5" t="str">
        <f t="shared" si="20"/>
        <v>The datastream containing mesures of field Saraain Baalbeck by sensor 36231669 which measures Soil Temperature.</v>
      </c>
      <c r="Q839" s="5" t="s">
        <v>653</v>
      </c>
    </row>
    <row r="840" spans="1:17" ht="12.75">
      <c r="A840" s="5" t="s">
        <v>402</v>
      </c>
      <c r="B840" s="5" t="s">
        <v>1436</v>
      </c>
      <c r="C840" s="5" t="s">
        <v>1437</v>
      </c>
      <c r="D840" s="5">
        <v>33.876611109999999</v>
      </c>
      <c r="E840" s="5">
        <v>36.049388890000003</v>
      </c>
      <c r="F840" s="5">
        <v>36231669</v>
      </c>
      <c r="G840" s="5" t="s">
        <v>1375</v>
      </c>
      <c r="H840" s="5" t="s">
        <v>1376</v>
      </c>
      <c r="I840" s="5" t="s">
        <v>1210</v>
      </c>
      <c r="J840" s="5" t="s">
        <v>1426</v>
      </c>
      <c r="K840" s="5" t="s">
        <v>662</v>
      </c>
      <c r="L840" s="5" t="str">
        <f>VLOOKUP($K840,'Property names'!$A$1:$D$100,2,FALSE)</f>
        <v>The measure of temperature of the soil.</v>
      </c>
      <c r="M840" s="5" t="str">
        <f>VLOOKUP($K840,'Property names'!$A$1:$D$100,3,FALSE)</f>
        <v>Degrees Celsius</v>
      </c>
      <c r="N840" s="5" t="str">
        <f>VLOOKUP($K840,'Property names'!$A$1:$D$100,4,FALSE)</f>
        <v>ºC</v>
      </c>
      <c r="O840" s="5" t="str">
        <f t="shared" si="19"/>
        <v>Saraain_Baalbeck_36231669_Temp_3-80cm</v>
      </c>
      <c r="P840" s="5" t="str">
        <f t="shared" si="20"/>
        <v>The datastream containing mesures of field Saraain Baalbeck by sensor 36231669 which measures Soil Temperature.</v>
      </c>
      <c r="Q840" s="5" t="s">
        <v>653</v>
      </c>
    </row>
    <row r="841" spans="1:17" ht="12.75">
      <c r="A841" s="5" t="s">
        <v>402</v>
      </c>
      <c r="B841" s="5" t="s">
        <v>1436</v>
      </c>
      <c r="C841" s="5" t="s">
        <v>1437</v>
      </c>
      <c r="D841" s="5">
        <v>33.876611109999999</v>
      </c>
      <c r="E841" s="5">
        <v>36.049388890000003</v>
      </c>
      <c r="F841" s="5">
        <v>36231669</v>
      </c>
      <c r="G841" s="5" t="s">
        <v>1375</v>
      </c>
      <c r="H841" s="5" t="s">
        <v>1376</v>
      </c>
      <c r="I841" s="5" t="s">
        <v>1210</v>
      </c>
      <c r="J841" s="5" t="s">
        <v>1427</v>
      </c>
      <c r="K841" s="5" t="s">
        <v>662</v>
      </c>
      <c r="L841" s="5" t="str">
        <f>VLOOKUP($K841,'Property names'!$A$1:$D$100,2,FALSE)</f>
        <v>The measure of temperature of the soil.</v>
      </c>
      <c r="M841" s="5" t="str">
        <f>VLOOKUP($K841,'Property names'!$A$1:$D$100,3,FALSE)</f>
        <v>Degrees Celsius</v>
      </c>
      <c r="N841" s="5" t="str">
        <f>VLOOKUP($K841,'Property names'!$A$1:$D$100,4,FALSE)</f>
        <v>ºC</v>
      </c>
      <c r="O841" s="5" t="str">
        <f t="shared" si="19"/>
        <v>Saraain_Baalbeck_36231669_Temp_3-100cm</v>
      </c>
      <c r="P841" s="5" t="str">
        <f t="shared" si="20"/>
        <v>The datastream containing mesures of field Saraain Baalbeck by sensor 36231669 which measures Soil Temperature.</v>
      </c>
      <c r="Q841" s="5" t="s">
        <v>653</v>
      </c>
    </row>
    <row r="842" spans="1:17" ht="12.75">
      <c r="A842" s="5" t="s">
        <v>402</v>
      </c>
      <c r="B842" s="5" t="s">
        <v>1436</v>
      </c>
      <c r="C842" s="5" t="s">
        <v>1437</v>
      </c>
      <c r="D842" s="5">
        <v>33.876611109999999</v>
      </c>
      <c r="E842" s="5">
        <v>36.049388890000003</v>
      </c>
      <c r="F842" s="5">
        <v>36231669</v>
      </c>
      <c r="G842" s="5" t="s">
        <v>1375</v>
      </c>
      <c r="H842" s="5" t="s">
        <v>1376</v>
      </c>
      <c r="I842" s="5" t="s">
        <v>1210</v>
      </c>
      <c r="J842" s="5" t="s">
        <v>1428</v>
      </c>
      <c r="K842" s="5" t="s">
        <v>662</v>
      </c>
      <c r="L842" s="5" t="str">
        <f>VLOOKUP($K842,'Property names'!$A$1:$D$100,2,FALSE)</f>
        <v>The measure of temperature of the soil.</v>
      </c>
      <c r="M842" s="5" t="str">
        <f>VLOOKUP($K842,'Property names'!$A$1:$D$100,3,FALSE)</f>
        <v>Degrees Celsius</v>
      </c>
      <c r="N842" s="5" t="str">
        <f>VLOOKUP($K842,'Property names'!$A$1:$D$100,4,FALSE)</f>
        <v>ºC</v>
      </c>
      <c r="O842" s="5" t="str">
        <f t="shared" si="19"/>
        <v>Saraain_Baalbeck_36231669_Temp_3-120cm</v>
      </c>
      <c r="P842" s="5" t="str">
        <f t="shared" si="20"/>
        <v>The datastream containing mesures of field Saraain Baalbeck by sensor 36231669 which measures Soil Temperature.</v>
      </c>
      <c r="Q842" s="5" t="s">
        <v>653</v>
      </c>
    </row>
    <row r="843" spans="1:17" ht="12.75">
      <c r="A843" s="5" t="s">
        <v>402</v>
      </c>
      <c r="B843" s="5" t="s">
        <v>1436</v>
      </c>
      <c r="C843" s="5" t="s">
        <v>1437</v>
      </c>
      <c r="D843" s="5">
        <v>33.876611109999999</v>
      </c>
      <c r="E843" s="5">
        <v>36.049388890000003</v>
      </c>
      <c r="F843" s="5">
        <v>36231669</v>
      </c>
      <c r="G843" s="5" t="s">
        <v>1375</v>
      </c>
      <c r="H843" s="5" t="s">
        <v>1376</v>
      </c>
      <c r="I843" s="5" t="s">
        <v>1210</v>
      </c>
      <c r="J843" s="5" t="s">
        <v>1429</v>
      </c>
      <c r="K843" s="5" t="s">
        <v>662</v>
      </c>
      <c r="L843" s="5" t="str">
        <f>VLOOKUP($K843,'Property names'!$A$1:$D$100,2,FALSE)</f>
        <v>The measure of temperature of the soil.</v>
      </c>
      <c r="M843" s="5" t="str">
        <f>VLOOKUP($K843,'Property names'!$A$1:$D$100,3,FALSE)</f>
        <v>Degrees Celsius</v>
      </c>
      <c r="N843" s="5" t="str">
        <f>VLOOKUP($K843,'Property names'!$A$1:$D$100,4,FALSE)</f>
        <v>ºC</v>
      </c>
      <c r="O843" s="5" t="str">
        <f t="shared" si="19"/>
        <v>Saraain_Baalbeck_36231669_Temp_3-140cm</v>
      </c>
      <c r="P843" s="5" t="str">
        <f t="shared" si="20"/>
        <v>The datastream containing mesures of field Saraain Baalbeck by sensor 36231669 which measures Soil Temperature.</v>
      </c>
      <c r="Q843" s="5" t="s">
        <v>653</v>
      </c>
    </row>
    <row r="844" spans="1:17" ht="12.75">
      <c r="A844" s="5" t="s">
        <v>402</v>
      </c>
      <c r="B844" s="5" t="s">
        <v>1436</v>
      </c>
      <c r="C844" s="5" t="s">
        <v>1437</v>
      </c>
      <c r="D844" s="5">
        <v>33.876611109999999</v>
      </c>
      <c r="E844" s="5">
        <v>36.049388890000003</v>
      </c>
      <c r="F844" s="5">
        <v>36231669</v>
      </c>
      <c r="G844" s="5" t="s">
        <v>1375</v>
      </c>
      <c r="H844" s="5" t="s">
        <v>1376</v>
      </c>
      <c r="I844" s="5" t="s">
        <v>1210</v>
      </c>
      <c r="J844" s="5" t="s">
        <v>1430</v>
      </c>
      <c r="K844" s="5" t="s">
        <v>662</v>
      </c>
      <c r="L844" s="5" t="str">
        <f>VLOOKUP($K844,'Property names'!$A$1:$D$100,2,FALSE)</f>
        <v>The measure of temperature of the soil.</v>
      </c>
      <c r="M844" s="5" t="str">
        <f>VLOOKUP($K844,'Property names'!$A$1:$D$100,3,FALSE)</f>
        <v>Degrees Celsius</v>
      </c>
      <c r="N844" s="5" t="str">
        <f>VLOOKUP($K844,'Property names'!$A$1:$D$100,4,FALSE)</f>
        <v>ºC</v>
      </c>
      <c r="O844" s="5" t="str">
        <f t="shared" si="19"/>
        <v>Saraain_Baalbeck_36231669_Temp_3-160cm</v>
      </c>
      <c r="P844" s="5" t="str">
        <f t="shared" si="20"/>
        <v>The datastream containing mesures of field Saraain Baalbeck by sensor 36231669 which measures Soil Temperature.</v>
      </c>
      <c r="Q844" s="5" t="s">
        <v>653</v>
      </c>
    </row>
    <row r="845" spans="1:17" ht="12.75">
      <c r="A845" s="5" t="s">
        <v>402</v>
      </c>
      <c r="B845" s="5" t="s">
        <v>1436</v>
      </c>
      <c r="C845" s="5" t="s">
        <v>1437</v>
      </c>
      <c r="D845" s="5">
        <v>33.876611109999999</v>
      </c>
      <c r="E845" s="5">
        <v>36.049388890000003</v>
      </c>
      <c r="F845" s="5">
        <v>36231669</v>
      </c>
      <c r="G845" s="5" t="s">
        <v>1375</v>
      </c>
      <c r="H845" s="5" t="s">
        <v>1376</v>
      </c>
      <c r="I845" s="5" t="s">
        <v>1210</v>
      </c>
      <c r="J845" s="5" t="s">
        <v>1431</v>
      </c>
      <c r="K845" s="5" t="s">
        <v>665</v>
      </c>
      <c r="L845" s="5" t="str">
        <f>VLOOKUP($K845,'Property names'!$A$1:$D$100,2,FALSE)</f>
        <v>The percentage of battery level associated to the specific sensor.</v>
      </c>
      <c r="M845" s="5" t="str">
        <f>VLOOKUP($K845,'Property names'!$A$1:$D$100,3,FALSE)</f>
        <v>Percentage</v>
      </c>
      <c r="N845" s="5" t="str">
        <f>VLOOKUP($K845,'Property names'!$A$1:$D$100,4,FALSE)</f>
        <v>%</v>
      </c>
      <c r="O845" s="5" t="str">
        <f t="shared" si="19"/>
        <v>Saraain_Baalbeck_36231669_Battery_V</v>
      </c>
      <c r="P845" s="5" t="str">
        <f t="shared" si="20"/>
        <v>The datastream containing mesures of field Saraain Baalbeck by sensor 36231669 which measures Battery Level.</v>
      </c>
      <c r="Q845" s="5" t="s">
        <v>653</v>
      </c>
    </row>
    <row r="846" spans="1:17" ht="12.75">
      <c r="A846" s="5" t="s">
        <v>402</v>
      </c>
      <c r="B846" s="5" t="s">
        <v>1436</v>
      </c>
      <c r="C846" s="5" t="s">
        <v>1437</v>
      </c>
      <c r="D846" s="5">
        <v>33.876611109999999</v>
      </c>
      <c r="E846" s="5">
        <v>36.049388890000003</v>
      </c>
      <c r="F846" s="5">
        <v>36231669</v>
      </c>
      <c r="G846" s="5" t="s">
        <v>1375</v>
      </c>
      <c r="H846" s="5" t="s">
        <v>1376</v>
      </c>
      <c r="I846" s="5" t="s">
        <v>1210</v>
      </c>
      <c r="J846" s="5" t="s">
        <v>1432</v>
      </c>
      <c r="K846" s="5" t="s">
        <v>709</v>
      </c>
      <c r="L846" s="5" t="str">
        <f>VLOOKUP($K846,'Property names'!$A$1:$D$100,2,FALSE)</f>
        <v>Energy from the sun in the form of electromagnetic waves.</v>
      </c>
      <c r="M846" s="5" t="str">
        <f>VLOOKUP($K846,'Property names'!$A$1:$D$100,3,FALSE)</f>
        <v>Watts per square meter</v>
      </c>
      <c r="N846" s="5" t="str">
        <f>VLOOKUP($K846,'Property names'!$A$1:$D$100,4,FALSE)</f>
        <v>W/m²</v>
      </c>
      <c r="O846" s="5" t="str">
        <f t="shared" si="19"/>
        <v>Saraain_Baalbeck_36231669_Solar_V</v>
      </c>
      <c r="P846" s="5" t="str">
        <f t="shared" si="20"/>
        <v>The datastream containing mesures of field Saraain Baalbeck by sensor 36231669 which measures Solar Radiation.</v>
      </c>
      <c r="Q846" s="5" t="s">
        <v>653</v>
      </c>
    </row>
    <row r="847" spans="1:17" ht="12.75">
      <c r="A847" s="5" t="s">
        <v>402</v>
      </c>
      <c r="B847" s="5" t="s">
        <v>1436</v>
      </c>
      <c r="C847" s="5" t="s">
        <v>1437</v>
      </c>
      <c r="D847" s="5">
        <v>33.876611109999999</v>
      </c>
      <c r="E847" s="5">
        <v>36.049388890000003</v>
      </c>
      <c r="F847" s="5">
        <v>36231669</v>
      </c>
      <c r="G847" s="5" t="s">
        <v>1375</v>
      </c>
      <c r="H847" s="5" t="s">
        <v>1376</v>
      </c>
      <c r="I847" s="5" t="s">
        <v>1210</v>
      </c>
      <c r="J847" s="5" t="s">
        <v>1433</v>
      </c>
      <c r="K847" s="5" t="s">
        <v>1433</v>
      </c>
      <c r="L847" s="5" t="str">
        <f>VLOOKUP($K847,'Property names'!$A$1:$D$100,2,FALSE)</f>
        <v>-</v>
      </c>
      <c r="M847" s="5" t="str">
        <f>VLOOKUP($K847,'Property names'!$A$1:$D$100,3,FALSE)</f>
        <v>-</v>
      </c>
      <c r="N847" s="5" t="str">
        <f>VLOOKUP($K847,'Property names'!$A$1:$D$100,4,FALSE)</f>
        <v>-</v>
      </c>
      <c r="O847" s="5" t="str">
        <f t="shared" si="19"/>
        <v>Saraain_Baalbeck_36231669_CSQ</v>
      </c>
      <c r="P847" s="5" t="str">
        <f t="shared" si="20"/>
        <v>The datastream containing mesures of field Saraain Baalbeck by sensor 36231669 which measures CSQ.</v>
      </c>
      <c r="Q847" s="5" t="s">
        <v>653</v>
      </c>
    </row>
    <row r="848" spans="1:17" ht="12.75">
      <c r="A848" s="5" t="s">
        <v>402</v>
      </c>
      <c r="B848" s="5" t="s">
        <v>1438</v>
      </c>
      <c r="C848" s="5" t="s">
        <v>1439</v>
      </c>
      <c r="D848" s="5">
        <v>34.121555559999997</v>
      </c>
      <c r="E848" s="5">
        <v>36.03352778</v>
      </c>
      <c r="F848" s="5">
        <v>36231672</v>
      </c>
      <c r="G848" s="5" t="s">
        <v>1440</v>
      </c>
      <c r="H848" s="5" t="s">
        <v>1376</v>
      </c>
      <c r="I848" s="5" t="s">
        <v>1210</v>
      </c>
      <c r="J848" s="5" t="s">
        <v>297</v>
      </c>
      <c r="K848" s="5" t="s">
        <v>487</v>
      </c>
      <c r="L848" s="5" t="str">
        <f>VLOOKUP($K848,'Property names'!$A$1:$D$100,2,FALSE)</f>
        <v>The continuous movement of water in a particular direction.</v>
      </c>
      <c r="M848" s="5" t="str">
        <f>VLOOKUP($K848,'Property names'!$A$1:$D$100,3,FALSE)</f>
        <v>Cubic meters per second</v>
      </c>
      <c r="N848" s="5" t="str">
        <f>VLOOKUP($K848,'Property names'!$A$1:$D$100,4,FALSE)</f>
        <v>m^3/s</v>
      </c>
      <c r="O848" s="5" t="str">
        <f t="shared" ref="O848:O859" si="21">SUBSTITUTE(CONCATENATE(B848,"_",F848,"_",J848)," ","_")</f>
        <v>Yammouneh_Lake_36231672_Water_level</v>
      </c>
      <c r="P848" s="5" t="str">
        <f t="shared" ref="P848:P859" si="22">CONCATENATE("The datastream containing mesures of field ",B848," by sensor ",F848," which measures ",K848,".")</f>
        <v>The datastream containing mesures of field Yammouneh Lake by sensor 36231672 which measures Water Flow.</v>
      </c>
      <c r="Q848" s="5" t="s">
        <v>1269</v>
      </c>
    </row>
    <row r="849" spans="1:17" ht="12.75">
      <c r="A849" s="5" t="s">
        <v>402</v>
      </c>
      <c r="B849" s="5" t="s">
        <v>1438</v>
      </c>
      <c r="C849" s="5" t="s">
        <v>1439</v>
      </c>
      <c r="D849" s="5">
        <v>34.121555559999997</v>
      </c>
      <c r="E849" s="5">
        <v>36.03352778</v>
      </c>
      <c r="F849" s="5">
        <v>36231672</v>
      </c>
      <c r="G849" s="5" t="s">
        <v>1440</v>
      </c>
      <c r="H849" s="5" t="s">
        <v>1376</v>
      </c>
      <c r="I849" s="5" t="s">
        <v>1210</v>
      </c>
      <c r="J849" s="5" t="s">
        <v>1441</v>
      </c>
      <c r="K849" s="5" t="s">
        <v>1442</v>
      </c>
      <c r="L849" s="5" t="str">
        <f>VLOOKUP($K849,'Property names'!$A$1:$D$100,2,FALSE)</f>
        <v>Unknown</v>
      </c>
      <c r="M849" s="5" t="str">
        <f>VLOOKUP($K849,'Property names'!$A$1:$D$100,3,FALSE)</f>
        <v>-</v>
      </c>
      <c r="N849" s="5" t="str">
        <f>VLOOKUP($K849,'Property names'!$A$1:$D$100,4,FALSE)</f>
        <v>-</v>
      </c>
      <c r="O849" s="5" t="str">
        <f t="shared" si="21"/>
        <v>Yammouneh_Lake_36231672_Velocity</v>
      </c>
      <c r="P849" s="5" t="str">
        <f t="shared" si="22"/>
        <v>The datastream containing mesures of field Yammouneh Lake by sensor 36231672 which measures Unknown.</v>
      </c>
      <c r="Q849" s="5" t="s">
        <v>1269</v>
      </c>
    </row>
    <row r="850" spans="1:17" ht="12.75">
      <c r="A850" s="5" t="s">
        <v>402</v>
      </c>
      <c r="B850" s="5" t="s">
        <v>1438</v>
      </c>
      <c r="C850" s="5" t="s">
        <v>1439</v>
      </c>
      <c r="D850" s="5">
        <v>34.121555559999997</v>
      </c>
      <c r="E850" s="5">
        <v>36.03352778</v>
      </c>
      <c r="F850" s="5">
        <v>36231672</v>
      </c>
      <c r="G850" s="5" t="s">
        <v>1440</v>
      </c>
      <c r="H850" s="5" t="s">
        <v>1376</v>
      </c>
      <c r="I850" s="5" t="s">
        <v>1210</v>
      </c>
      <c r="J850" s="5" t="s">
        <v>1443</v>
      </c>
      <c r="K850" s="5" t="s">
        <v>1442</v>
      </c>
      <c r="L850" s="5" t="str">
        <f>VLOOKUP($K850,'Property names'!$A$1:$D$100,2,FALSE)</f>
        <v>Unknown</v>
      </c>
      <c r="M850" s="5" t="str">
        <f>VLOOKUP($K850,'Property names'!$A$1:$D$100,3,FALSE)</f>
        <v>-</v>
      </c>
      <c r="N850" s="5" t="str">
        <f>VLOOKUP($K850,'Property names'!$A$1:$D$100,4,FALSE)</f>
        <v>-</v>
      </c>
      <c r="O850" s="5" t="str">
        <f t="shared" si="21"/>
        <v>Yammouneh_Lake_36231672_Quality_(SNR)</v>
      </c>
      <c r="P850" s="5" t="str">
        <f t="shared" si="22"/>
        <v>The datastream containing mesures of field Yammouneh Lake by sensor 36231672 which measures Unknown.</v>
      </c>
      <c r="Q850" s="5" t="s">
        <v>1269</v>
      </c>
    </row>
    <row r="851" spans="1:17" ht="12.75">
      <c r="A851" s="5" t="s">
        <v>402</v>
      </c>
      <c r="B851" s="5" t="s">
        <v>1438</v>
      </c>
      <c r="C851" s="5" t="s">
        <v>1439</v>
      </c>
      <c r="D851" s="5">
        <v>34.121555559999997</v>
      </c>
      <c r="E851" s="5">
        <v>36.03352778</v>
      </c>
      <c r="F851" s="5">
        <v>36231672</v>
      </c>
      <c r="G851" s="5" t="s">
        <v>1440</v>
      </c>
      <c r="H851" s="5" t="s">
        <v>1376</v>
      </c>
      <c r="I851" s="5" t="s">
        <v>1210</v>
      </c>
      <c r="J851" s="5" t="s">
        <v>1444</v>
      </c>
      <c r="K851" s="5" t="s">
        <v>487</v>
      </c>
      <c r="L851" s="5" t="str">
        <f>VLOOKUP($K851,'Property names'!$A$1:$D$100,2,FALSE)</f>
        <v>The continuous movement of water in a particular direction.</v>
      </c>
      <c r="M851" s="5" t="str">
        <f>VLOOKUP($K851,'Property names'!$A$1:$D$100,3,FALSE)</f>
        <v>Cubic meters per second</v>
      </c>
      <c r="N851" s="5" t="str">
        <f>VLOOKUP($K851,'Property names'!$A$1:$D$100,4,FALSE)</f>
        <v>m^3/s</v>
      </c>
      <c r="O851" s="5" t="str">
        <f t="shared" si="21"/>
        <v>Yammouneh_Lake_36231672_Flow</v>
      </c>
      <c r="P851" s="5" t="str">
        <f t="shared" si="22"/>
        <v>The datastream containing mesures of field Yammouneh Lake by sensor 36231672 which measures Water Flow.</v>
      </c>
      <c r="Q851" s="5" t="s">
        <v>1269</v>
      </c>
    </row>
    <row r="852" spans="1:17" ht="12.75">
      <c r="A852" s="5" t="s">
        <v>402</v>
      </c>
      <c r="B852" s="5" t="s">
        <v>1438</v>
      </c>
      <c r="C852" s="5" t="s">
        <v>1439</v>
      </c>
      <c r="D852" s="5">
        <v>34.121555559999997</v>
      </c>
      <c r="E852" s="5">
        <v>36.03352778</v>
      </c>
      <c r="F852" s="5">
        <v>36231672</v>
      </c>
      <c r="G852" s="5" t="s">
        <v>1440</v>
      </c>
      <c r="H852" s="5" t="s">
        <v>1376</v>
      </c>
      <c r="I852" s="5" t="s">
        <v>1210</v>
      </c>
      <c r="J852" s="5" t="s">
        <v>1445</v>
      </c>
      <c r="K852" s="5" t="s">
        <v>487</v>
      </c>
      <c r="L852" s="5" t="str">
        <f>VLOOKUP($K852,'Property names'!$A$1:$D$100,2,FALSE)</f>
        <v>The continuous movement of water in a particular direction.</v>
      </c>
      <c r="M852" s="5" t="str">
        <f>VLOOKUP($K852,'Property names'!$A$1:$D$100,3,FALSE)</f>
        <v>Cubic meters per second</v>
      </c>
      <c r="N852" s="5" t="str">
        <f>VLOOKUP($K852,'Property names'!$A$1:$D$100,4,FALSE)</f>
        <v>m^3/s</v>
      </c>
      <c r="O852" s="5" t="str">
        <f t="shared" si="21"/>
        <v>Yammouneh_Lake_36231672_Total_flow</v>
      </c>
      <c r="P852" s="5" t="str">
        <f t="shared" si="22"/>
        <v>The datastream containing mesures of field Yammouneh Lake by sensor 36231672 which measures Water Flow.</v>
      </c>
      <c r="Q852" s="5" t="s">
        <v>1269</v>
      </c>
    </row>
    <row r="853" spans="1:17" ht="12.75">
      <c r="A853" s="5" t="s">
        <v>402</v>
      </c>
      <c r="B853" s="5" t="s">
        <v>1438</v>
      </c>
      <c r="C853" s="5" t="s">
        <v>1439</v>
      </c>
      <c r="D853" s="5">
        <v>34.121555559999997</v>
      </c>
      <c r="E853" s="5">
        <v>36.03352778</v>
      </c>
      <c r="F853" s="5">
        <v>36231672</v>
      </c>
      <c r="G853" s="5" t="s">
        <v>1440</v>
      </c>
      <c r="H853" s="5" t="s">
        <v>1376</v>
      </c>
      <c r="I853" s="5" t="s">
        <v>1210</v>
      </c>
      <c r="J853" s="5" t="s">
        <v>1446</v>
      </c>
      <c r="K853" s="5" t="s">
        <v>1442</v>
      </c>
      <c r="L853" s="5" t="str">
        <f>VLOOKUP($K853,'Property names'!$A$1:$D$100,2,FALSE)</f>
        <v>Unknown</v>
      </c>
      <c r="M853" s="5" t="str">
        <f>VLOOKUP($K853,'Property names'!$A$1:$D$100,3,FALSE)</f>
        <v>-</v>
      </c>
      <c r="N853" s="5" t="str">
        <f>VLOOKUP($K853,'Property names'!$A$1:$D$100,4,FALSE)</f>
        <v>-</v>
      </c>
      <c r="O853" s="5" t="str">
        <f t="shared" si="21"/>
        <v>Yammouneh_Lake_36231672_Learned_velocity</v>
      </c>
      <c r="P853" s="5" t="str">
        <f t="shared" si="22"/>
        <v>The datastream containing mesures of field Yammouneh Lake by sensor 36231672 which measures Unknown.</v>
      </c>
      <c r="Q853" s="5" t="s">
        <v>1269</v>
      </c>
    </row>
    <row r="854" spans="1:17" ht="12.75">
      <c r="A854" s="5" t="s">
        <v>402</v>
      </c>
      <c r="B854" s="5" t="s">
        <v>1438</v>
      </c>
      <c r="C854" s="5" t="s">
        <v>1439</v>
      </c>
      <c r="D854" s="5">
        <v>34.121555559999997</v>
      </c>
      <c r="E854" s="5">
        <v>36.03352778</v>
      </c>
      <c r="F854" s="5">
        <v>36231672</v>
      </c>
      <c r="G854" s="5" t="s">
        <v>1440</v>
      </c>
      <c r="H854" s="5" t="s">
        <v>1376</v>
      </c>
      <c r="I854" s="5" t="s">
        <v>1210</v>
      </c>
      <c r="J854" s="5" t="s">
        <v>1447</v>
      </c>
      <c r="K854" s="5" t="s">
        <v>487</v>
      </c>
      <c r="L854" s="5" t="str">
        <f>VLOOKUP($K854,'Property names'!$A$1:$D$100,2,FALSE)</f>
        <v>The continuous movement of water in a particular direction.</v>
      </c>
      <c r="M854" s="5" t="str">
        <f>VLOOKUP($K854,'Property names'!$A$1:$D$100,3,FALSE)</f>
        <v>Cubic meters per second</v>
      </c>
      <c r="N854" s="5" t="str">
        <f>VLOOKUP($K854,'Property names'!$A$1:$D$100,4,FALSE)</f>
        <v>m^3/s</v>
      </c>
      <c r="O854" s="5" t="str">
        <f t="shared" si="21"/>
        <v>Yammouneh_Lake_36231672_Learned_flow</v>
      </c>
      <c r="P854" s="5" t="str">
        <f t="shared" si="22"/>
        <v>The datastream containing mesures of field Yammouneh Lake by sensor 36231672 which measures Water Flow.</v>
      </c>
      <c r="Q854" s="5" t="s">
        <v>1269</v>
      </c>
    </row>
    <row r="855" spans="1:17" ht="12.75">
      <c r="A855" s="5" t="s">
        <v>402</v>
      </c>
      <c r="B855" s="5" t="s">
        <v>1438</v>
      </c>
      <c r="C855" s="5" t="s">
        <v>1439</v>
      </c>
      <c r="D855" s="5">
        <v>34.121555559999997</v>
      </c>
      <c r="E855" s="5">
        <v>36.03352778</v>
      </c>
      <c r="F855" s="5">
        <v>36231672</v>
      </c>
      <c r="G855" s="5" t="s">
        <v>1440</v>
      </c>
      <c r="H855" s="5" t="s">
        <v>1376</v>
      </c>
      <c r="I855" s="5" t="s">
        <v>1210</v>
      </c>
      <c r="J855" s="5" t="s">
        <v>1448</v>
      </c>
      <c r="K855" s="5" t="s">
        <v>1230</v>
      </c>
      <c r="L855" s="5" t="str">
        <f>VLOOKUP($K855,'Property names'!$A$1:$D$100,2,FALSE)</f>
        <v>The compass direction from which the wind is blowing.</v>
      </c>
      <c r="M855" s="5" t="str">
        <f>VLOOKUP($K855,'Property names'!$A$1:$D$100,3,FALSE)</f>
        <v>Degrees</v>
      </c>
      <c r="N855" s="5" t="str">
        <f>VLOOKUP($K855,'Property names'!$A$1:$D$100,4,FALSE)</f>
        <v>º</v>
      </c>
      <c r="O855" s="5" t="str">
        <f t="shared" si="21"/>
        <v>Yammouneh_Lake_36231672_Op._direction</v>
      </c>
      <c r="P855" s="5" t="str">
        <f t="shared" si="22"/>
        <v>The datastream containing mesures of field Yammouneh Lake by sensor 36231672 which measures Wind Direction.</v>
      </c>
      <c r="Q855" s="5" t="s">
        <v>1269</v>
      </c>
    </row>
    <row r="856" spans="1:17" ht="12.75">
      <c r="A856" s="5" t="s">
        <v>402</v>
      </c>
      <c r="B856" s="5" t="s">
        <v>1438</v>
      </c>
      <c r="C856" s="5" t="s">
        <v>1439</v>
      </c>
      <c r="D856" s="5">
        <v>34.121555559999997</v>
      </c>
      <c r="E856" s="5">
        <v>36.03352778</v>
      </c>
      <c r="F856" s="5">
        <v>36231672</v>
      </c>
      <c r="G856" s="5" t="s">
        <v>1440</v>
      </c>
      <c r="H856" s="5" t="s">
        <v>1376</v>
      </c>
      <c r="I856" s="5" t="s">
        <v>1210</v>
      </c>
      <c r="J856" s="5" t="s">
        <v>1449</v>
      </c>
      <c r="K856" s="5" t="s">
        <v>692</v>
      </c>
      <c r="L856" s="5" t="str">
        <f>VLOOKUP($K856,'Property names'!$A$1:$D$100,2,FALSE)</f>
        <v>The electrical potential in a battery, indicating its charge level.</v>
      </c>
      <c r="M856" s="5" t="str">
        <f>VLOOKUP($K856,'Property names'!$A$1:$D$100,3,FALSE)</f>
        <v>Millivolts</v>
      </c>
      <c r="N856" s="5" t="str">
        <f>VLOOKUP($K856,'Property names'!$A$1:$D$100,4,FALSE)</f>
        <v>mV</v>
      </c>
      <c r="O856" s="5" t="str">
        <f t="shared" si="21"/>
        <v>Yammouneh_Lake_36231672_Battery_voltage</v>
      </c>
      <c r="P856" s="5" t="str">
        <f t="shared" si="22"/>
        <v>The datastream containing mesures of field Yammouneh Lake by sensor 36231672 which measures Battery Voltage.</v>
      </c>
      <c r="Q856" s="5" t="s">
        <v>1269</v>
      </c>
    </row>
    <row r="857" spans="1:17" ht="12.75">
      <c r="A857" s="5" t="s">
        <v>402</v>
      </c>
      <c r="B857" s="5" t="s">
        <v>1438</v>
      </c>
      <c r="C857" s="5" t="s">
        <v>1439</v>
      </c>
      <c r="D857" s="5">
        <v>34.121555559999997</v>
      </c>
      <c r="E857" s="5">
        <v>36.03352778</v>
      </c>
      <c r="F857" s="5">
        <v>36231672</v>
      </c>
      <c r="G857" s="5" t="s">
        <v>1440</v>
      </c>
      <c r="H857" s="5" t="s">
        <v>1376</v>
      </c>
      <c r="I857" s="5" t="s">
        <v>1210</v>
      </c>
      <c r="J857" s="5" t="s">
        <v>1450</v>
      </c>
      <c r="K857" s="5" t="s">
        <v>709</v>
      </c>
      <c r="L857" s="5" t="str">
        <f>VLOOKUP($K857,'Property names'!$A$1:$D$100,2,FALSE)</f>
        <v>Energy from the sun in the form of electromagnetic waves.</v>
      </c>
      <c r="M857" s="5" t="str">
        <f>VLOOKUP($K857,'Property names'!$A$1:$D$100,3,FALSE)</f>
        <v>Watts per square meter</v>
      </c>
      <c r="N857" s="5" t="str">
        <f>VLOOKUP($K857,'Property names'!$A$1:$D$100,4,FALSE)</f>
        <v>W/m²</v>
      </c>
      <c r="O857" s="5" t="str">
        <f t="shared" si="21"/>
        <v>Yammouneh_Lake_36231672_Solar_voltage</v>
      </c>
      <c r="P857" s="5" t="str">
        <f t="shared" si="22"/>
        <v>The datastream containing mesures of field Yammouneh Lake by sensor 36231672 which measures Solar Radiation.</v>
      </c>
      <c r="Q857" s="5" t="s">
        <v>1269</v>
      </c>
    </row>
    <row r="858" spans="1:17" ht="12.75">
      <c r="A858" s="5" t="s">
        <v>402</v>
      </c>
      <c r="B858" s="5" t="s">
        <v>1438</v>
      </c>
      <c r="C858" s="5" t="s">
        <v>1439</v>
      </c>
      <c r="D858" s="5">
        <v>34.121555559999997</v>
      </c>
      <c r="E858" s="5">
        <v>36.03352778</v>
      </c>
      <c r="F858" s="5">
        <v>36231672</v>
      </c>
      <c r="G858" s="5" t="s">
        <v>1440</v>
      </c>
      <c r="H858" s="5" t="s">
        <v>1376</v>
      </c>
      <c r="I858" s="5" t="s">
        <v>1210</v>
      </c>
      <c r="J858" s="5" t="s">
        <v>1433</v>
      </c>
      <c r="K858" s="5" t="s">
        <v>1433</v>
      </c>
      <c r="L858" s="5" t="str">
        <f>VLOOKUP($K858,'Property names'!$A$1:$D$100,2,FALSE)</f>
        <v>-</v>
      </c>
      <c r="M858" s="5" t="str">
        <f>VLOOKUP($K858,'Property names'!$A$1:$D$100,3,FALSE)</f>
        <v>-</v>
      </c>
      <c r="N858" s="5" t="str">
        <f>VLOOKUP($K858,'Property names'!$A$1:$D$100,4,FALSE)</f>
        <v>-</v>
      </c>
      <c r="O858" s="5" t="str">
        <f t="shared" si="21"/>
        <v>Yammouneh_Lake_36231672_CSQ</v>
      </c>
      <c r="P858" s="5" t="str">
        <f t="shared" si="22"/>
        <v>The datastream containing mesures of field Yammouneh Lake by sensor 36231672 which measures CSQ.</v>
      </c>
      <c r="Q858" s="5" t="s">
        <v>1269</v>
      </c>
    </row>
    <row r="859" spans="1:17" ht="12.75">
      <c r="A859" s="5" t="s">
        <v>402</v>
      </c>
      <c r="B859" s="5" t="s">
        <v>1438</v>
      </c>
      <c r="C859" s="5" t="s">
        <v>1439</v>
      </c>
      <c r="D859" s="5">
        <v>34.121555559999997</v>
      </c>
      <c r="E859" s="5">
        <v>36.03352778</v>
      </c>
      <c r="F859" s="5">
        <v>36231672</v>
      </c>
      <c r="G859" s="5" t="s">
        <v>1440</v>
      </c>
      <c r="H859" s="5" t="s">
        <v>1376</v>
      </c>
      <c r="I859" s="5" t="s">
        <v>1210</v>
      </c>
      <c r="J859" s="5" t="s">
        <v>1451</v>
      </c>
      <c r="K859" s="5" t="s">
        <v>1442</v>
      </c>
      <c r="L859" s="5" t="str">
        <f>VLOOKUP($K859,'Property names'!$A$1:$D$100,2,FALSE)</f>
        <v>Unknown</v>
      </c>
      <c r="M859" s="5" t="str">
        <f>VLOOKUP($K859,'Property names'!$A$1:$D$100,3,FALSE)</f>
        <v>-</v>
      </c>
      <c r="N859" s="5" t="str">
        <f>VLOOKUP($K859,'Property names'!$A$1:$D$100,4,FALSE)</f>
        <v>-</v>
      </c>
      <c r="O859" s="5" t="str">
        <f t="shared" si="21"/>
        <v>Yammouneh_Lake_36231672_Self_check</v>
      </c>
      <c r="P859" s="5" t="str">
        <f t="shared" si="22"/>
        <v>The datastream containing mesures of field Yammouneh Lake by sensor 36231672 which measures Unknown.</v>
      </c>
      <c r="Q859" s="5" t="s">
        <v>1269</v>
      </c>
    </row>
    <row r="860" spans="1:17" ht="12.75">
      <c r="A860" s="5" t="s">
        <v>693</v>
      </c>
      <c r="B860" s="5" t="s">
        <v>1452</v>
      </c>
      <c r="C860" s="5" t="s">
        <v>1453</v>
      </c>
      <c r="D860" s="5">
        <v>40.135339999999999</v>
      </c>
      <c r="E860" s="5">
        <v>8.9132800000000003</v>
      </c>
      <c r="F860" s="5" t="s">
        <v>1454</v>
      </c>
      <c r="G860" s="5" t="s">
        <v>1455</v>
      </c>
      <c r="H860" s="5" t="s">
        <v>1456</v>
      </c>
      <c r="I860" s="5" t="s">
        <v>1210</v>
      </c>
      <c r="J860" s="5" t="s">
        <v>1457</v>
      </c>
      <c r="K860" s="5" t="s">
        <v>487</v>
      </c>
      <c r="L860" s="5" t="str">
        <f>VLOOKUP($K860,'Property names'!$A$1:$D$100,2,FALSE)</f>
        <v>The continuous movement of water in a particular direction.</v>
      </c>
      <c r="M860" s="5" t="str">
        <f>VLOOKUP($K860,'Property names'!$A$1:$D$100,3,FALSE)</f>
        <v>Cubic meters per second</v>
      </c>
      <c r="N860" s="5" t="str">
        <f>VLOOKUP($K860,'Property names'!$A$1:$D$100,4,FALSE)</f>
        <v>m^3/s</v>
      </c>
      <c r="O860" s="5" t="str">
        <f t="shared" ref="O860:O861" si="23">SUBSTITUTE(CONCATENATE(B860,"_",F860,"_",J860)," ","_")</f>
        <v>Cantoniera_Reservoir_HMS_Tirso_FLOW</v>
      </c>
      <c r="P860" s="5" t="str">
        <f t="shared" ref="P860:P861" si="24">CONCATENATE("The datastream containing mesures of field ",B860," by sensor ",F860," which measures ",K860,".")</f>
        <v>The datastream containing mesures of field Cantoniera Reservoir by sensor HMS_Tirso which measures Water Flow.</v>
      </c>
      <c r="Q860" s="5" t="s">
        <v>1269</v>
      </c>
    </row>
    <row r="861" spans="1:17" ht="12.75">
      <c r="A861" s="5" t="s">
        <v>693</v>
      </c>
      <c r="B861" s="5" t="s">
        <v>1452</v>
      </c>
      <c r="C861" s="5" t="s">
        <v>1453</v>
      </c>
      <c r="D861" s="5">
        <v>40.135339999999999</v>
      </c>
      <c r="E861" s="5">
        <v>8.9132800000000003</v>
      </c>
      <c r="F861" s="5" t="s">
        <v>1454</v>
      </c>
      <c r="G861" s="5" t="s">
        <v>1455</v>
      </c>
      <c r="H861" s="5" t="s">
        <v>1456</v>
      </c>
      <c r="I861" s="5" t="s">
        <v>1210</v>
      </c>
      <c r="J861" s="5" t="s">
        <v>1458</v>
      </c>
      <c r="K861" s="5" t="s">
        <v>1459</v>
      </c>
      <c r="L861" s="5" t="e">
        <f>VLOOKUP($K861,'Property names'!$A$1:$D$100,2,FALSE)</f>
        <v>#N/A</v>
      </c>
      <c r="M861" s="5" t="e">
        <f>VLOOKUP($K861,'Property names'!$A$1:$D$100,3,FALSE)</f>
        <v>#N/A</v>
      </c>
      <c r="N861" s="5" t="e">
        <f>VLOOKUP($K861,'Property names'!$A$1:$D$100,4,FALSE)</f>
        <v>#N/A</v>
      </c>
      <c r="O861" s="5" t="str">
        <f t="shared" si="23"/>
        <v>Cantoniera_Reservoir_HMS_Tirso_STORAGE</v>
      </c>
      <c r="P861" s="5" t="str">
        <f t="shared" si="24"/>
        <v>The datastream containing mesures of field Cantoniera Reservoir by sensor HMS_Tirso which measures Water Storage.</v>
      </c>
      <c r="Q861" s="5" t="s">
        <v>1269</v>
      </c>
    </row>
    <row r="862" spans="1:17" ht="12.75">
      <c r="A862" s="217" t="s">
        <v>248</v>
      </c>
      <c r="B862" s="26" t="s">
        <v>1460</v>
      </c>
      <c r="C862" s="26" t="s">
        <v>1461</v>
      </c>
      <c r="D862" s="218">
        <v>32.190469499999999</v>
      </c>
      <c r="E862" s="218">
        <v>35.617547199999997</v>
      </c>
      <c r="F862" s="26" t="s">
        <v>1460</v>
      </c>
      <c r="G862" s="26" t="s">
        <v>1462</v>
      </c>
      <c r="H862" s="26" t="s">
        <v>1209</v>
      </c>
      <c r="I862" s="26" t="s">
        <v>1210</v>
      </c>
      <c r="J862" s="26" t="s">
        <v>652</v>
      </c>
      <c r="K862" s="26" t="s">
        <v>652</v>
      </c>
      <c r="L862" s="26" t="str">
        <f>VLOOKUP($K862,'Property names'!$A$1:$D$99,2,FALSE)</f>
        <v>The measure of the hotness or coldness of the air.</v>
      </c>
      <c r="M862" s="26" t="str">
        <f>VLOOKUP($K862,'Property names'!$A$1:$D$99,3,FALSE)</f>
        <v>Degrees Celsius</v>
      </c>
      <c r="N862" s="26" t="str">
        <f>VLOOKUP($K862,'Property names'!$A$1:$D$99,4,FALSE)</f>
        <v>ºC</v>
      </c>
      <c r="O862" s="26" t="str">
        <f t="shared" ref="O862:O901" si="25">SUBSTITUTE(CONCATENATE(B862,"_",F862,"_",J862)," ","_")</f>
        <v>z6-19947_z6-19947_Air_Temperature</v>
      </c>
      <c r="P862" s="26" t="str">
        <f t="shared" ref="P862:P901" si="26">CONCATENATE("The datastream containing mesures of field ",B862," by sensor ",F862," which measures ",K862,".")</f>
        <v>The datastream containing mesures of field z6-19947 by sensor z6-19947 which measures Air Temperature.</v>
      </c>
      <c r="Q862" s="5" t="s">
        <v>653</v>
      </c>
    </row>
    <row r="863" spans="1:17" ht="12.75">
      <c r="A863" s="217" t="s">
        <v>248</v>
      </c>
      <c r="B863" s="26" t="s">
        <v>1460</v>
      </c>
      <c r="C863" s="26" t="s">
        <v>1461</v>
      </c>
      <c r="D863" s="218">
        <v>32.190469499999999</v>
      </c>
      <c r="E863" s="218">
        <v>35.617547199999997</v>
      </c>
      <c r="F863" s="26" t="s">
        <v>1460</v>
      </c>
      <c r="G863" s="26" t="s">
        <v>1462</v>
      </c>
      <c r="H863" s="26" t="s">
        <v>1209</v>
      </c>
      <c r="I863" s="26" t="s">
        <v>1210</v>
      </c>
      <c r="J863" s="26" t="s">
        <v>1214</v>
      </c>
      <c r="K863" s="26" t="s">
        <v>1214</v>
      </c>
      <c r="L863" s="26" t="str">
        <f>VLOOKUP($K863,'Property names'!$A$1:$D$99,2,FALSE)</f>
        <v>The force exerted by the weight of the air above a given point on Earth's surface, which can vary with changes in weather and altitude.</v>
      </c>
      <c r="M863" s="26" t="str">
        <f>VLOOKUP($K863,'Property names'!$A$1:$D$99,3,FALSE)</f>
        <v>Kilopascal</v>
      </c>
      <c r="N863" s="26" t="str">
        <f>VLOOKUP($K863,'Property names'!$A$1:$D$99,4,FALSE)</f>
        <v>kPa</v>
      </c>
      <c r="O863" s="26" t="str">
        <f t="shared" si="25"/>
        <v>z6-19947_z6-19947_Atmospheric_Pressure</v>
      </c>
      <c r="P863" s="26" t="str">
        <f t="shared" si="26"/>
        <v>The datastream containing mesures of field z6-19947 by sensor z6-19947 which measures Atmospheric Pressure.</v>
      </c>
      <c r="Q863" s="5" t="s">
        <v>653</v>
      </c>
    </row>
    <row r="864" spans="1:17" ht="12.75">
      <c r="A864" s="217" t="s">
        <v>248</v>
      </c>
      <c r="B864" s="26" t="s">
        <v>1460</v>
      </c>
      <c r="C864" s="26" t="s">
        <v>1461</v>
      </c>
      <c r="D864" s="218">
        <v>32.190469499999999</v>
      </c>
      <c r="E864" s="218">
        <v>35.617547199999997</v>
      </c>
      <c r="F864" s="26" t="s">
        <v>1460</v>
      </c>
      <c r="G864" s="26" t="s">
        <v>1462</v>
      </c>
      <c r="H864" s="26" t="s">
        <v>1209</v>
      </c>
      <c r="I864" s="26" t="s">
        <v>1210</v>
      </c>
      <c r="J864" s="26" t="s">
        <v>1463</v>
      </c>
      <c r="K864" s="26" t="s">
        <v>665</v>
      </c>
      <c r="L864" s="26" t="str">
        <f>VLOOKUP($K864,'Property names'!$A$1:$D$99,2,FALSE)</f>
        <v>The percentage of battery level associated to the specific sensor.</v>
      </c>
      <c r="M864" s="26" t="str">
        <f>VLOOKUP($K864,'Property names'!$A$1:$D$99,3,FALSE)</f>
        <v>Percentage</v>
      </c>
      <c r="N864" s="26" t="str">
        <f>VLOOKUP($K864,'Property names'!$A$1:$D$99,4,FALSE)</f>
        <v>%</v>
      </c>
      <c r="O864" s="26" t="str">
        <f t="shared" si="25"/>
        <v>z6-19947_z6-19947_Battery_Percent</v>
      </c>
      <c r="P864" s="26" t="str">
        <f t="shared" si="26"/>
        <v>The datastream containing mesures of field z6-19947 by sensor z6-19947 which measures Battery Level.</v>
      </c>
      <c r="Q864" s="5" t="s">
        <v>653</v>
      </c>
    </row>
    <row r="865" spans="1:17" ht="12.75">
      <c r="A865" s="217" t="s">
        <v>248</v>
      </c>
      <c r="B865" s="26" t="s">
        <v>1460</v>
      </c>
      <c r="C865" s="26" t="s">
        <v>1461</v>
      </c>
      <c r="D865" s="218">
        <v>32.190469499999999</v>
      </c>
      <c r="E865" s="218">
        <v>35.617547199999997</v>
      </c>
      <c r="F865" s="26" t="s">
        <v>1460</v>
      </c>
      <c r="G865" s="26" t="s">
        <v>1462</v>
      </c>
      <c r="H865" s="26" t="s">
        <v>1209</v>
      </c>
      <c r="I865" s="26" t="s">
        <v>1210</v>
      </c>
      <c r="J865" s="26" t="s">
        <v>692</v>
      </c>
      <c r="K865" s="26" t="s">
        <v>692</v>
      </c>
      <c r="L865" s="26" t="str">
        <f>VLOOKUP($K865,'Property names'!$A$1:$D$99,2,FALSE)</f>
        <v>The electrical potential in a battery, indicating its charge level.</v>
      </c>
      <c r="M865" s="26" t="str">
        <f>VLOOKUP($K865,'Property names'!$A$1:$D$99,3,FALSE)</f>
        <v>Millivolts</v>
      </c>
      <c r="N865" s="26" t="str">
        <f>VLOOKUP($K865,'Property names'!$A$1:$D$99,4,FALSE)</f>
        <v>mV</v>
      </c>
      <c r="O865" s="26" t="str">
        <f t="shared" si="25"/>
        <v>z6-19947_z6-19947_Battery_Voltage</v>
      </c>
      <c r="P865" s="26" t="str">
        <f t="shared" si="26"/>
        <v>The datastream containing mesures of field z6-19947 by sensor z6-19947 which measures Battery Voltage.</v>
      </c>
      <c r="Q865" s="5" t="s">
        <v>653</v>
      </c>
    </row>
    <row r="866" spans="1:17" ht="12.75">
      <c r="A866" s="217" t="s">
        <v>248</v>
      </c>
      <c r="B866" s="26" t="s">
        <v>1460</v>
      </c>
      <c r="C866" s="26" t="s">
        <v>1461</v>
      </c>
      <c r="D866" s="218">
        <v>32.190469499999999</v>
      </c>
      <c r="E866" s="218">
        <v>35.617547199999997</v>
      </c>
      <c r="F866" s="26" t="s">
        <v>1460</v>
      </c>
      <c r="G866" s="26" t="s">
        <v>1462</v>
      </c>
      <c r="H866" s="26" t="s">
        <v>1209</v>
      </c>
      <c r="I866" s="26" t="s">
        <v>1210</v>
      </c>
      <c r="J866" s="26" t="s">
        <v>1464</v>
      </c>
      <c r="K866" s="26" t="s">
        <v>1464</v>
      </c>
      <c r="L866" s="26" t="str">
        <f>VLOOKUP($K866,'Property names'!$A$1:$D$99,2,FALSE)</f>
        <v>The maximum sudden burst of wind speed.</v>
      </c>
      <c r="M866" s="26" t="str">
        <f>VLOOKUP($K866,'Property names'!$A$1:$D$99,3,FALSE)</f>
        <v>Meters per second</v>
      </c>
      <c r="N866" s="26" t="str">
        <f>VLOOKUP($K866,'Property names'!$A$1:$D$99,4,FALSE)</f>
        <v>m/s</v>
      </c>
      <c r="O866" s="26" t="str">
        <f t="shared" si="25"/>
        <v>z6-19947_z6-19947_Gust_Speed</v>
      </c>
      <c r="P866" s="26" t="str">
        <f t="shared" si="26"/>
        <v>The datastream containing mesures of field z6-19947 by sensor z6-19947 which measures Gust Speed.</v>
      </c>
      <c r="Q866" s="5" t="s">
        <v>653</v>
      </c>
    </row>
    <row r="867" spans="1:17" ht="12.75">
      <c r="A867" s="217" t="s">
        <v>248</v>
      </c>
      <c r="B867" s="26" t="s">
        <v>1460</v>
      </c>
      <c r="C867" s="26" t="s">
        <v>1461</v>
      </c>
      <c r="D867" s="218">
        <v>32.190469499999999</v>
      </c>
      <c r="E867" s="218">
        <v>35.617547199999997</v>
      </c>
      <c r="F867" s="26" t="s">
        <v>1460</v>
      </c>
      <c r="G867" s="26" t="s">
        <v>1462</v>
      </c>
      <c r="H867" s="26" t="s">
        <v>1209</v>
      </c>
      <c r="I867" s="26" t="s">
        <v>1210</v>
      </c>
      <c r="J867" s="26" t="s">
        <v>1465</v>
      </c>
      <c r="K867" s="26" t="s">
        <v>1465</v>
      </c>
      <c r="L867" s="26" t="str">
        <f>VLOOKUP($K867,'Property names'!$A$1:$D$99,2,FALSE)</f>
        <v>The occurrence of electrical discharges in the atmosphere, typically during thunderstorms.</v>
      </c>
      <c r="M867" s="26" t="str">
        <f>VLOOKUP($K867,'Property names'!$A$1:$D$99,3,FALSE)</f>
        <v>N/A</v>
      </c>
      <c r="N867" s="26" t="str">
        <f>VLOOKUP($K867,'Property names'!$A$1:$D$99,4,FALSE)</f>
        <v>N/A</v>
      </c>
      <c r="O867" s="26" t="str">
        <f t="shared" si="25"/>
        <v>z6-19947_z6-19947_Lightning_Activity</v>
      </c>
      <c r="P867" s="26" t="str">
        <f t="shared" si="26"/>
        <v>The datastream containing mesures of field z6-19947 by sensor z6-19947 which measures Lightning Activity.</v>
      </c>
      <c r="Q867" s="5" t="s">
        <v>653</v>
      </c>
    </row>
    <row r="868" spans="1:17" ht="12.75">
      <c r="A868" s="217" t="s">
        <v>248</v>
      </c>
      <c r="B868" s="26" t="s">
        <v>1460</v>
      </c>
      <c r="C868" s="26" t="s">
        <v>1461</v>
      </c>
      <c r="D868" s="218">
        <v>32.190469499999999</v>
      </c>
      <c r="E868" s="218">
        <v>35.617547199999997</v>
      </c>
      <c r="F868" s="26" t="s">
        <v>1460</v>
      </c>
      <c r="G868" s="26" t="s">
        <v>1462</v>
      </c>
      <c r="H868" s="26" t="s">
        <v>1209</v>
      </c>
      <c r="I868" s="26" t="s">
        <v>1210</v>
      </c>
      <c r="J868" s="26" t="s">
        <v>1466</v>
      </c>
      <c r="K868" s="26" t="s">
        <v>1466</v>
      </c>
      <c r="L868" s="26" t="str">
        <f>VLOOKUP($K868,'Property names'!$A$1:$D$99,2,FALSE)</f>
        <v>The distance from a location to the nearest lightning strike.</v>
      </c>
      <c r="M868" s="26" t="str">
        <f>VLOOKUP($K868,'Property names'!$A$1:$D$99,3,FALSE)</f>
        <v>Kilometers</v>
      </c>
      <c r="N868" s="26" t="str">
        <f>VLOOKUP($K868,'Property names'!$A$1:$D$99,4,FALSE)</f>
        <v>km</v>
      </c>
      <c r="O868" s="26" t="str">
        <f t="shared" si="25"/>
        <v>z6-19947_z6-19947_Lightning_Distance</v>
      </c>
      <c r="P868" s="26" t="str">
        <f t="shared" si="26"/>
        <v>The datastream containing mesures of field z6-19947 by sensor z6-19947 which measures Lightning Distance.</v>
      </c>
      <c r="Q868" s="5" t="s">
        <v>653</v>
      </c>
    </row>
    <row r="869" spans="1:17" ht="12.75">
      <c r="A869" s="217" t="s">
        <v>248</v>
      </c>
      <c r="B869" s="26" t="s">
        <v>1460</v>
      </c>
      <c r="C869" s="26" t="s">
        <v>1461</v>
      </c>
      <c r="D869" s="218">
        <v>32.190469499999999</v>
      </c>
      <c r="E869" s="218">
        <v>35.617547199999997</v>
      </c>
      <c r="F869" s="26" t="s">
        <v>1460</v>
      </c>
      <c r="G869" s="26" t="s">
        <v>1462</v>
      </c>
      <c r="H869" s="26" t="s">
        <v>1209</v>
      </c>
      <c r="I869" s="26" t="s">
        <v>1210</v>
      </c>
      <c r="J869" s="26" t="s">
        <v>1467</v>
      </c>
      <c r="K869" s="26" t="s">
        <v>1467</v>
      </c>
      <c r="L869" s="26" t="str">
        <f>VLOOKUP($K869,'Property names'!$A$1:$D$99,2,FALSE)</f>
        <v>The temperature measured by a data logger or recording device.</v>
      </c>
      <c r="M869" s="26" t="str">
        <f>VLOOKUP($K869,'Property names'!$A$1:$D$99,3,FALSE)</f>
        <v>Degrees Celsius</v>
      </c>
      <c r="N869" s="26" t="str">
        <f>VLOOKUP($K869,'Property names'!$A$1:$D$99,4,FALSE)</f>
        <v>ºC</v>
      </c>
      <c r="O869" s="26" t="str">
        <f t="shared" si="25"/>
        <v>z6-19947_z6-19947_Logger_Temperature</v>
      </c>
      <c r="P869" s="26" t="str">
        <f t="shared" si="26"/>
        <v>The datastream containing mesures of field z6-19947 by sensor z6-19947 which measures Logger Temperature.</v>
      </c>
      <c r="Q869" s="5" t="s">
        <v>653</v>
      </c>
    </row>
    <row r="870" spans="1:17" ht="12.75">
      <c r="A870" s="217" t="s">
        <v>248</v>
      </c>
      <c r="B870" s="26" t="s">
        <v>1460</v>
      </c>
      <c r="C870" s="26" t="s">
        <v>1461</v>
      </c>
      <c r="D870" s="218">
        <v>32.190469499999999</v>
      </c>
      <c r="E870" s="218">
        <v>35.617547199999997</v>
      </c>
      <c r="F870" s="26" t="s">
        <v>1460</v>
      </c>
      <c r="G870" s="26" t="s">
        <v>1462</v>
      </c>
      <c r="H870" s="26" t="s">
        <v>1209</v>
      </c>
      <c r="I870" s="26" t="s">
        <v>1210</v>
      </c>
      <c r="J870" s="26" t="s">
        <v>1468</v>
      </c>
      <c r="K870" s="26" t="s">
        <v>1300</v>
      </c>
      <c r="L870" s="26" t="str">
        <f>VLOOKUP($K870,'Property names'!$A$1:$D$99,2,FALSE)</f>
        <v>The highest rate at which rain or other forms of precipitation fall in a given period.</v>
      </c>
      <c r="M870" s="26" t="str">
        <f>VLOOKUP($K870,'Property names'!$A$1:$D$99,3,FALSE)</f>
        <v>Millimeters per hour</v>
      </c>
      <c r="N870" s="26" t="str">
        <f>VLOOKUP($K870,'Property names'!$A$1:$D$99,4,FALSE)</f>
        <v>mm/h</v>
      </c>
      <c r="O870" s="26" t="str">
        <f t="shared" si="25"/>
        <v>z6-19947_z6-19947_Max_Precip_Rate</v>
      </c>
      <c r="P870" s="26" t="str">
        <f t="shared" si="26"/>
        <v>The datastream containing mesures of field z6-19947 by sensor z6-19947 which measures Max Precipitation Rate.</v>
      </c>
      <c r="Q870" s="5" t="s">
        <v>653</v>
      </c>
    </row>
    <row r="871" spans="1:17" ht="12.75">
      <c r="A871" s="217" t="s">
        <v>248</v>
      </c>
      <c r="B871" s="26" t="s">
        <v>1460</v>
      </c>
      <c r="C871" s="26" t="s">
        <v>1461</v>
      </c>
      <c r="D871" s="218">
        <v>32.190469499999999</v>
      </c>
      <c r="E871" s="218">
        <v>35.617547199999997</v>
      </c>
      <c r="F871" s="26" t="s">
        <v>1460</v>
      </c>
      <c r="G871" s="26" t="s">
        <v>1462</v>
      </c>
      <c r="H871" s="26" t="s">
        <v>1209</v>
      </c>
      <c r="I871" s="26" t="s">
        <v>1210</v>
      </c>
      <c r="J871" s="26" t="s">
        <v>1234</v>
      </c>
      <c r="K871" s="26" t="s">
        <v>1234</v>
      </c>
      <c r="L871" s="26" t="str">
        <f>VLOOKUP($K871,'Property names'!$A$1:$D$99,2,FALSE)</f>
        <v>Any form of water, liquid or solid, falling from the sky, such as rain, snow, or sleet.</v>
      </c>
      <c r="M871" s="26" t="str">
        <f>VLOOKUP($K871,'Property names'!$A$1:$D$99,3,FALSE)</f>
        <v>Millimeters</v>
      </c>
      <c r="N871" s="26" t="str">
        <f>VLOOKUP($K871,'Property names'!$A$1:$D$99,4,FALSE)</f>
        <v>mm</v>
      </c>
      <c r="O871" s="26" t="str">
        <f t="shared" si="25"/>
        <v>z6-19947_z6-19947_Precipitation</v>
      </c>
      <c r="P871" s="26" t="str">
        <f t="shared" si="26"/>
        <v>The datastream containing mesures of field z6-19947 by sensor z6-19947 which measures Precipitation.</v>
      </c>
      <c r="Q871" s="5" t="s">
        <v>653</v>
      </c>
    </row>
    <row r="872" spans="1:17" ht="12.75">
      <c r="A872" s="217" t="s">
        <v>248</v>
      </c>
      <c r="B872" s="26" t="s">
        <v>1460</v>
      </c>
      <c r="C872" s="26" t="s">
        <v>1461</v>
      </c>
      <c r="D872" s="218">
        <v>32.190469499999999</v>
      </c>
      <c r="E872" s="218">
        <v>35.617547199999997</v>
      </c>
      <c r="F872" s="26" t="s">
        <v>1460</v>
      </c>
      <c r="G872" s="26" t="s">
        <v>1462</v>
      </c>
      <c r="H872" s="26" t="s">
        <v>1209</v>
      </c>
      <c r="I872" s="26" t="s">
        <v>1210</v>
      </c>
      <c r="J872" s="26" t="s">
        <v>1469</v>
      </c>
      <c r="K872" s="26" t="s">
        <v>1469</v>
      </c>
      <c r="L872" s="26" t="str">
        <f>VLOOKUP($K872,'Property names'!$A$1:$D$99,2,FALSE)</f>
        <v>The temperature at which a relative humidity sensor operates.</v>
      </c>
      <c r="M872" s="26" t="str">
        <f>VLOOKUP($K872,'Property names'!$A$1:$D$99,3,FALSE)</f>
        <v>Degrees Celsius</v>
      </c>
      <c r="N872" s="26" t="str">
        <f>VLOOKUP($K872,'Property names'!$A$1:$D$99,4,FALSE)</f>
        <v>ºC</v>
      </c>
      <c r="O872" s="26" t="str">
        <f t="shared" si="25"/>
        <v>z6-19947_z6-19947_RH_Sensor_Temp</v>
      </c>
      <c r="P872" s="26" t="str">
        <f t="shared" si="26"/>
        <v>The datastream containing mesures of field z6-19947 by sensor z6-19947 which measures RH Sensor Temp.</v>
      </c>
      <c r="Q872" s="5" t="s">
        <v>653</v>
      </c>
    </row>
    <row r="873" spans="1:17" ht="12.75">
      <c r="A873" s="217" t="s">
        <v>248</v>
      </c>
      <c r="B873" s="26" t="s">
        <v>1460</v>
      </c>
      <c r="C873" s="26" t="s">
        <v>1461</v>
      </c>
      <c r="D873" s="218">
        <v>32.190469499999999</v>
      </c>
      <c r="E873" s="218">
        <v>35.617547199999997</v>
      </c>
      <c r="F873" s="26" t="s">
        <v>1460</v>
      </c>
      <c r="G873" s="26" t="s">
        <v>1462</v>
      </c>
      <c r="H873" s="26" t="s">
        <v>1209</v>
      </c>
      <c r="I873" s="26" t="s">
        <v>1210</v>
      </c>
      <c r="J873" s="26" t="s">
        <v>1331</v>
      </c>
      <c r="K873" s="26" t="s">
        <v>1331</v>
      </c>
      <c r="L873" s="26" t="str">
        <f>VLOOKUP($K873,'Property names'!$A$1:$D$99,2,FALSE)</f>
        <v>A standard pressure value used as a basis for comparison in meteorology.</v>
      </c>
      <c r="M873" s="26" t="str">
        <f>VLOOKUP($K873,'Property names'!$A$1:$D$99,3,FALSE)</f>
        <v>Kilopascal</v>
      </c>
      <c r="N873" s="26" t="str">
        <f>VLOOKUP($K873,'Property names'!$A$1:$D$99,4,FALSE)</f>
        <v>kPa</v>
      </c>
      <c r="O873" s="26" t="str">
        <f t="shared" si="25"/>
        <v>z6-19947_z6-19947_Reference_Pressure</v>
      </c>
      <c r="P873" s="26" t="str">
        <f t="shared" si="26"/>
        <v>The datastream containing mesures of field z6-19947 by sensor z6-19947 which measures Reference Pressure.</v>
      </c>
      <c r="Q873" s="5" t="s">
        <v>653</v>
      </c>
    </row>
    <row r="874" spans="1:17" ht="12.75">
      <c r="A874" s="217" t="s">
        <v>248</v>
      </c>
      <c r="B874" s="26" t="s">
        <v>1460</v>
      </c>
      <c r="C874" s="26" t="s">
        <v>1461</v>
      </c>
      <c r="D874" s="218">
        <v>32.190469499999999</v>
      </c>
      <c r="E874" s="218">
        <v>35.617547199999997</v>
      </c>
      <c r="F874" s="26" t="s">
        <v>1460</v>
      </c>
      <c r="G874" s="26" t="s">
        <v>1462</v>
      </c>
      <c r="H874" s="26" t="s">
        <v>1209</v>
      </c>
      <c r="I874" s="26" t="s">
        <v>1210</v>
      </c>
      <c r="J874" s="26" t="s">
        <v>709</v>
      </c>
      <c r="K874" s="26" t="s">
        <v>709</v>
      </c>
      <c r="L874" s="26" t="str">
        <f>VLOOKUP($K874,'Property names'!$A$1:$D$99,2,FALSE)</f>
        <v>Energy from the sun in the form of electromagnetic waves.</v>
      </c>
      <c r="M874" s="26" t="str">
        <f>VLOOKUP($K874,'Property names'!$A$1:$D$99,3,FALSE)</f>
        <v>Watts per square meter</v>
      </c>
      <c r="N874" s="26" t="str">
        <f>VLOOKUP($K874,'Property names'!$A$1:$D$99,4,FALSE)</f>
        <v>W/m²</v>
      </c>
      <c r="O874" s="26" t="str">
        <f t="shared" si="25"/>
        <v>z6-19947_z6-19947_Solar_Radiation</v>
      </c>
      <c r="P874" s="26" t="str">
        <f t="shared" si="26"/>
        <v>The datastream containing mesures of field z6-19947 by sensor z6-19947 which measures Solar Radiation.</v>
      </c>
      <c r="Q874" s="5" t="s">
        <v>653</v>
      </c>
    </row>
    <row r="875" spans="1:17" ht="12.75">
      <c r="A875" s="217" t="s">
        <v>248</v>
      </c>
      <c r="B875" s="26" t="s">
        <v>1460</v>
      </c>
      <c r="C875" s="26" t="s">
        <v>1461</v>
      </c>
      <c r="D875" s="218">
        <v>32.190469499999999</v>
      </c>
      <c r="E875" s="218">
        <v>35.617547199999997</v>
      </c>
      <c r="F875" s="26" t="s">
        <v>1460</v>
      </c>
      <c r="G875" s="26" t="s">
        <v>1462</v>
      </c>
      <c r="H875" s="26" t="s">
        <v>1209</v>
      </c>
      <c r="I875" s="26" t="s">
        <v>1210</v>
      </c>
      <c r="J875" s="26" t="s">
        <v>1277</v>
      </c>
      <c r="K875" s="26" t="s">
        <v>1277</v>
      </c>
      <c r="L875" s="26" t="str">
        <f>VLOOKUP($K875,'Property names'!$A$1:$D$99,2,FALSE)</f>
        <v>The measure of the hotness or coldness of something.</v>
      </c>
      <c r="M875" s="26" t="str">
        <f>VLOOKUP($K875,'Property names'!$A$1:$D$99,3,FALSE)</f>
        <v>Degrees Celsius</v>
      </c>
      <c r="N875" s="26" t="str">
        <f>VLOOKUP($K875,'Property names'!$A$1:$D$99,4,FALSE)</f>
        <v>ºC</v>
      </c>
      <c r="O875" s="26" t="str">
        <f t="shared" si="25"/>
        <v>z6-19947_z6-19947_Temperature</v>
      </c>
      <c r="P875" s="26" t="str">
        <f t="shared" si="26"/>
        <v>The datastream containing mesures of field z6-19947 by sensor z6-19947 which measures Temperature.</v>
      </c>
      <c r="Q875" s="5" t="s">
        <v>653</v>
      </c>
    </row>
    <row r="876" spans="1:17" ht="12.75">
      <c r="A876" s="217" t="s">
        <v>248</v>
      </c>
      <c r="B876" s="26" t="s">
        <v>1460</v>
      </c>
      <c r="C876" s="26" t="s">
        <v>1461</v>
      </c>
      <c r="D876" s="218">
        <v>32.190469499999999</v>
      </c>
      <c r="E876" s="218">
        <v>35.617547199999997</v>
      </c>
      <c r="F876" s="26" t="s">
        <v>1460</v>
      </c>
      <c r="G876" s="26" t="s">
        <v>1462</v>
      </c>
      <c r="H876" s="26" t="s">
        <v>1209</v>
      </c>
      <c r="I876" s="26" t="s">
        <v>1210</v>
      </c>
      <c r="J876" s="26" t="s">
        <v>1212</v>
      </c>
      <c r="K876" s="26" t="s">
        <v>1212</v>
      </c>
      <c r="L876" s="26" t="str">
        <f>VLOOKUP($K876,'Property names'!$A$1:$D$99,2,FALSE)</f>
        <v>The difference between the amount of moisture in the air and the maximum amount of moisture the air can hold at a given temperature.</v>
      </c>
      <c r="M876" s="26" t="str">
        <f>VLOOKUP($K876,'Property names'!$A$1:$D$99,3,FALSE)</f>
        <v>Kilopascal</v>
      </c>
      <c r="N876" s="26" t="str">
        <f>VLOOKUP($K876,'Property names'!$A$1:$D$99,4,FALSE)</f>
        <v>kPa</v>
      </c>
      <c r="O876" s="26" t="str">
        <f t="shared" si="25"/>
        <v>z6-19947_z6-19947_VPD</v>
      </c>
      <c r="P876" s="26" t="str">
        <f t="shared" si="26"/>
        <v>The datastream containing mesures of field z6-19947 by sensor z6-19947 which measures VPD.</v>
      </c>
      <c r="Q876" s="5" t="s">
        <v>653</v>
      </c>
    </row>
    <row r="877" spans="1:17" ht="12.75">
      <c r="A877" s="217" t="s">
        <v>248</v>
      </c>
      <c r="B877" s="26" t="s">
        <v>1460</v>
      </c>
      <c r="C877" s="26" t="s">
        <v>1461</v>
      </c>
      <c r="D877" s="218">
        <v>32.190469499999999</v>
      </c>
      <c r="E877" s="218">
        <v>35.617547199999997</v>
      </c>
      <c r="F877" s="26" t="s">
        <v>1460</v>
      </c>
      <c r="G877" s="26" t="s">
        <v>1462</v>
      </c>
      <c r="H877" s="26" t="s">
        <v>1209</v>
      </c>
      <c r="I877" s="26" t="s">
        <v>1210</v>
      </c>
      <c r="J877" s="26" t="s">
        <v>1470</v>
      </c>
      <c r="K877" s="26" t="s">
        <v>1470</v>
      </c>
      <c r="L877" s="26" t="str">
        <f>VLOOKUP($K877,'Property names'!$A$1:$D$99,2,FALSE)</f>
        <v>The pressure exerted by water vapor in the air.</v>
      </c>
      <c r="M877" s="26" t="str">
        <f>VLOOKUP($K877,'Property names'!$A$1:$D$99,3,FALSE)</f>
        <v>Kilopascal</v>
      </c>
      <c r="N877" s="26" t="str">
        <f>VLOOKUP($K877,'Property names'!$A$1:$D$99,4,FALSE)</f>
        <v>kPa</v>
      </c>
      <c r="O877" s="26" t="str">
        <f t="shared" si="25"/>
        <v>z6-19947_z6-19947_Vapor_Pressure</v>
      </c>
      <c r="P877" s="26" t="str">
        <f t="shared" si="26"/>
        <v>The datastream containing mesures of field z6-19947 by sensor z6-19947 which measures Vapor Pressure.</v>
      </c>
      <c r="Q877" s="5" t="s">
        <v>653</v>
      </c>
    </row>
    <row r="878" spans="1:17" ht="12.75">
      <c r="A878" s="217" t="s">
        <v>248</v>
      </c>
      <c r="B878" s="26" t="s">
        <v>1460</v>
      </c>
      <c r="C878" s="26" t="s">
        <v>1461</v>
      </c>
      <c r="D878" s="218">
        <v>32.190469499999999</v>
      </c>
      <c r="E878" s="218">
        <v>35.617547199999997</v>
      </c>
      <c r="F878" s="26" t="s">
        <v>1460</v>
      </c>
      <c r="G878" s="26" t="s">
        <v>1462</v>
      </c>
      <c r="H878" s="26" t="s">
        <v>1209</v>
      </c>
      <c r="I878" s="26" t="s">
        <v>1210</v>
      </c>
      <c r="J878" s="26" t="s">
        <v>1230</v>
      </c>
      <c r="K878" s="26" t="s">
        <v>1230</v>
      </c>
      <c r="L878" s="26" t="str">
        <f>VLOOKUP($K878,'Property names'!$A$1:$D$99,2,FALSE)</f>
        <v>The compass direction from which the wind is blowing.</v>
      </c>
      <c r="M878" s="26" t="str">
        <f>VLOOKUP($K878,'Property names'!$A$1:$D$99,3,FALSE)</f>
        <v>Degrees</v>
      </c>
      <c r="N878" s="26" t="str">
        <f>VLOOKUP($K878,'Property names'!$A$1:$D$99,4,FALSE)</f>
        <v>º</v>
      </c>
      <c r="O878" s="26" t="str">
        <f t="shared" si="25"/>
        <v>z6-19947_z6-19947_Wind_Direction</v>
      </c>
      <c r="P878" s="26" t="str">
        <f t="shared" si="26"/>
        <v>The datastream containing mesures of field z6-19947 by sensor z6-19947 which measures Wind Direction.</v>
      </c>
      <c r="Q878" s="5" t="s">
        <v>653</v>
      </c>
    </row>
    <row r="879" spans="1:17" ht="12.75">
      <c r="A879" s="217" t="s">
        <v>248</v>
      </c>
      <c r="B879" s="26" t="s">
        <v>1460</v>
      </c>
      <c r="C879" s="26" t="s">
        <v>1461</v>
      </c>
      <c r="D879" s="218">
        <v>32.190469499999999</v>
      </c>
      <c r="E879" s="218">
        <v>35.617547199999997</v>
      </c>
      <c r="F879" s="26" t="s">
        <v>1460</v>
      </c>
      <c r="G879" s="26" t="s">
        <v>1462</v>
      </c>
      <c r="H879" s="26" t="s">
        <v>1209</v>
      </c>
      <c r="I879" s="26" t="s">
        <v>1210</v>
      </c>
      <c r="J879" s="26" t="s">
        <v>1296</v>
      </c>
      <c r="K879" s="26" t="s">
        <v>1296</v>
      </c>
      <c r="L879" s="26" t="str">
        <f>VLOOKUP($K879,'Property names'!$A$1:$D$99,2,FALSE)</f>
        <v>The rate at which the air is moving horizontally, often measured in miles per hour or meters per second.</v>
      </c>
      <c r="M879" s="26" t="str">
        <f>VLOOKUP($K879,'Property names'!$A$1:$D$99,3,FALSE)</f>
        <v>Meters per second</v>
      </c>
      <c r="N879" s="26" t="str">
        <f>VLOOKUP($K879,'Property names'!$A$1:$D$99,4,FALSE)</f>
        <v>m/s</v>
      </c>
      <c r="O879" s="26" t="str">
        <f t="shared" si="25"/>
        <v>z6-19947_z6-19947_Wind_Speed</v>
      </c>
      <c r="P879" s="26" t="str">
        <f t="shared" si="26"/>
        <v>The datastream containing mesures of field z6-19947 by sensor z6-19947 which measures Wind Speed.</v>
      </c>
      <c r="Q879" s="5" t="s">
        <v>653</v>
      </c>
    </row>
    <row r="880" spans="1:17" ht="12.75">
      <c r="A880" s="217" t="s">
        <v>248</v>
      </c>
      <c r="B880" s="26" t="s">
        <v>1460</v>
      </c>
      <c r="C880" s="26" t="s">
        <v>1461</v>
      </c>
      <c r="D880" s="218">
        <v>32.190469499999999</v>
      </c>
      <c r="E880" s="218">
        <v>35.617547199999997</v>
      </c>
      <c r="F880" s="26" t="s">
        <v>1460</v>
      </c>
      <c r="G880" s="26" t="s">
        <v>1462</v>
      </c>
      <c r="H880" s="26" t="s">
        <v>1209</v>
      </c>
      <c r="I880" s="26" t="s">
        <v>1210</v>
      </c>
      <c r="J880" s="26" t="s">
        <v>1471</v>
      </c>
      <c r="K880" s="26" t="s">
        <v>1471</v>
      </c>
      <c r="L880" s="26" t="str">
        <f>VLOOKUP($K880,'Property names'!$A$1:$D$99,2,FALSE)</f>
        <v>The position or value along the horizontal axis of a graph or coordinate system.</v>
      </c>
      <c r="M880" s="26" t="str">
        <f>VLOOKUP($K880,'Property names'!$A$1:$D$99,3,FALSE)</f>
        <v>Degrees</v>
      </c>
      <c r="N880" s="26" t="str">
        <f>VLOOKUP($K880,'Property names'!$A$1:$D$99,4,FALSE)</f>
        <v>º</v>
      </c>
      <c r="O880" s="26" t="str">
        <f t="shared" si="25"/>
        <v>z6-19947_z6-19947_X-axis_Level</v>
      </c>
      <c r="P880" s="26" t="str">
        <f t="shared" si="26"/>
        <v>The datastream containing mesures of field z6-19947 by sensor z6-19947 which measures X-axis Level.</v>
      </c>
      <c r="Q880" s="5" t="s">
        <v>653</v>
      </c>
    </row>
    <row r="881" spans="1:17" ht="12.75">
      <c r="A881" s="217" t="s">
        <v>248</v>
      </c>
      <c r="B881" s="26" t="s">
        <v>1460</v>
      </c>
      <c r="C881" s="26" t="s">
        <v>1461</v>
      </c>
      <c r="D881" s="218">
        <v>32.190469499999999</v>
      </c>
      <c r="E881" s="218">
        <v>35.617547199999997</v>
      </c>
      <c r="F881" s="26" t="s">
        <v>1460</v>
      </c>
      <c r="G881" s="26" t="s">
        <v>1462</v>
      </c>
      <c r="H881" s="26" t="s">
        <v>1209</v>
      </c>
      <c r="I881" s="26" t="s">
        <v>1210</v>
      </c>
      <c r="J881" s="26" t="s">
        <v>1472</v>
      </c>
      <c r="K881" s="26" t="s">
        <v>1472</v>
      </c>
      <c r="L881" s="26" t="str">
        <f>VLOOKUP($K881,'Property names'!$A$1:$D$99,2,FALSE)</f>
        <v>The position or value along the vertical axis of a graph or coordinate system.</v>
      </c>
      <c r="M881" s="26" t="str">
        <f>VLOOKUP($K881,'Property names'!$A$1:$D$99,3,FALSE)</f>
        <v>Degrees</v>
      </c>
      <c r="N881" s="26" t="str">
        <f>VLOOKUP($K881,'Property names'!$A$1:$D$99,4,FALSE)</f>
        <v>º</v>
      </c>
      <c r="O881" s="26" t="str">
        <f t="shared" si="25"/>
        <v>z6-19947_z6-19947_Y-axis_Level</v>
      </c>
      <c r="P881" s="26" t="str">
        <f t="shared" si="26"/>
        <v>The datastream containing mesures of field z6-19947 by sensor z6-19947 which measures Y-axis Level.</v>
      </c>
      <c r="Q881" s="5" t="s">
        <v>653</v>
      </c>
    </row>
    <row r="882" spans="1:17" ht="12.75">
      <c r="A882" s="217" t="s">
        <v>248</v>
      </c>
      <c r="B882" s="26" t="s">
        <v>1473</v>
      </c>
      <c r="C882" s="26" t="s">
        <v>1461</v>
      </c>
      <c r="D882" s="218">
        <v>31.9277582</v>
      </c>
      <c r="E882" s="218">
        <v>35.5688222</v>
      </c>
      <c r="F882" s="26" t="s">
        <v>1473</v>
      </c>
      <c r="G882" s="26" t="s">
        <v>1462</v>
      </c>
      <c r="H882" s="26" t="s">
        <v>1209</v>
      </c>
      <c r="I882" s="26" t="s">
        <v>1210</v>
      </c>
      <c r="J882" s="26" t="s">
        <v>652</v>
      </c>
      <c r="K882" s="26" t="s">
        <v>652</v>
      </c>
      <c r="L882" s="26" t="str">
        <f>VLOOKUP($K882,'Property names'!$A$1:$D$99,2,FALSE)</f>
        <v>The measure of the hotness or coldness of the air.</v>
      </c>
      <c r="M882" s="26" t="str">
        <f>VLOOKUP($K882,'Property names'!$A$1:$D$99,3,FALSE)</f>
        <v>Degrees Celsius</v>
      </c>
      <c r="N882" s="26" t="str">
        <f>VLOOKUP($K882,'Property names'!$A$1:$D$99,4,FALSE)</f>
        <v>ºC</v>
      </c>
      <c r="O882" s="26" t="str">
        <f t="shared" si="25"/>
        <v>z6-19948_z6-19948_Air_Temperature</v>
      </c>
      <c r="P882" s="26" t="str">
        <f t="shared" si="26"/>
        <v>The datastream containing mesures of field z6-19948 by sensor z6-19948 which measures Air Temperature.</v>
      </c>
      <c r="Q882" s="5" t="s">
        <v>653</v>
      </c>
    </row>
    <row r="883" spans="1:17" ht="12.75">
      <c r="A883" s="217" t="s">
        <v>248</v>
      </c>
      <c r="B883" s="26" t="s">
        <v>1473</v>
      </c>
      <c r="C883" s="26" t="s">
        <v>1461</v>
      </c>
      <c r="D883" s="218">
        <v>31.9277582</v>
      </c>
      <c r="E883" s="218">
        <v>35.5688222</v>
      </c>
      <c r="F883" s="26" t="s">
        <v>1473</v>
      </c>
      <c r="G883" s="26" t="s">
        <v>1462</v>
      </c>
      <c r="H883" s="26" t="s">
        <v>1209</v>
      </c>
      <c r="I883" s="26" t="s">
        <v>1210</v>
      </c>
      <c r="J883" s="26" t="s">
        <v>1214</v>
      </c>
      <c r="K883" s="26" t="s">
        <v>1214</v>
      </c>
      <c r="L883" s="26" t="str">
        <f>VLOOKUP($K883,'Property names'!$A$1:$D$99,2,FALSE)</f>
        <v>The force exerted by the weight of the air above a given point on Earth's surface, which can vary with changes in weather and altitude.</v>
      </c>
      <c r="M883" s="26" t="str">
        <f>VLOOKUP($K883,'Property names'!$A$1:$D$99,3,FALSE)</f>
        <v>Kilopascal</v>
      </c>
      <c r="N883" s="26" t="str">
        <f>VLOOKUP($K883,'Property names'!$A$1:$D$99,4,FALSE)</f>
        <v>kPa</v>
      </c>
      <c r="O883" s="26" t="str">
        <f t="shared" si="25"/>
        <v>z6-19948_z6-19948_Atmospheric_Pressure</v>
      </c>
      <c r="P883" s="26" t="str">
        <f t="shared" si="26"/>
        <v>The datastream containing mesures of field z6-19948 by sensor z6-19948 which measures Atmospheric Pressure.</v>
      </c>
      <c r="Q883" s="5" t="s">
        <v>653</v>
      </c>
    </row>
    <row r="884" spans="1:17" ht="12.75">
      <c r="A884" s="217" t="s">
        <v>248</v>
      </c>
      <c r="B884" s="26" t="s">
        <v>1473</v>
      </c>
      <c r="C884" s="26" t="s">
        <v>1461</v>
      </c>
      <c r="D884" s="218">
        <v>31.9277582</v>
      </c>
      <c r="E884" s="218">
        <v>35.5688222</v>
      </c>
      <c r="F884" s="26" t="s">
        <v>1473</v>
      </c>
      <c r="G884" s="26" t="s">
        <v>1462</v>
      </c>
      <c r="H884" s="26" t="s">
        <v>1209</v>
      </c>
      <c r="I884" s="26" t="s">
        <v>1210</v>
      </c>
      <c r="J884" s="26" t="s">
        <v>1463</v>
      </c>
      <c r="K884" s="26" t="s">
        <v>665</v>
      </c>
      <c r="L884" s="26" t="str">
        <f>VLOOKUP($K884,'Property names'!$A$1:$D$99,2,FALSE)</f>
        <v>The percentage of battery level associated to the specific sensor.</v>
      </c>
      <c r="M884" s="26" t="str">
        <f>VLOOKUP($K884,'Property names'!$A$1:$D$99,3,FALSE)</f>
        <v>Percentage</v>
      </c>
      <c r="N884" s="26" t="str">
        <f>VLOOKUP($K884,'Property names'!$A$1:$D$99,4,FALSE)</f>
        <v>%</v>
      </c>
      <c r="O884" s="26" t="str">
        <f t="shared" si="25"/>
        <v>z6-19948_z6-19948_Battery_Percent</v>
      </c>
      <c r="P884" s="26" t="str">
        <f t="shared" si="26"/>
        <v>The datastream containing mesures of field z6-19948 by sensor z6-19948 which measures Battery Level.</v>
      </c>
      <c r="Q884" s="5" t="s">
        <v>653</v>
      </c>
    </row>
    <row r="885" spans="1:17" ht="12.75">
      <c r="A885" s="217" t="s">
        <v>248</v>
      </c>
      <c r="B885" s="26" t="s">
        <v>1473</v>
      </c>
      <c r="C885" s="26" t="s">
        <v>1461</v>
      </c>
      <c r="D885" s="218">
        <v>31.9277582</v>
      </c>
      <c r="E885" s="218">
        <v>35.5688222</v>
      </c>
      <c r="F885" s="26" t="s">
        <v>1473</v>
      </c>
      <c r="G885" s="26" t="s">
        <v>1462</v>
      </c>
      <c r="H885" s="26" t="s">
        <v>1209</v>
      </c>
      <c r="I885" s="26" t="s">
        <v>1210</v>
      </c>
      <c r="J885" s="26" t="s">
        <v>692</v>
      </c>
      <c r="K885" s="26" t="s">
        <v>692</v>
      </c>
      <c r="L885" s="26" t="str">
        <f>VLOOKUP($K885,'Property names'!$A$1:$D$99,2,FALSE)</f>
        <v>The electrical potential in a battery, indicating its charge level.</v>
      </c>
      <c r="M885" s="26" t="str">
        <f>VLOOKUP($K885,'Property names'!$A$1:$D$99,3,FALSE)</f>
        <v>Millivolts</v>
      </c>
      <c r="N885" s="26" t="str">
        <f>VLOOKUP($K885,'Property names'!$A$1:$D$99,4,FALSE)</f>
        <v>mV</v>
      </c>
      <c r="O885" s="26" t="str">
        <f t="shared" si="25"/>
        <v>z6-19948_z6-19948_Battery_Voltage</v>
      </c>
      <c r="P885" s="26" t="str">
        <f t="shared" si="26"/>
        <v>The datastream containing mesures of field z6-19948 by sensor z6-19948 which measures Battery Voltage.</v>
      </c>
      <c r="Q885" s="5" t="s">
        <v>653</v>
      </c>
    </row>
    <row r="886" spans="1:17" ht="12.75">
      <c r="A886" s="217" t="s">
        <v>248</v>
      </c>
      <c r="B886" s="26" t="s">
        <v>1473</v>
      </c>
      <c r="C886" s="26" t="s">
        <v>1461</v>
      </c>
      <c r="D886" s="218">
        <v>31.9277582</v>
      </c>
      <c r="E886" s="218">
        <v>35.5688222</v>
      </c>
      <c r="F886" s="26" t="s">
        <v>1473</v>
      </c>
      <c r="G886" s="26" t="s">
        <v>1462</v>
      </c>
      <c r="H886" s="26" t="s">
        <v>1209</v>
      </c>
      <c r="I886" s="26" t="s">
        <v>1210</v>
      </c>
      <c r="J886" s="26" t="s">
        <v>1464</v>
      </c>
      <c r="K886" s="26" t="s">
        <v>1464</v>
      </c>
      <c r="L886" s="26" t="str">
        <f>VLOOKUP($K886,'Property names'!$A$1:$D$99,2,FALSE)</f>
        <v>The maximum sudden burst of wind speed.</v>
      </c>
      <c r="M886" s="26" t="str">
        <f>VLOOKUP($K886,'Property names'!$A$1:$D$99,3,FALSE)</f>
        <v>Meters per second</v>
      </c>
      <c r="N886" s="26" t="str">
        <f>VLOOKUP($K886,'Property names'!$A$1:$D$99,4,FALSE)</f>
        <v>m/s</v>
      </c>
      <c r="O886" s="26" t="str">
        <f t="shared" si="25"/>
        <v>z6-19948_z6-19948_Gust_Speed</v>
      </c>
      <c r="P886" s="26" t="str">
        <f t="shared" si="26"/>
        <v>The datastream containing mesures of field z6-19948 by sensor z6-19948 which measures Gust Speed.</v>
      </c>
      <c r="Q886" s="5" t="s">
        <v>653</v>
      </c>
    </row>
    <row r="887" spans="1:17" ht="12.75">
      <c r="A887" s="217" t="s">
        <v>248</v>
      </c>
      <c r="B887" s="26" t="s">
        <v>1473</v>
      </c>
      <c r="C887" s="26" t="s">
        <v>1461</v>
      </c>
      <c r="D887" s="218">
        <v>31.9277582</v>
      </c>
      <c r="E887" s="218">
        <v>35.5688222</v>
      </c>
      <c r="F887" s="26" t="s">
        <v>1473</v>
      </c>
      <c r="G887" s="26" t="s">
        <v>1462</v>
      </c>
      <c r="H887" s="26" t="s">
        <v>1209</v>
      </c>
      <c r="I887" s="26" t="s">
        <v>1210</v>
      </c>
      <c r="J887" s="26" t="s">
        <v>1465</v>
      </c>
      <c r="K887" s="26" t="s">
        <v>1465</v>
      </c>
      <c r="L887" s="26" t="str">
        <f>VLOOKUP($K887,'Property names'!$A$1:$D$99,2,FALSE)</f>
        <v>The occurrence of electrical discharges in the atmosphere, typically during thunderstorms.</v>
      </c>
      <c r="M887" s="26" t="str">
        <f>VLOOKUP($K887,'Property names'!$A$1:$D$99,3,FALSE)</f>
        <v>N/A</v>
      </c>
      <c r="N887" s="26" t="str">
        <f>VLOOKUP($K887,'Property names'!$A$1:$D$99,4,FALSE)</f>
        <v>N/A</v>
      </c>
      <c r="O887" s="26" t="str">
        <f t="shared" si="25"/>
        <v>z6-19948_z6-19948_Lightning_Activity</v>
      </c>
      <c r="P887" s="26" t="str">
        <f t="shared" si="26"/>
        <v>The datastream containing mesures of field z6-19948 by sensor z6-19948 which measures Lightning Activity.</v>
      </c>
      <c r="Q887" s="5" t="s">
        <v>653</v>
      </c>
    </row>
    <row r="888" spans="1:17" ht="12.75">
      <c r="A888" s="217" t="s">
        <v>248</v>
      </c>
      <c r="B888" s="26" t="s">
        <v>1473</v>
      </c>
      <c r="C888" s="26" t="s">
        <v>1461</v>
      </c>
      <c r="D888" s="218">
        <v>31.9277582</v>
      </c>
      <c r="E888" s="218">
        <v>35.5688222</v>
      </c>
      <c r="F888" s="26" t="s">
        <v>1473</v>
      </c>
      <c r="G888" s="26" t="s">
        <v>1462</v>
      </c>
      <c r="H888" s="26" t="s">
        <v>1209</v>
      </c>
      <c r="I888" s="26" t="s">
        <v>1210</v>
      </c>
      <c r="J888" s="26" t="s">
        <v>1466</v>
      </c>
      <c r="K888" s="26" t="s">
        <v>1466</v>
      </c>
      <c r="L888" s="26" t="str">
        <f>VLOOKUP($K888,'Property names'!$A$1:$D$99,2,FALSE)</f>
        <v>The distance from a location to the nearest lightning strike.</v>
      </c>
      <c r="M888" s="26" t="str">
        <f>VLOOKUP($K888,'Property names'!$A$1:$D$99,3,FALSE)</f>
        <v>Kilometers</v>
      </c>
      <c r="N888" s="26" t="str">
        <f>VLOOKUP($K888,'Property names'!$A$1:$D$99,4,FALSE)</f>
        <v>km</v>
      </c>
      <c r="O888" s="26" t="str">
        <f t="shared" si="25"/>
        <v>z6-19948_z6-19948_Lightning_Distance</v>
      </c>
      <c r="P888" s="26" t="str">
        <f t="shared" si="26"/>
        <v>The datastream containing mesures of field z6-19948 by sensor z6-19948 which measures Lightning Distance.</v>
      </c>
      <c r="Q888" s="5" t="s">
        <v>653</v>
      </c>
    </row>
    <row r="889" spans="1:17" ht="12.75">
      <c r="A889" s="217" t="s">
        <v>248</v>
      </c>
      <c r="B889" s="26" t="s">
        <v>1473</v>
      </c>
      <c r="C889" s="26" t="s">
        <v>1461</v>
      </c>
      <c r="D889" s="218">
        <v>31.9277582</v>
      </c>
      <c r="E889" s="218">
        <v>35.5688222</v>
      </c>
      <c r="F889" s="26" t="s">
        <v>1473</v>
      </c>
      <c r="G889" s="26" t="s">
        <v>1462</v>
      </c>
      <c r="H889" s="26" t="s">
        <v>1209</v>
      </c>
      <c r="I889" s="26" t="s">
        <v>1210</v>
      </c>
      <c r="J889" s="26" t="s">
        <v>1467</v>
      </c>
      <c r="K889" s="26" t="s">
        <v>1467</v>
      </c>
      <c r="L889" s="26" t="str">
        <f>VLOOKUP($K889,'Property names'!$A$1:$D$99,2,FALSE)</f>
        <v>The temperature measured by a data logger or recording device.</v>
      </c>
      <c r="M889" s="26" t="str">
        <f>VLOOKUP($K889,'Property names'!$A$1:$D$99,3,FALSE)</f>
        <v>Degrees Celsius</v>
      </c>
      <c r="N889" s="26" t="str">
        <f>VLOOKUP($K889,'Property names'!$A$1:$D$99,4,FALSE)</f>
        <v>ºC</v>
      </c>
      <c r="O889" s="26" t="str">
        <f t="shared" si="25"/>
        <v>z6-19948_z6-19948_Logger_Temperature</v>
      </c>
      <c r="P889" s="26" t="str">
        <f t="shared" si="26"/>
        <v>The datastream containing mesures of field z6-19948 by sensor z6-19948 which measures Logger Temperature.</v>
      </c>
      <c r="Q889" s="5" t="s">
        <v>653</v>
      </c>
    </row>
    <row r="890" spans="1:17" ht="12.75">
      <c r="A890" s="217" t="s">
        <v>248</v>
      </c>
      <c r="B890" s="26" t="s">
        <v>1473</v>
      </c>
      <c r="C890" s="26" t="s">
        <v>1461</v>
      </c>
      <c r="D890" s="218">
        <v>31.9277582</v>
      </c>
      <c r="E890" s="218">
        <v>35.5688222</v>
      </c>
      <c r="F890" s="26" t="s">
        <v>1473</v>
      </c>
      <c r="G890" s="26" t="s">
        <v>1462</v>
      </c>
      <c r="H890" s="26" t="s">
        <v>1209</v>
      </c>
      <c r="I890" s="26" t="s">
        <v>1210</v>
      </c>
      <c r="J890" s="26" t="s">
        <v>1468</v>
      </c>
      <c r="K890" s="26" t="s">
        <v>1300</v>
      </c>
      <c r="L890" s="26" t="str">
        <f>VLOOKUP($K890,'Property names'!$A$1:$D$99,2,FALSE)</f>
        <v>The highest rate at which rain or other forms of precipitation fall in a given period.</v>
      </c>
      <c r="M890" s="26" t="str">
        <f>VLOOKUP($K890,'Property names'!$A$1:$D$99,3,FALSE)</f>
        <v>Millimeters per hour</v>
      </c>
      <c r="N890" s="26" t="str">
        <f>VLOOKUP($K890,'Property names'!$A$1:$D$99,4,FALSE)</f>
        <v>mm/h</v>
      </c>
      <c r="O890" s="26" t="str">
        <f t="shared" si="25"/>
        <v>z6-19948_z6-19948_Max_Precip_Rate</v>
      </c>
      <c r="P890" s="26" t="str">
        <f t="shared" si="26"/>
        <v>The datastream containing mesures of field z6-19948 by sensor z6-19948 which measures Max Precipitation Rate.</v>
      </c>
      <c r="Q890" s="5" t="s">
        <v>653</v>
      </c>
    </row>
    <row r="891" spans="1:17" ht="12.75">
      <c r="A891" s="217" t="s">
        <v>248</v>
      </c>
      <c r="B891" s="26" t="s">
        <v>1473</v>
      </c>
      <c r="C891" s="26" t="s">
        <v>1461</v>
      </c>
      <c r="D891" s="218">
        <v>31.9277582</v>
      </c>
      <c r="E891" s="218">
        <v>35.5688222</v>
      </c>
      <c r="F891" s="26" t="s">
        <v>1473</v>
      </c>
      <c r="G891" s="26" t="s">
        <v>1462</v>
      </c>
      <c r="H891" s="26" t="s">
        <v>1209</v>
      </c>
      <c r="I891" s="26" t="s">
        <v>1210</v>
      </c>
      <c r="J891" s="26" t="s">
        <v>1234</v>
      </c>
      <c r="K891" s="26" t="s">
        <v>1234</v>
      </c>
      <c r="L891" s="26" t="str">
        <f>VLOOKUP($K891,'Property names'!$A$1:$D$99,2,FALSE)</f>
        <v>Any form of water, liquid or solid, falling from the sky, such as rain, snow, or sleet.</v>
      </c>
      <c r="M891" s="26" t="str">
        <f>VLOOKUP($K891,'Property names'!$A$1:$D$99,3,FALSE)</f>
        <v>Millimeters</v>
      </c>
      <c r="N891" s="26" t="str">
        <f>VLOOKUP($K891,'Property names'!$A$1:$D$99,4,FALSE)</f>
        <v>mm</v>
      </c>
      <c r="O891" s="26" t="str">
        <f t="shared" si="25"/>
        <v>z6-19948_z6-19948_Precipitation</v>
      </c>
      <c r="P891" s="26" t="str">
        <f t="shared" si="26"/>
        <v>The datastream containing mesures of field z6-19948 by sensor z6-19948 which measures Precipitation.</v>
      </c>
      <c r="Q891" s="5" t="s">
        <v>653</v>
      </c>
    </row>
    <row r="892" spans="1:17" ht="12.75">
      <c r="A892" s="217" t="s">
        <v>248</v>
      </c>
      <c r="B892" s="26" t="s">
        <v>1473</v>
      </c>
      <c r="C892" s="26" t="s">
        <v>1461</v>
      </c>
      <c r="D892" s="218">
        <v>31.9277582</v>
      </c>
      <c r="E892" s="218">
        <v>35.5688222</v>
      </c>
      <c r="F892" s="26" t="s">
        <v>1473</v>
      </c>
      <c r="G892" s="26" t="s">
        <v>1462</v>
      </c>
      <c r="H892" s="26" t="s">
        <v>1209</v>
      </c>
      <c r="I892" s="26" t="s">
        <v>1210</v>
      </c>
      <c r="J892" s="26" t="s">
        <v>1469</v>
      </c>
      <c r="K892" s="26" t="s">
        <v>1469</v>
      </c>
      <c r="L892" s="26" t="str">
        <f>VLOOKUP($K892,'Property names'!$A$1:$D$99,2,FALSE)</f>
        <v>The temperature at which a relative humidity sensor operates.</v>
      </c>
      <c r="M892" s="26" t="str">
        <f>VLOOKUP($K892,'Property names'!$A$1:$D$99,3,FALSE)</f>
        <v>Degrees Celsius</v>
      </c>
      <c r="N892" s="26" t="str">
        <f>VLOOKUP($K892,'Property names'!$A$1:$D$99,4,FALSE)</f>
        <v>ºC</v>
      </c>
      <c r="O892" s="26" t="str">
        <f t="shared" si="25"/>
        <v>z6-19948_z6-19948_RH_Sensor_Temp</v>
      </c>
      <c r="P892" s="26" t="str">
        <f t="shared" si="26"/>
        <v>The datastream containing mesures of field z6-19948 by sensor z6-19948 which measures RH Sensor Temp.</v>
      </c>
      <c r="Q892" s="5" t="s">
        <v>653</v>
      </c>
    </row>
    <row r="893" spans="1:17" ht="12.75">
      <c r="A893" s="217" t="s">
        <v>248</v>
      </c>
      <c r="B893" s="26" t="s">
        <v>1473</v>
      </c>
      <c r="C893" s="26" t="s">
        <v>1461</v>
      </c>
      <c r="D893" s="218">
        <v>31.9277582</v>
      </c>
      <c r="E893" s="218">
        <v>35.5688222</v>
      </c>
      <c r="F893" s="26" t="s">
        <v>1473</v>
      </c>
      <c r="G893" s="26" t="s">
        <v>1462</v>
      </c>
      <c r="H893" s="26" t="s">
        <v>1209</v>
      </c>
      <c r="I893" s="26" t="s">
        <v>1210</v>
      </c>
      <c r="J893" s="26" t="s">
        <v>1331</v>
      </c>
      <c r="K893" s="26" t="s">
        <v>1331</v>
      </c>
      <c r="L893" s="26" t="str">
        <f>VLOOKUP($K893,'Property names'!$A$1:$D$99,2,FALSE)</f>
        <v>A standard pressure value used as a basis for comparison in meteorology.</v>
      </c>
      <c r="M893" s="26" t="str">
        <f>VLOOKUP($K893,'Property names'!$A$1:$D$99,3,FALSE)</f>
        <v>Kilopascal</v>
      </c>
      <c r="N893" s="26" t="str">
        <f>VLOOKUP($K893,'Property names'!$A$1:$D$99,4,FALSE)</f>
        <v>kPa</v>
      </c>
      <c r="O893" s="26" t="str">
        <f t="shared" si="25"/>
        <v>z6-19948_z6-19948_Reference_Pressure</v>
      </c>
      <c r="P893" s="26" t="str">
        <f t="shared" si="26"/>
        <v>The datastream containing mesures of field z6-19948 by sensor z6-19948 which measures Reference Pressure.</v>
      </c>
      <c r="Q893" s="5" t="s">
        <v>653</v>
      </c>
    </row>
    <row r="894" spans="1:17" ht="12.75">
      <c r="A894" s="217" t="s">
        <v>248</v>
      </c>
      <c r="B894" s="26" t="s">
        <v>1473</v>
      </c>
      <c r="C894" s="26" t="s">
        <v>1461</v>
      </c>
      <c r="D894" s="218">
        <v>31.9277582</v>
      </c>
      <c r="E894" s="218">
        <v>35.5688222</v>
      </c>
      <c r="F894" s="26" t="s">
        <v>1473</v>
      </c>
      <c r="G894" s="26" t="s">
        <v>1462</v>
      </c>
      <c r="H894" s="26" t="s">
        <v>1209</v>
      </c>
      <c r="I894" s="26" t="s">
        <v>1210</v>
      </c>
      <c r="J894" s="26" t="s">
        <v>709</v>
      </c>
      <c r="K894" s="26" t="s">
        <v>709</v>
      </c>
      <c r="L894" s="26" t="str">
        <f>VLOOKUP($K894,'Property names'!$A$1:$D$99,2,FALSE)</f>
        <v>Energy from the sun in the form of electromagnetic waves.</v>
      </c>
      <c r="M894" s="26" t="str">
        <f>VLOOKUP($K894,'Property names'!$A$1:$D$99,3,FALSE)</f>
        <v>Watts per square meter</v>
      </c>
      <c r="N894" s="26" t="str">
        <f>VLOOKUP($K894,'Property names'!$A$1:$D$99,4,FALSE)</f>
        <v>W/m²</v>
      </c>
      <c r="O894" s="26" t="str">
        <f t="shared" si="25"/>
        <v>z6-19948_z6-19948_Solar_Radiation</v>
      </c>
      <c r="P894" s="26" t="str">
        <f t="shared" si="26"/>
        <v>The datastream containing mesures of field z6-19948 by sensor z6-19948 which measures Solar Radiation.</v>
      </c>
      <c r="Q894" s="5" t="s">
        <v>653</v>
      </c>
    </row>
    <row r="895" spans="1:17" ht="12.75">
      <c r="A895" s="217" t="s">
        <v>248</v>
      </c>
      <c r="B895" s="26" t="s">
        <v>1473</v>
      </c>
      <c r="C895" s="26" t="s">
        <v>1461</v>
      </c>
      <c r="D895" s="218">
        <v>31.9277582</v>
      </c>
      <c r="E895" s="218">
        <v>35.5688222</v>
      </c>
      <c r="F895" s="26" t="s">
        <v>1473</v>
      </c>
      <c r="G895" s="26" t="s">
        <v>1462</v>
      </c>
      <c r="H895" s="26" t="s">
        <v>1209</v>
      </c>
      <c r="I895" s="26" t="s">
        <v>1210</v>
      </c>
      <c r="J895" s="26" t="s">
        <v>1277</v>
      </c>
      <c r="K895" s="26" t="s">
        <v>1277</v>
      </c>
      <c r="L895" s="26" t="str">
        <f>VLOOKUP($K895,'Property names'!$A$1:$D$99,2,FALSE)</f>
        <v>The measure of the hotness or coldness of something.</v>
      </c>
      <c r="M895" s="26" t="str">
        <f>VLOOKUP($K895,'Property names'!$A$1:$D$99,3,FALSE)</f>
        <v>Degrees Celsius</v>
      </c>
      <c r="N895" s="26" t="str">
        <f>VLOOKUP($K895,'Property names'!$A$1:$D$99,4,FALSE)</f>
        <v>ºC</v>
      </c>
      <c r="O895" s="26" t="str">
        <f t="shared" si="25"/>
        <v>z6-19948_z6-19948_Temperature</v>
      </c>
      <c r="P895" s="26" t="str">
        <f t="shared" si="26"/>
        <v>The datastream containing mesures of field z6-19948 by sensor z6-19948 which measures Temperature.</v>
      </c>
      <c r="Q895" s="5" t="s">
        <v>653</v>
      </c>
    </row>
    <row r="896" spans="1:17" ht="12.75">
      <c r="A896" s="217" t="s">
        <v>248</v>
      </c>
      <c r="B896" s="26" t="s">
        <v>1473</v>
      </c>
      <c r="C896" s="26" t="s">
        <v>1461</v>
      </c>
      <c r="D896" s="218">
        <v>31.9277582</v>
      </c>
      <c r="E896" s="218">
        <v>35.5688222</v>
      </c>
      <c r="F896" s="26" t="s">
        <v>1473</v>
      </c>
      <c r="G896" s="26" t="s">
        <v>1462</v>
      </c>
      <c r="H896" s="26" t="s">
        <v>1209</v>
      </c>
      <c r="I896" s="26" t="s">
        <v>1210</v>
      </c>
      <c r="J896" s="26" t="s">
        <v>1212</v>
      </c>
      <c r="K896" s="26" t="s">
        <v>1212</v>
      </c>
      <c r="L896" s="26" t="str">
        <f>VLOOKUP($K896,'Property names'!$A$1:$D$99,2,FALSE)</f>
        <v>The difference between the amount of moisture in the air and the maximum amount of moisture the air can hold at a given temperature.</v>
      </c>
      <c r="M896" s="26" t="str">
        <f>VLOOKUP($K896,'Property names'!$A$1:$D$99,3,FALSE)</f>
        <v>Kilopascal</v>
      </c>
      <c r="N896" s="26" t="str">
        <f>VLOOKUP($K896,'Property names'!$A$1:$D$99,4,FALSE)</f>
        <v>kPa</v>
      </c>
      <c r="O896" s="26" t="str">
        <f t="shared" si="25"/>
        <v>z6-19948_z6-19948_VPD</v>
      </c>
      <c r="P896" s="26" t="str">
        <f t="shared" si="26"/>
        <v>The datastream containing mesures of field z6-19948 by sensor z6-19948 which measures VPD.</v>
      </c>
      <c r="Q896" s="5" t="s">
        <v>653</v>
      </c>
    </row>
    <row r="897" spans="1:17" ht="12.75">
      <c r="A897" s="217" t="s">
        <v>248</v>
      </c>
      <c r="B897" s="26" t="s">
        <v>1473</v>
      </c>
      <c r="C897" s="26" t="s">
        <v>1461</v>
      </c>
      <c r="D897" s="218">
        <v>31.9277582</v>
      </c>
      <c r="E897" s="218">
        <v>35.5688222</v>
      </c>
      <c r="F897" s="26" t="s">
        <v>1473</v>
      </c>
      <c r="G897" s="26" t="s">
        <v>1462</v>
      </c>
      <c r="H897" s="26" t="s">
        <v>1209</v>
      </c>
      <c r="I897" s="26" t="s">
        <v>1210</v>
      </c>
      <c r="J897" s="26" t="s">
        <v>1470</v>
      </c>
      <c r="K897" s="26" t="s">
        <v>1470</v>
      </c>
      <c r="L897" s="26" t="str">
        <f>VLOOKUP($K897,'Property names'!$A$1:$D$99,2,FALSE)</f>
        <v>The pressure exerted by water vapor in the air.</v>
      </c>
      <c r="M897" s="26" t="str">
        <f>VLOOKUP($K897,'Property names'!$A$1:$D$99,3,FALSE)</f>
        <v>Kilopascal</v>
      </c>
      <c r="N897" s="26" t="str">
        <f>VLOOKUP($K897,'Property names'!$A$1:$D$99,4,FALSE)</f>
        <v>kPa</v>
      </c>
      <c r="O897" s="26" t="str">
        <f t="shared" si="25"/>
        <v>z6-19948_z6-19948_Vapor_Pressure</v>
      </c>
      <c r="P897" s="26" t="str">
        <f t="shared" si="26"/>
        <v>The datastream containing mesures of field z6-19948 by sensor z6-19948 which measures Vapor Pressure.</v>
      </c>
      <c r="Q897" s="5" t="s">
        <v>653</v>
      </c>
    </row>
    <row r="898" spans="1:17" ht="12.75">
      <c r="A898" s="217" t="s">
        <v>248</v>
      </c>
      <c r="B898" s="26" t="s">
        <v>1473</v>
      </c>
      <c r="C898" s="26" t="s">
        <v>1461</v>
      </c>
      <c r="D898" s="218">
        <v>31.9277582</v>
      </c>
      <c r="E898" s="218">
        <v>35.5688222</v>
      </c>
      <c r="F898" s="26" t="s">
        <v>1473</v>
      </c>
      <c r="G898" s="26" t="s">
        <v>1462</v>
      </c>
      <c r="H898" s="26" t="s">
        <v>1209</v>
      </c>
      <c r="I898" s="26" t="s">
        <v>1210</v>
      </c>
      <c r="J898" s="26" t="s">
        <v>1230</v>
      </c>
      <c r="K898" s="26" t="s">
        <v>1230</v>
      </c>
      <c r="L898" s="26" t="str">
        <f>VLOOKUP($K898,'Property names'!$A$1:$D$99,2,FALSE)</f>
        <v>The compass direction from which the wind is blowing.</v>
      </c>
      <c r="M898" s="26" t="str">
        <f>VLOOKUP($K898,'Property names'!$A$1:$D$99,3,FALSE)</f>
        <v>Degrees</v>
      </c>
      <c r="N898" s="26" t="str">
        <f>VLOOKUP($K898,'Property names'!$A$1:$D$99,4,FALSE)</f>
        <v>º</v>
      </c>
      <c r="O898" s="26" t="str">
        <f t="shared" si="25"/>
        <v>z6-19948_z6-19948_Wind_Direction</v>
      </c>
      <c r="P898" s="26" t="str">
        <f t="shared" si="26"/>
        <v>The datastream containing mesures of field z6-19948 by sensor z6-19948 which measures Wind Direction.</v>
      </c>
      <c r="Q898" s="5" t="s">
        <v>653</v>
      </c>
    </row>
    <row r="899" spans="1:17" ht="12.75">
      <c r="A899" s="217" t="s">
        <v>248</v>
      </c>
      <c r="B899" s="26" t="s">
        <v>1473</v>
      </c>
      <c r="C899" s="26" t="s">
        <v>1461</v>
      </c>
      <c r="D899" s="218">
        <v>31.9277582</v>
      </c>
      <c r="E899" s="218">
        <v>35.5688222</v>
      </c>
      <c r="F899" s="26" t="s">
        <v>1473</v>
      </c>
      <c r="G899" s="26" t="s">
        <v>1462</v>
      </c>
      <c r="H899" s="26" t="s">
        <v>1209</v>
      </c>
      <c r="I899" s="26" t="s">
        <v>1210</v>
      </c>
      <c r="J899" s="26" t="s">
        <v>1296</v>
      </c>
      <c r="K899" s="26" t="s">
        <v>1296</v>
      </c>
      <c r="L899" s="26" t="str">
        <f>VLOOKUP($K899,'Property names'!$A$1:$D$99,2,FALSE)</f>
        <v>The rate at which the air is moving horizontally, often measured in miles per hour or meters per second.</v>
      </c>
      <c r="M899" s="26" t="str">
        <f>VLOOKUP($K899,'Property names'!$A$1:$D$99,3,FALSE)</f>
        <v>Meters per second</v>
      </c>
      <c r="N899" s="26" t="str">
        <f>VLOOKUP($K899,'Property names'!$A$1:$D$99,4,FALSE)</f>
        <v>m/s</v>
      </c>
      <c r="O899" s="26" t="str">
        <f t="shared" si="25"/>
        <v>z6-19948_z6-19948_Wind_Speed</v>
      </c>
      <c r="P899" s="26" t="str">
        <f t="shared" si="26"/>
        <v>The datastream containing mesures of field z6-19948 by sensor z6-19948 which measures Wind Speed.</v>
      </c>
      <c r="Q899" s="5" t="s">
        <v>653</v>
      </c>
    </row>
    <row r="900" spans="1:17" ht="12.75">
      <c r="A900" s="217" t="s">
        <v>248</v>
      </c>
      <c r="B900" s="26" t="s">
        <v>1473</v>
      </c>
      <c r="C900" s="26" t="s">
        <v>1461</v>
      </c>
      <c r="D900" s="218">
        <v>31.9277582</v>
      </c>
      <c r="E900" s="218">
        <v>35.5688222</v>
      </c>
      <c r="F900" s="26" t="s">
        <v>1473</v>
      </c>
      <c r="G900" s="26" t="s">
        <v>1462</v>
      </c>
      <c r="H900" s="26" t="s">
        <v>1209</v>
      </c>
      <c r="I900" s="26" t="s">
        <v>1210</v>
      </c>
      <c r="J900" s="26" t="s">
        <v>1471</v>
      </c>
      <c r="K900" s="26" t="s">
        <v>1471</v>
      </c>
      <c r="L900" s="26" t="str">
        <f>VLOOKUP($K900,'Property names'!$A$1:$D$99,2,FALSE)</f>
        <v>The position or value along the horizontal axis of a graph or coordinate system.</v>
      </c>
      <c r="M900" s="26" t="str">
        <f>VLOOKUP($K900,'Property names'!$A$1:$D$99,3,FALSE)</f>
        <v>Degrees</v>
      </c>
      <c r="N900" s="26" t="str">
        <f>VLOOKUP($K900,'Property names'!$A$1:$D$99,4,FALSE)</f>
        <v>º</v>
      </c>
      <c r="O900" s="26" t="str">
        <f t="shared" si="25"/>
        <v>z6-19948_z6-19948_X-axis_Level</v>
      </c>
      <c r="P900" s="26" t="str">
        <f t="shared" si="26"/>
        <v>The datastream containing mesures of field z6-19948 by sensor z6-19948 which measures X-axis Level.</v>
      </c>
      <c r="Q900" s="5" t="s">
        <v>653</v>
      </c>
    </row>
    <row r="901" spans="1:17" ht="12.75">
      <c r="A901" s="217" t="s">
        <v>248</v>
      </c>
      <c r="B901" s="26" t="s">
        <v>1473</v>
      </c>
      <c r="C901" s="26" t="s">
        <v>1461</v>
      </c>
      <c r="D901" s="218">
        <v>31.9277582</v>
      </c>
      <c r="E901" s="218">
        <v>35.5688222</v>
      </c>
      <c r="F901" s="26" t="s">
        <v>1473</v>
      </c>
      <c r="G901" s="26" t="s">
        <v>1462</v>
      </c>
      <c r="H901" s="26" t="s">
        <v>1209</v>
      </c>
      <c r="I901" s="26" t="s">
        <v>1210</v>
      </c>
      <c r="J901" s="26" t="s">
        <v>1472</v>
      </c>
      <c r="K901" s="26" t="s">
        <v>1472</v>
      </c>
      <c r="L901" s="26" t="str">
        <f>VLOOKUP($K901,'Property names'!$A$1:$D$99,2,FALSE)</f>
        <v>The position or value along the vertical axis of a graph or coordinate system.</v>
      </c>
      <c r="M901" s="26" t="str">
        <f>VLOOKUP($K901,'Property names'!$A$1:$D$99,3,FALSE)</f>
        <v>Degrees</v>
      </c>
      <c r="N901" s="26" t="str">
        <f>VLOOKUP($K901,'Property names'!$A$1:$D$99,4,FALSE)</f>
        <v>º</v>
      </c>
      <c r="O901" s="26" t="str">
        <f t="shared" si="25"/>
        <v>z6-19948_z6-19948_Y-axis_Level</v>
      </c>
      <c r="P901" s="26" t="str">
        <f t="shared" si="26"/>
        <v>The datastream containing mesures of field z6-19948 by sensor z6-19948 which measures Y-axis Level.</v>
      </c>
      <c r="Q901" s="5" t="s">
        <v>653</v>
      </c>
    </row>
    <row r="902" spans="1:17" ht="12.75">
      <c r="A902" s="5" t="s">
        <v>693</v>
      </c>
      <c r="B902" s="5" t="s">
        <v>1474</v>
      </c>
      <c r="C902" s="5" t="s">
        <v>1475</v>
      </c>
      <c r="D902" s="5">
        <v>40.135339999999999</v>
      </c>
      <c r="E902" s="5">
        <v>8.9132800000000003</v>
      </c>
      <c r="F902" s="5">
        <v>1067</v>
      </c>
      <c r="G902" s="5" t="s">
        <v>1476</v>
      </c>
      <c r="H902" s="5" t="s">
        <v>1477</v>
      </c>
      <c r="I902" s="5" t="s">
        <v>1210</v>
      </c>
      <c r="J902" s="26" t="s">
        <v>1459</v>
      </c>
      <c r="K902" s="5" t="s">
        <v>1459</v>
      </c>
      <c r="L902" s="26" t="e">
        <f>VLOOKUP($K902,'Property names'!$A$1:$D$99,2,FALSE)</f>
        <v>#N/A</v>
      </c>
      <c r="M902" s="26" t="e">
        <f>VLOOKUP($K902,'Property names'!$A$1:$D$99,3,FALSE)</f>
        <v>#N/A</v>
      </c>
      <c r="N902" s="26" t="e">
        <f>VLOOKUP($K902,'Property names'!$A$1:$D$99,4,FALSE)</f>
        <v>#N/A</v>
      </c>
      <c r="O902" s="26" t="str">
        <f t="shared" ref="O902:O905" si="27">SUBSTITUTE(CONCATENATE(B902,"_",F902,"_",J902)," ","_")</f>
        <v>ENAS_1067_Water_Storage</v>
      </c>
      <c r="P902" s="26" t="str">
        <f t="shared" ref="P902:P905" si="28">CONCATENATE("The datastream containing mesures of field ",B902," by sensor ",F902," which measures ",K902,".")</f>
        <v>The datastream containing mesures of field ENAS by sensor 1067 which measures Water Storage.</v>
      </c>
      <c r="Q902" s="5" t="s">
        <v>653</v>
      </c>
    </row>
    <row r="903" spans="1:17" ht="12.75">
      <c r="A903" s="5" t="s">
        <v>693</v>
      </c>
      <c r="B903" s="5" t="s">
        <v>1474</v>
      </c>
      <c r="C903" s="5" t="s">
        <v>1475</v>
      </c>
      <c r="D903" s="5">
        <v>40.135339999999999</v>
      </c>
      <c r="E903" s="5">
        <v>8.9132800000000003</v>
      </c>
      <c r="F903" s="5">
        <v>10329</v>
      </c>
      <c r="G903" s="5" t="s">
        <v>1476</v>
      </c>
      <c r="H903" s="5" t="s">
        <v>1477</v>
      </c>
      <c r="I903" s="5" t="s">
        <v>1210</v>
      </c>
      <c r="J903" s="26" t="s">
        <v>1459</v>
      </c>
      <c r="K903" s="5" t="s">
        <v>1459</v>
      </c>
      <c r="L903" s="26" t="e">
        <f>VLOOKUP($K903,'Property names'!$A$1:$D$99,2,FALSE)</f>
        <v>#N/A</v>
      </c>
      <c r="M903" s="26" t="e">
        <f>VLOOKUP($K903,'Property names'!$A$1:$D$99,3,FALSE)</f>
        <v>#N/A</v>
      </c>
      <c r="N903" s="26" t="e">
        <f>VLOOKUP($K903,'Property names'!$A$1:$D$99,4,FALSE)</f>
        <v>#N/A</v>
      </c>
      <c r="O903" s="26" t="str">
        <f t="shared" si="27"/>
        <v>ENAS_10329_Water_Storage</v>
      </c>
      <c r="P903" s="26" t="str">
        <f t="shared" si="28"/>
        <v>The datastream containing mesures of field ENAS by sensor 10329 which measures Water Storage.</v>
      </c>
      <c r="Q903" s="5" t="s">
        <v>653</v>
      </c>
    </row>
    <row r="904" spans="1:17" ht="12.75">
      <c r="A904" s="5" t="s">
        <v>693</v>
      </c>
      <c r="B904" s="5" t="s">
        <v>1474</v>
      </c>
      <c r="C904" s="5" t="s">
        <v>1475</v>
      </c>
      <c r="D904" s="5">
        <v>40.135339999999999</v>
      </c>
      <c r="E904" s="5">
        <v>8.9132800000000003</v>
      </c>
      <c r="F904" s="5">
        <v>40000</v>
      </c>
      <c r="G904" s="5" t="s">
        <v>1476</v>
      </c>
      <c r="H904" s="5" t="s">
        <v>1477</v>
      </c>
      <c r="I904" s="5" t="s">
        <v>1210</v>
      </c>
      <c r="J904" s="26" t="s">
        <v>487</v>
      </c>
      <c r="K904" s="5" t="s">
        <v>487</v>
      </c>
      <c r="L904" s="26" t="str">
        <f>VLOOKUP($K904,'Property names'!$A$1:$D$99,2,FALSE)</f>
        <v>The continuous movement of water in a particular direction.</v>
      </c>
      <c r="M904" s="26" t="str">
        <f>VLOOKUP($K904,'Property names'!$A$1:$D$99,3,FALSE)</f>
        <v>Cubic meters per second</v>
      </c>
      <c r="N904" s="26" t="str">
        <f>VLOOKUP($K904,'Property names'!$A$1:$D$99,4,FALSE)</f>
        <v>m^3/s</v>
      </c>
      <c r="O904" s="26" t="str">
        <f t="shared" si="27"/>
        <v>ENAS_40000_Water_Flow</v>
      </c>
      <c r="P904" s="26" t="str">
        <f t="shared" si="28"/>
        <v>The datastream containing mesures of field ENAS by sensor 40000 which measures Water Flow.</v>
      </c>
      <c r="Q904" s="5" t="s">
        <v>653</v>
      </c>
    </row>
    <row r="905" spans="1:17" ht="12.75">
      <c r="A905" s="5" t="s">
        <v>693</v>
      </c>
      <c r="B905" s="5" t="s">
        <v>1474</v>
      </c>
      <c r="C905" s="5" t="s">
        <v>1475</v>
      </c>
      <c r="D905" s="5">
        <v>40.135339999999999</v>
      </c>
      <c r="E905" s="5">
        <v>8.9132800000000003</v>
      </c>
      <c r="F905" s="5">
        <v>50065</v>
      </c>
      <c r="G905" s="5" t="s">
        <v>1476</v>
      </c>
      <c r="H905" s="5" t="s">
        <v>1477</v>
      </c>
      <c r="I905" s="5" t="s">
        <v>1210</v>
      </c>
      <c r="J905" s="26" t="s">
        <v>487</v>
      </c>
      <c r="K905" s="5" t="s">
        <v>487</v>
      </c>
      <c r="L905" s="26" t="str">
        <f>VLOOKUP($K905,'Property names'!$A$1:$D$99,2,FALSE)</f>
        <v>The continuous movement of water in a particular direction.</v>
      </c>
      <c r="M905" s="26" t="str">
        <f>VLOOKUP($K905,'Property names'!$A$1:$D$99,3,FALSE)</f>
        <v>Cubic meters per second</v>
      </c>
      <c r="N905" s="26" t="str">
        <f>VLOOKUP($K905,'Property names'!$A$1:$D$99,4,FALSE)</f>
        <v>m^3/s</v>
      </c>
      <c r="O905" s="26" t="str">
        <f t="shared" si="27"/>
        <v>ENAS_50065_Water_Flow</v>
      </c>
      <c r="P905" s="26" t="str">
        <f t="shared" si="28"/>
        <v>The datastream containing mesures of field ENAS by sensor 50065 which measures Water Flow.</v>
      </c>
      <c r="Q905" s="5" t="s">
        <v>653</v>
      </c>
    </row>
  </sheetData>
  <customSheetViews>
    <customSheetView guid="{6C8A9BB0-7449-4672-BB92-3E6F7F40513A}" filter="1" showAutoFilter="1">
      <pageMargins left="0.7" right="0.7" top="0.75" bottom="0.75" header="0.3" footer="0.3"/>
      <autoFilter ref="A1:P966" xr:uid="{AB2069EE-C5A7-40F5-9500-9C80A827E4DD}">
        <filterColumn colId="0">
          <filters blank="1">
            <filter val="Demo"/>
            <filter val="Lebanon"/>
            <filter val="Tunisia"/>
          </filters>
        </filterColumn>
        <filterColumn colId="7">
          <filters blank="1">
            <filter val="-"/>
            <filter val="Datalogger"/>
            <filter val="FTP"/>
            <filter val="Model"/>
            <filter val="ST01"/>
            <filter val="ST06"/>
            <filter val="ST07"/>
            <filter val="ST08"/>
            <filter val="ST11"/>
            <filter val="ST12"/>
            <filter val="ST13"/>
            <filter val="ST16"/>
            <filter val="STATION"/>
          </filters>
        </filterColumn>
      </autoFilter>
    </customSheetView>
    <customSheetView guid="{3D2F900D-2898-4F88-B724-10B4ECE753B5}" filter="1" showAutoFilter="1">
      <pageMargins left="0.7" right="0.7" top="0.75" bottom="0.75" header="0.3" footer="0.3"/>
      <autoFilter ref="A1:Q966" xr:uid="{D3F13D75-CFBE-4D83-9B00-8913F02A7410}">
        <filterColumn colId="0">
          <filters>
            <filter val="Demo"/>
            <filter val="Italy"/>
            <filter val="Jordan"/>
            <filter val="Lebanon"/>
            <filter val="Tunisia"/>
          </filters>
        </filterColumn>
        <filterColumn colId="1">
          <filters>
            <filter val="000008D6"/>
            <filter val="000008E5"/>
            <filter val="00204EB1"/>
            <filter val="Atef Al-Adi"/>
            <filter val="Camedda"/>
            <filter val="Cantoniera Reservoir"/>
            <filter val="Centro Aziendale"/>
            <filter val="Demo Field"/>
            <filter val="Desogus"/>
            <filter val="DRW 1"/>
            <filter val="DRW 2"/>
            <filter val="ENAS"/>
            <filter val="Es-haq Sawalha"/>
            <filter val="Faisal Neimat"/>
            <filter val="Haouch el Saalouk West Bekaa"/>
            <filter val="Ibrahim Al-Shareef"/>
            <filter val="Jomaa Dhibi"/>
            <filter val="Khalil Al-Edwan"/>
            <filter val="Lamine Moussa"/>
            <filter val="Mabrouka Company"/>
            <filter val="Mahmoud Al-Rajbi"/>
            <filter val="Matmata Nouvelle"/>
            <filter val="Mazzacaddeo"/>
            <filter val="NARC"/>
            <filter val="Noureddine Rojbani"/>
            <filter val="Old Matmata"/>
            <filter val="Perra 2"/>
            <filter val="Pinos"/>
            <filter val="Pivetta"/>
            <filter val="Saaideh Baalbeck"/>
            <filter val="Saraain Baalbeck"/>
            <filter val="SONEDE - Well Drilling 1"/>
            <filter val="SONEDE - Well Drilling 2"/>
            <filter val="SONEDE - Well Drilling 3"/>
            <filter val="SONEDE - Well Drilling 4"/>
            <filter val="SONEDE - Well Drilling 5"/>
            <filter val="SONEDE - Well Drilling 6"/>
            <filter val="Telal Al Thahab"/>
            <filter val="Tirso_Aquifer"/>
            <filter val="Torresan"/>
            <filter val="WWQ 1"/>
            <filter val="WWQ 2"/>
            <filter val="Yammouneh Lake"/>
            <filter val="z6-19947"/>
            <filter val="z6-19948"/>
          </filters>
        </filterColumn>
        <filterColumn colId="9">
          <filters>
            <filter val="220"/>
            <filter val="270"/>
            <filter val="5TE Battery voltage last"/>
            <filter val="Air pressure avg"/>
            <filter val="Air pressure max"/>
            <filter val="Air pressure min"/>
            <filter val="Air Temperature"/>
            <filter val="air_humidity"/>
            <filter val="air_temperature"/>
            <filter val="ambient_temperature"/>
            <filter val="AQT_Param1"/>
            <filter val="AQT_Param2"/>
            <filter val="AQT_Param3"/>
            <filter val="AQT_Param4"/>
            <filter val="AQT_Param6"/>
            <filter val="AQT_Param7"/>
            <filter val="Atmospheric Pressure"/>
            <filter val="Battery last"/>
            <filter val="Battery Percent"/>
            <filter val="Battery V"/>
            <filter val="Battery voltage"/>
            <filter val="battery_level"/>
            <filter val="BatteryVoltage"/>
            <filter val="co2_concentration"/>
            <filter val="count"/>
            <filter val="CSQ"/>
            <filter val="cumulative_precipitation"/>
            <filter val="cumulative_rainfall"/>
            <filter val="Depth_mH2O"/>
            <filter val="Dew Point avg"/>
            <filter val="Dew Point min"/>
            <filter val="Drybulb temperature avg"/>
            <filter val="Drybulb temperature max"/>
            <filter val="Drybulb temperature min"/>
            <filter val="ec"/>
            <filter val="electric_conductivity"/>
            <filter val="ET0"/>
            <filter val="FLOW"/>
            <filter val="Gust Speed"/>
            <filter val="HC Air temperature avg"/>
            <filter val="HC Air temperature max"/>
            <filter val="HC Air temperature min"/>
            <filter val="HC Relative humidity avg"/>
            <filter val="HC Relative humidity max"/>
            <filter val="HC Relative humidity min"/>
            <filter val="Leaf Wetness time"/>
            <filter val="leaf_wetting"/>
            <filter val="leak"/>
            <filter val="Learned flow"/>
            <filter val="Learned velocity"/>
            <filter val="level"/>
            <filter val="Lightning Activity"/>
            <filter val="Lightning Distance"/>
            <filter val="Logger Temperature"/>
            <filter val="Max Precip Rate"/>
            <filter val="Midnight"/>
            <filter val="NDVI"/>
            <filter val="nh3"/>
            <filter val="nitrate"/>
            <filter val="Nitrate Sensor_Temperature_C"/>
            <filter val="Nitrate_PPm"/>
            <filter val="no4"/>
            <filter val="Op. direction"/>
            <filter val="ORP_mV"/>
            <filter val="pH"/>
            <filter val="PI54a (VWC) avg"/>
            <filter val="Pitch"/>
            <filter val="Power Supply (V)"/>
            <filter val="PPm"/>
            <filter val="Precipitation"/>
            <filter val="Precipitation sum"/>
            <filter val="pressure"/>
            <filter val="Quality (SNR)"/>
            <filter val="RadialGrowth"/>
            <filter val="rain_intensity"/>
            <filter val="Reference Pressure"/>
            <filter val="RH Sensor Temp"/>
            <filter val="Roll"/>
            <filter val="SapFlow"/>
            <filter val="Self check"/>
            <filter val="soil_moisture"/>
            <filter val="soil_moisture_1"/>
            <filter val="soil_moisture_10"/>
            <filter val="soil_moisture_10cm"/>
            <filter val="soil_moisture_15cm"/>
            <filter val="soil_moisture_2"/>
            <filter val="soil_moisture_20"/>
            <filter val="soil_moisture_20cm"/>
            <filter val="soil_moisture_3"/>
            <filter val="soil_moisture_30"/>
            <filter val="soil_moisture_30cm"/>
            <filter val="soil_moisture_4"/>
            <filter val="soil_moisture_45"/>
            <filter val="soil_moisture_45cm"/>
            <filter val="soil_moisture_5"/>
            <filter val="soil_moisture_6"/>
            <filter val="soil_moisture_60"/>
            <filter val="soil_moisture_90"/>
            <filter val="soil_temperature"/>
            <filter val="soil_temperature_1"/>
            <filter val="soil_temperature_10cm"/>
            <filter val="soil_temperature_15cm"/>
            <filter val="soil_temperature_2"/>
            <filter val="soil_temperature_20cm"/>
            <filter val="soil_temperature_25"/>
            <filter val="soil_temperature_3"/>
            <filter val="soil_temperature_30cm"/>
            <filter val="soil_temperature_4"/>
            <filter val="soil_temperature_45cm"/>
            <filter val="soil_temperature_5"/>
            <filter val="soil_temperature_6"/>
            <filter val="Solar Radiation"/>
            <filter val="Solar V"/>
            <filter val="Solar voltage"/>
            <filter val="solar_radiation"/>
            <filter val="Specific Conductivity_us/cm"/>
            <filter val="STORAGE"/>
            <filter val="system_voltage"/>
            <filter val="Temp 1-100cm"/>
            <filter val="Temp 1-10cm"/>
            <filter val="Temp 1-120cm"/>
            <filter val="Temp 1-140cm"/>
            <filter val="Temp 1-160cm"/>
            <filter val="Temp 1-20cm"/>
            <filter val="Temp 1-40cm"/>
            <filter val="Temp 1-60cm"/>
            <filter val="Temp 1-80cm"/>
            <filter val="Temp 2-100cm"/>
            <filter val="Temp 2-10cm"/>
            <filter val="Temp 2-120cm"/>
            <filter val="Temp 2-140cm"/>
            <filter val="Temp 2-160cm"/>
            <filter val="Temp 2-20cm"/>
            <filter val="Temp 2-40cm"/>
            <filter val="Temp 2-60cm"/>
            <filter val="Temp 2-80cm"/>
            <filter val="Temp 3-100cm"/>
            <filter val="Temp 3-10cm"/>
            <filter val="Temp 3-120cm"/>
            <filter val="Temp 3-140cm"/>
            <filter val="Temp 3-160cm"/>
            <filter val="Temp 3-20cm"/>
            <filter val="Temp 3-40cm"/>
            <filter val="Temp 3-60cm"/>
            <filter val="Temp 3-80cm"/>
            <filter val="temperature"/>
            <filter val="Temperature_C"/>
            <filter val="Tensiometer avg"/>
            <filter val="Tensiometer max"/>
            <filter val="Tensiometer min"/>
            <filter val="Timestamp"/>
            <filter val="Total flow"/>
            <filter val="Turbidity_NTU"/>
            <filter val="valve1_pulse"/>
            <filter val="valve1_status"/>
            <filter val="valve2_pulse"/>
            <filter val="valve2_status"/>
            <filter val="Vapor Pressure"/>
            <filter val="Velocity"/>
            <filter val="Voltage"/>
            <filter val="VPD"/>
            <filter val="VPD min"/>
            <filter val="VWC 1-100cm"/>
            <filter val="VWC 1-10cm"/>
            <filter val="VWC 1-120cm"/>
            <filter val="VWC 1-140cm"/>
            <filter val="VWC 1-160cm"/>
            <filter val="VWC 1-20cm"/>
            <filter val="VWC 1-40cm"/>
            <filter val="VWC 1-60cm"/>
            <filter val="VWC 1-80cm"/>
            <filter val="VWC 2-100cm"/>
            <filter val="VWC 2-10cm"/>
            <filter val="VWC 2-120cm"/>
            <filter val="VWC 2-140cm"/>
            <filter val="VWC 2-160cm"/>
            <filter val="VWC 2-20cm"/>
            <filter val="VWC 2-40cm"/>
            <filter val="VWC 2-60cm"/>
            <filter val="VWC 2-80cm"/>
            <filter val="VWC 3-100cm"/>
            <filter val="VWC 3-10cm"/>
            <filter val="VWC 3-120cm"/>
            <filter val="VWC 3-140cm"/>
            <filter val="VWC 3-160cm"/>
            <filter val="VWC 3-20cm"/>
            <filter val="VWC 3-40cm"/>
            <filter val="VWC 3-60cm"/>
            <filter val="VWC 3-80cm"/>
            <filter val="Water Flow"/>
            <filter val="Water level"/>
            <filter val="Water Level mH2O TOW"/>
            <filter val="Water Level mH2O_TOW"/>
            <filter val="Water Storage"/>
            <filter val="water_count"/>
            <filter val="water_count_m3"/>
            <filter val="water_flow"/>
            <filter val="water_level"/>
            <filter val="Watermark 1 avg"/>
            <filter val="Watermark 2 avg"/>
            <filter val="Watermark avg"/>
            <filter val="Wave Length_ABS 220"/>
            <filter val="Wave Length_ABS 270"/>
            <filter val="Wetbulb temperature avg"/>
            <filter val="Wetbulb temperature max"/>
            <filter val="Wetbulb temperature min"/>
            <filter val="Wind Direction"/>
            <filter val="Wind orientation"/>
            <filter val="Wind Speed"/>
            <filter val="wind_direction"/>
            <filter val="wind_speed"/>
            <filter val="X-axis Level"/>
            <filter val="Yaw"/>
            <filter val="Y-axis Level"/>
          </filters>
        </filterColumn>
        <filterColumn colId="16">
          <filters>
            <filter val="Weekly"/>
            <filter val="None"/>
          </filters>
        </filterColumn>
      </autoFilter>
    </customSheetView>
    <customSheetView guid="{662E6344-8127-4602-9175-96E5F8F14543}" filter="1" showAutoFilter="1">
      <pageMargins left="0.7" right="0.7" top="0.75" bottom="0.75" header="0.3" footer="0.3"/>
      <autoFilter ref="A1:P966" xr:uid="{B37CEBC4-1088-481C-8145-0E14C4163E03}">
        <filterColumn colId="1">
          <filters>
            <filter val="000008D6"/>
            <filter val="000008E5"/>
            <filter val="00204EB1"/>
            <filter val="Atef Al-Adi"/>
            <filter val="Camedda"/>
            <filter val="Cantoniera Reservoir"/>
            <filter val="Centro Aziendale"/>
            <filter val="Demo Field"/>
            <filter val="Desogus"/>
            <filter val="DRW 1"/>
            <filter val="DRW 2"/>
            <filter val="ENAS"/>
            <filter val="Es-haq Sawalha"/>
            <filter val="Faisal Neimat"/>
            <filter val="Haouch el Saalouk West Bekaa"/>
            <filter val="Ibrahim Al-Shareef"/>
            <filter val="Jomaa Dhibi"/>
            <filter val="Khalil Al-Edwan"/>
            <filter val="Lamine Moussa"/>
            <filter val="Mabrouka Company"/>
            <filter val="Mahmoud Al-Rajbi"/>
            <filter val="Matmata Nouvelle"/>
            <filter val="Mazzacaddeo"/>
            <filter val="NARC"/>
            <filter val="Noureddine Rojbani"/>
            <filter val="Old Matmata"/>
            <filter val="Perra 2"/>
            <filter val="Pinos"/>
            <filter val="Pivetta"/>
            <filter val="Saaideh Baalbeck"/>
            <filter val="Saraain Baalbeck"/>
            <filter val="SONEDE - Well Drilling 1"/>
            <filter val="SONEDE - Well Drilling 2"/>
            <filter val="SONEDE - Well Drilling 3"/>
            <filter val="SONEDE - Well Drilling 4"/>
            <filter val="SONEDE - Well Drilling 5"/>
            <filter val="SONEDE - Well Drilling 6"/>
            <filter val="Telal Al Thahab"/>
            <filter val="Tirso_Aquifer"/>
            <filter val="Torresan"/>
            <filter val="WWQ 1"/>
            <filter val="WWQ 2"/>
            <filter val="Yammouneh Lake"/>
            <filter val="z6-19947"/>
            <filter val="z6-19948"/>
          </filters>
        </filterColumn>
        <filterColumn colId="10">
          <filters>
            <filter val="Air Humidity"/>
            <filter val="Air Temperature"/>
            <filter val="Atmospheric Pressure"/>
            <filter val="Battery Level"/>
            <filter val="Battery Voltage"/>
            <filter val="CO2 Concentration"/>
            <filter val="CSQ"/>
            <filter val="Cumulative Rainfall"/>
            <filter val="Dew Point"/>
            <filter val="Electric Conductivity"/>
            <filter val="Flowmeter pulses"/>
            <filter val="Groundwater Level"/>
            <filter val="Gust Speed"/>
            <filter val="Leaf Wetness"/>
            <filter val="Leak warning"/>
            <filter val="Lightning Activity"/>
            <filter val="Lightning Distance"/>
            <filter val="Logger Temperature"/>
            <filter val="Max Precipitation Rate"/>
            <filter val="Midnight"/>
            <filter val="NDVI"/>
            <filter val="NH3 / Ammonia"/>
            <filter val="NO4 / Nitrate"/>
            <filter val="ORP"/>
            <filter val="pH"/>
            <filter val="Pitch"/>
            <filter val="Precipitation"/>
            <filter val="Radial Growth"/>
            <filter val="Reference evapotranspiration"/>
            <filter val="Reference Pressure"/>
            <filter val="RH Sensor Temp"/>
            <filter val="Roll"/>
            <filter val="Sap Flow Velocity"/>
            <filter val="Soil Moisture"/>
            <filter val="Soil Temperature"/>
            <filter val="Solar Radiation"/>
            <filter val="Temperature"/>
            <filter val="Tensiometer"/>
            <filter val="Timestamp"/>
            <filter val="Turbidity"/>
            <filter val="Unknown"/>
            <filter val="Valve status"/>
            <filter val="Vapor Pressure"/>
            <filter val="VPD"/>
            <filter val="Water count m^3"/>
            <filter val="Water Flow"/>
            <filter val="Water flow m^3/h"/>
            <filter val="Water level cm"/>
            <filter val="Water Storage"/>
            <filter val="Wind Direction"/>
            <filter val="Wind Speed"/>
            <filter val="X-axis Level"/>
            <filter val="Yaw"/>
            <filter val="Y-axis Level"/>
          </filters>
        </filterColumn>
      </autoFilter>
    </customSheetView>
  </customSheetViews>
  <conditionalFormatting sqref="A1:A905">
    <cfRule type="containsText" dxfId="9" priority="1" operator="containsText" text="Demo">
      <formula>NOT(ISERROR(SEARCH(("Demo"),(A1))))</formula>
    </cfRule>
    <cfRule type="containsText" dxfId="8" priority="2" operator="containsText" text="Italy">
      <formula>NOT(ISERROR(SEARCH(("Italy"),(A1))))</formula>
    </cfRule>
    <cfRule type="containsText" dxfId="7" priority="3" operator="containsText" text="Jordan">
      <formula>NOT(ISERROR(SEARCH(("Jordan"),(A1))))</formula>
    </cfRule>
    <cfRule type="containsText" dxfId="6" priority="4" operator="containsText" text="Tunisia">
      <formula>NOT(ISERROR(SEARCH(("Tunisia"),(A1))))</formula>
    </cfRule>
    <cfRule type="containsText" dxfId="5" priority="5" operator="containsText" text="Lebanon">
      <formula>NOT(ISERROR(SEARCH(("Lebanon"),(A1))))</formula>
    </cfRule>
  </conditionalFormatting>
  <dataValidations count="3">
    <dataValidation type="list" allowBlank="1" showErrorMessage="1" sqref="K2:K180 K188:K190 K198:K200 K208:K210 K218:K220 K228:K230 K238:K240 K248:K250 K258:K260 K268:K270 K278:K280 K288:K290 K298:K300 K308:K310 K318:K320 K328:K330 K338:K340 K348:K350 K358:K360 K368:K370 K378:K380 K388:K390 K398:K400 K408:K410 K418:K469 K470:K543 K544:K641 K642:K676 K902:K905 K677:K861" xr:uid="{00000000-0002-0000-0100-000001000000}">
      <formula1>"Air Temperature,Air Humidity,CO2 Concentration,Soil Moisture,Soil Temperature,Battery Level,Valve status,Flowmeter pulses,Leak warning,Type,Atmospheric Pressure,Battery Voltage,Gust Speed,Lightning Activity,Lightning Distance,Logger Temperature,Max Precip"&amp;"itation Rate,Precipitation,RH Sensor Temp,Reference Pressure,Solar Radiation,VPD,Vapor Pressure,Wind Direction,Wind Speed,X-axis Level,Y-axis Level,Temperature,Leaf Wetness,Dew Point,Midnight,Solar Panel,Serial Number,Chain Node,Reference evapotranspirati"&amp;"on,DeltaT,Latitude,Longitude,Altitude,Horizontal dilusion,Tensiometer,Unknown,Water Flow,pH,Electric Conductivity,NH3 / Ammonia,NO4 / Nitrate,Groundwater Level,ORP,Chlorophill,Cumulative Rainfall,Radial Growth,CSQ,Turbidity,Water flow m^3/h,Water count m^"&amp;"3,Water level cm,Water Storage"</formula1>
    </dataValidation>
    <dataValidation type="list" allowBlank="1" showErrorMessage="1" sqref="K181:K187 K191:K197 K201:K207 K211:K217 K221:K227 K231:K237 K241:K247 K251:K257 K261:K267 K271:K277 K281:K287 K291:K297 K301:K307 K311:K317 K321:K327 K331:K337 K341:K347 K351:K357 K361:K367 K371:K377 K381:K387 K391:K397 K401:K407 K411:K417" xr:uid="{00000000-0002-0000-0100-000002000000}">
      <formula1>"Air Temperature,Air Humidity,CO2 Concentration,Soil Moisture,Soil Temperature,Battery Level,Valve status,Flowmeter pulses,Leak warning,Type,Atmospheric Pressure,Battery Voltage,Gust Speed,Lightning Activity,Lightning Distance,Logger Temperature,Max Precip"&amp;"itation Rate,Precipitation,RH Sensor Temp,Reference Pressure,Solar Radiation,VPD,Vapor Pressure,Wind Direction,Wind Speed,X-axis Level,Y-axis Level,Temperature,Leaf Wetness,Dew Point,Midnight,Solar Panel,Serial Number,Chain Node,Reference evapotranspirati"&amp;"on,DeltaT,Latitude,Longitude,Altitude,Horizontal dilusion,Tensiometer,Unknown,Water Flow,pH,Electric Conductivity,NH3 / Ammonia,NO4 / Nitrate,Groundwater Level,ORP,Chlorophill,Cumulative Rainfall,Timestamp,NDVI,Radial Growth,Sap Flow Velocity,Yaw,Pitch,Ro"&amp;"ll"</formula1>
    </dataValidation>
    <dataValidation type="list" allowBlank="1" showErrorMessage="1" sqref="K862:K901" xr:uid="{00000000-0002-0000-0100-000003000000}">
      <formula1>"Air Temperature,Air Humidity,CO2 Concentration,Soil Moisture,Soil Temperature,Battery Level,Valve status,Flowmeter pulses,Leak warning,Type,Atmospheric Pressure,Battery Voltage,Gust Speed,Lightning Activity,Lightning Distance,Logger Temperature,Max Precip"&amp;"itation Rate,Precipitation,RH Sensor Temp,Reference Pressure,Solar Radiation,VPD,Vapor Pressure,Wind Direction,Wind Speed,X-axis Level,Y-axis Level,Temperature,Leaf Wetness,Dew Point,Midnight,Solar Panel,Serial Number,Chain Node,Reference evapotranspirati"&amp;"on,DeltaT,Latitude,Longitude,Altitude,Horizontal dilusion,Tensiometer,Unknown,Water Flow,pH,Electric Conductivity,NH3 / Ammonia,NO4 / Nitrate,Groundwater Level,ORP,Chlorophill,Cumulative Rainfall"</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'Property names'!$H$2:$H$6</xm:f>
          </x14:formula1>
          <xm:sqref>Q2:Q905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sheetPr>
  <dimension ref="A1:Q37"/>
  <sheetViews>
    <sheetView workbookViewId="0">
      <pane ySplit="5" topLeftCell="A6" activePane="bottomLeft" state="frozen"/>
      <selection pane="bottomLeft" activeCell="B7" sqref="B7"/>
    </sheetView>
  </sheetViews>
  <sheetFormatPr defaultColWidth="12.5703125" defaultRowHeight="15.75" customHeight="1"/>
  <cols>
    <col min="1" max="1" width="13.7109375" customWidth="1"/>
    <col min="3" max="3" width="14" customWidth="1"/>
    <col min="5" max="5" width="17.85546875" customWidth="1"/>
    <col min="6" max="6" width="16.42578125" customWidth="1"/>
    <col min="7" max="7" width="18.85546875" customWidth="1"/>
  </cols>
  <sheetData>
    <row r="1" spans="1:17">
      <c r="A1" s="22" t="s">
        <v>1478</v>
      </c>
      <c r="B1" s="219" t="s">
        <v>34</v>
      </c>
      <c r="C1" s="219" t="s">
        <v>39</v>
      </c>
      <c r="D1" s="219" t="s">
        <v>48</v>
      </c>
      <c r="E1" s="219" t="s">
        <v>56</v>
      </c>
      <c r="F1" s="219" t="s">
        <v>64</v>
      </c>
      <c r="G1" s="219" t="s">
        <v>72</v>
      </c>
      <c r="H1" s="219" t="s">
        <v>120</v>
      </c>
      <c r="I1" s="219" t="s">
        <v>170</v>
      </c>
      <c r="J1" s="219" t="s">
        <v>225</v>
      </c>
      <c r="K1" s="219" t="s">
        <v>233</v>
      </c>
      <c r="L1" s="219" t="s">
        <v>399</v>
      </c>
      <c r="M1" s="219" t="s">
        <v>260</v>
      </c>
      <c r="N1" s="219" t="s">
        <v>270</v>
      </c>
      <c r="O1" s="219" t="s">
        <v>279</v>
      </c>
      <c r="P1" s="219" t="s">
        <v>1479</v>
      </c>
      <c r="Q1" s="219" t="s">
        <v>220</v>
      </c>
    </row>
    <row r="2" spans="1:17">
      <c r="A2" s="22" t="s">
        <v>9</v>
      </c>
      <c r="B2" s="22" t="s">
        <v>253</v>
      </c>
      <c r="C2" s="22" t="s">
        <v>261</v>
      </c>
      <c r="D2" s="22" t="s">
        <v>261</v>
      </c>
      <c r="E2" s="22" t="s">
        <v>261</v>
      </c>
      <c r="F2" s="22" t="s">
        <v>261</v>
      </c>
      <c r="G2" s="22" t="s">
        <v>261</v>
      </c>
      <c r="H2" s="22" t="s">
        <v>261</v>
      </c>
      <c r="I2" s="22" t="s">
        <v>261</v>
      </c>
      <c r="J2" s="22" t="s">
        <v>1480</v>
      </c>
      <c r="K2" s="22" t="s">
        <v>261</v>
      </c>
      <c r="L2" s="22" t="s">
        <v>1480</v>
      </c>
      <c r="M2" s="22" t="s">
        <v>1480</v>
      </c>
      <c r="N2" s="22" t="s">
        <v>261</v>
      </c>
      <c r="O2" s="22" t="s">
        <v>1481</v>
      </c>
      <c r="P2" s="22" t="s">
        <v>1481</v>
      </c>
      <c r="Q2" s="22" t="s">
        <v>219</v>
      </c>
    </row>
    <row r="3" spans="1:17">
      <c r="A3" s="22" t="s">
        <v>10</v>
      </c>
      <c r="B3" s="22" t="s">
        <v>1482</v>
      </c>
      <c r="C3" s="22" t="s">
        <v>1483</v>
      </c>
      <c r="D3" s="22" t="s">
        <v>1483</v>
      </c>
      <c r="E3" s="22" t="s">
        <v>1484</v>
      </c>
      <c r="F3" s="22" t="s">
        <v>1485</v>
      </c>
      <c r="G3" s="22" t="s">
        <v>1485</v>
      </c>
      <c r="H3" s="22" t="s">
        <v>1486</v>
      </c>
      <c r="I3" s="22" t="s">
        <v>1487</v>
      </c>
      <c r="J3" s="22" t="s">
        <v>1488</v>
      </c>
      <c r="K3" s="22" t="s">
        <v>1489</v>
      </c>
      <c r="L3" s="22" t="s">
        <v>1490</v>
      </c>
      <c r="M3" s="22" t="s">
        <v>1490</v>
      </c>
      <c r="N3" s="22" t="s">
        <v>262</v>
      </c>
      <c r="O3" s="22" t="s">
        <v>271</v>
      </c>
      <c r="P3" s="22" t="s">
        <v>1491</v>
      </c>
      <c r="Q3" s="22" t="s">
        <v>1488</v>
      </c>
    </row>
    <row r="4" spans="1:17" ht="15.75" customHeight="1">
      <c r="A4" s="22" t="s">
        <v>11</v>
      </c>
      <c r="B4" s="22" t="s">
        <v>1492</v>
      </c>
      <c r="C4" s="22" t="s">
        <v>38</v>
      </c>
      <c r="D4" s="220" t="s">
        <v>1493</v>
      </c>
      <c r="E4" s="220" t="s">
        <v>1494</v>
      </c>
      <c r="F4" s="22" t="s">
        <v>1495</v>
      </c>
      <c r="G4" s="22" t="s">
        <v>1496</v>
      </c>
      <c r="H4" s="22" t="s">
        <v>1497</v>
      </c>
      <c r="I4" s="22" t="s">
        <v>1498</v>
      </c>
      <c r="J4" s="22" t="s">
        <v>1499</v>
      </c>
      <c r="K4" s="22" t="s">
        <v>1500</v>
      </c>
      <c r="L4" s="22" t="s">
        <v>1501</v>
      </c>
      <c r="M4" s="22" t="s">
        <v>1502</v>
      </c>
      <c r="N4" s="22" t="s">
        <v>1503</v>
      </c>
      <c r="O4" s="22" t="s">
        <v>1504</v>
      </c>
      <c r="P4" s="22" t="s">
        <v>281</v>
      </c>
      <c r="Q4" s="22" t="s">
        <v>1505</v>
      </c>
    </row>
    <row r="5" spans="1:17">
      <c r="A5" s="22" t="s">
        <v>1506</v>
      </c>
      <c r="B5" s="22"/>
      <c r="C5" s="22" t="s">
        <v>30</v>
      </c>
      <c r="D5" s="22" t="s">
        <v>30</v>
      </c>
      <c r="E5" s="22" t="s">
        <v>30</v>
      </c>
      <c r="F5" s="22"/>
      <c r="G5" s="22"/>
      <c r="H5" s="22"/>
      <c r="I5" s="22" t="s">
        <v>693</v>
      </c>
      <c r="J5" s="22" t="s">
        <v>693</v>
      </c>
      <c r="K5" s="22"/>
      <c r="L5" s="22" t="s">
        <v>248</v>
      </c>
      <c r="M5" s="22" t="s">
        <v>248</v>
      </c>
      <c r="N5" s="22" t="s">
        <v>248</v>
      </c>
      <c r="O5" s="22" t="s">
        <v>248</v>
      </c>
      <c r="P5" s="22" t="s">
        <v>248</v>
      </c>
      <c r="Q5" s="22" t="s">
        <v>693</v>
      </c>
    </row>
    <row r="6" spans="1:17" ht="15.75" customHeight="1">
      <c r="A6" s="247" t="s">
        <v>1507</v>
      </c>
      <c r="B6" s="221" t="s">
        <v>716</v>
      </c>
      <c r="C6" s="221" t="s">
        <v>1508</v>
      </c>
      <c r="D6" s="221" t="s">
        <v>1509</v>
      </c>
      <c r="E6" s="221" t="s">
        <v>664</v>
      </c>
      <c r="F6" s="221" t="s">
        <v>1510</v>
      </c>
      <c r="G6" s="221" t="s">
        <v>1511</v>
      </c>
      <c r="H6" s="221" t="s">
        <v>1512</v>
      </c>
      <c r="I6" s="221" t="s">
        <v>716</v>
      </c>
      <c r="J6" s="5" t="s">
        <v>1513</v>
      </c>
      <c r="K6" s="221"/>
      <c r="L6" s="221"/>
      <c r="M6" s="221"/>
      <c r="N6" s="221"/>
      <c r="O6" s="221"/>
      <c r="P6" s="221"/>
      <c r="Q6" s="222" t="s">
        <v>1513</v>
      </c>
    </row>
    <row r="7" spans="1:17" ht="15.75" customHeight="1">
      <c r="A7" s="248"/>
      <c r="B7" s="223" t="s">
        <v>1514</v>
      </c>
      <c r="C7" s="223" t="s">
        <v>1515</v>
      </c>
      <c r="D7" s="223" t="s">
        <v>1516</v>
      </c>
      <c r="E7" s="223" t="s">
        <v>666</v>
      </c>
      <c r="F7" s="223" t="s">
        <v>1517</v>
      </c>
      <c r="G7" s="223" t="s">
        <v>1518</v>
      </c>
      <c r="H7" s="223" t="s">
        <v>1519</v>
      </c>
      <c r="I7" s="223" t="s">
        <v>726</v>
      </c>
      <c r="J7" s="5" t="s">
        <v>708</v>
      </c>
      <c r="K7" s="223"/>
      <c r="L7" s="223"/>
      <c r="M7" s="223"/>
      <c r="N7" s="223"/>
      <c r="O7" s="223"/>
      <c r="P7" s="223"/>
      <c r="Q7" s="224" t="s">
        <v>1520</v>
      </c>
    </row>
    <row r="8" spans="1:17" ht="15.75" customHeight="1">
      <c r="A8" s="248"/>
      <c r="B8" s="223" t="s">
        <v>1521</v>
      </c>
      <c r="C8" s="223" t="s">
        <v>1522</v>
      </c>
      <c r="D8" s="223" t="s">
        <v>1523</v>
      </c>
      <c r="E8" s="223" t="s">
        <v>668</v>
      </c>
      <c r="F8" s="223" t="s">
        <v>1524</v>
      </c>
      <c r="G8" s="223" t="s">
        <v>1525</v>
      </c>
      <c r="H8" s="223" t="s">
        <v>1526</v>
      </c>
      <c r="I8" s="223" t="s">
        <v>719</v>
      </c>
      <c r="J8" s="5" t="s">
        <v>651</v>
      </c>
      <c r="K8" s="223"/>
      <c r="L8" s="223"/>
      <c r="M8" s="223"/>
      <c r="N8" s="223"/>
      <c r="O8" s="223"/>
      <c r="P8" s="223"/>
      <c r="Q8" s="224" t="s">
        <v>1527</v>
      </c>
    </row>
    <row r="9" spans="1:17" ht="15.75" customHeight="1">
      <c r="A9" s="248"/>
      <c r="B9" s="223" t="s">
        <v>1528</v>
      </c>
      <c r="C9" s="223" t="s">
        <v>1529</v>
      </c>
      <c r="D9" s="223" t="s">
        <v>664</v>
      </c>
      <c r="E9" s="223" t="s">
        <v>670</v>
      </c>
      <c r="F9" s="223" t="s">
        <v>1530</v>
      </c>
      <c r="G9" s="223" t="s">
        <v>1531</v>
      </c>
      <c r="H9" s="223" t="s">
        <v>1532</v>
      </c>
      <c r="I9" s="223" t="s">
        <v>722</v>
      </c>
      <c r="J9" s="5" t="s">
        <v>654</v>
      </c>
      <c r="K9" s="223"/>
      <c r="L9" s="223"/>
      <c r="M9" s="223"/>
      <c r="N9" s="223"/>
      <c r="O9" s="223"/>
      <c r="P9" s="223"/>
      <c r="Q9" s="224" t="s">
        <v>1533</v>
      </c>
    </row>
    <row r="10" spans="1:17" ht="15.75" customHeight="1">
      <c r="A10" s="248"/>
      <c r="B10" s="223" t="s">
        <v>1534</v>
      </c>
      <c r="C10" s="223" t="s">
        <v>1535</v>
      </c>
      <c r="D10" s="223"/>
      <c r="E10" s="223" t="s">
        <v>671</v>
      </c>
      <c r="F10" s="223" t="s">
        <v>1536</v>
      </c>
      <c r="G10" s="223" t="s">
        <v>1537</v>
      </c>
      <c r="H10" s="223" t="s">
        <v>1538</v>
      </c>
      <c r="I10" s="223" t="s">
        <v>1539</v>
      </c>
      <c r="J10" s="5" t="s">
        <v>710</v>
      </c>
      <c r="K10" s="223"/>
      <c r="L10" s="223"/>
      <c r="M10" s="223"/>
      <c r="N10" s="223"/>
      <c r="O10" s="223"/>
      <c r="P10" s="223"/>
      <c r="Q10" s="223"/>
    </row>
    <row r="11" spans="1:17" ht="15.75" customHeight="1">
      <c r="A11" s="248"/>
      <c r="B11" s="223" t="s">
        <v>1535</v>
      </c>
      <c r="C11" s="223" t="s">
        <v>1540</v>
      </c>
      <c r="D11" s="223"/>
      <c r="E11" s="223"/>
      <c r="F11" s="223" t="s">
        <v>1541</v>
      </c>
      <c r="G11" s="223"/>
      <c r="H11" s="223" t="s">
        <v>1542</v>
      </c>
      <c r="I11" s="223" t="s">
        <v>1543</v>
      </c>
      <c r="J11" s="5" t="s">
        <v>712</v>
      </c>
      <c r="K11" s="223"/>
      <c r="L11" s="223"/>
      <c r="M11" s="223"/>
      <c r="N11" s="223"/>
      <c r="O11" s="223"/>
      <c r="P11" s="223"/>
      <c r="Q11" s="223"/>
    </row>
    <row r="12" spans="1:17" ht="15.75" customHeight="1">
      <c r="A12" s="248"/>
      <c r="B12" s="223" t="s">
        <v>1544</v>
      </c>
      <c r="C12" s="223" t="s">
        <v>1545</v>
      </c>
      <c r="D12" s="223"/>
      <c r="E12" s="223"/>
      <c r="F12" s="223" t="s">
        <v>1546</v>
      </c>
      <c r="G12" s="223"/>
      <c r="H12" s="223" t="s">
        <v>1547</v>
      </c>
      <c r="I12" s="223" t="s">
        <v>1548</v>
      </c>
      <c r="K12" s="223"/>
      <c r="L12" s="223"/>
      <c r="M12" s="223"/>
      <c r="N12" s="223"/>
      <c r="O12" s="223"/>
      <c r="P12" s="223"/>
      <c r="Q12" s="223"/>
    </row>
    <row r="13" spans="1:17" ht="15.75" customHeight="1">
      <c r="A13" s="248"/>
      <c r="B13" s="223" t="s">
        <v>1549</v>
      </c>
      <c r="C13" s="223" t="s">
        <v>1550</v>
      </c>
      <c r="D13" s="223"/>
      <c r="E13" s="223"/>
      <c r="F13" s="223"/>
      <c r="G13" s="223"/>
      <c r="H13" s="223" t="s">
        <v>1551</v>
      </c>
      <c r="I13" s="223" t="s">
        <v>1552</v>
      </c>
      <c r="K13" s="223"/>
      <c r="L13" s="223"/>
      <c r="M13" s="223"/>
      <c r="N13" s="223"/>
      <c r="O13" s="223"/>
      <c r="P13" s="223"/>
      <c r="Q13" s="223"/>
    </row>
    <row r="14" spans="1:17" ht="15.75" customHeight="1">
      <c r="A14" s="248"/>
      <c r="B14" s="223" t="s">
        <v>1553</v>
      </c>
      <c r="D14" s="223"/>
      <c r="E14" s="223"/>
      <c r="F14" s="223" t="s">
        <v>1537</v>
      </c>
      <c r="G14" s="223"/>
      <c r="H14" s="223" t="s">
        <v>1554</v>
      </c>
      <c r="I14" s="223"/>
      <c r="K14" s="223"/>
      <c r="L14" s="223"/>
      <c r="M14" s="223"/>
      <c r="N14" s="223"/>
      <c r="O14" s="223"/>
      <c r="P14" s="223"/>
      <c r="Q14" s="223"/>
    </row>
    <row r="15" spans="1:17" ht="15.75" customHeight="1">
      <c r="A15" s="248"/>
      <c r="B15" s="223" t="s">
        <v>1555</v>
      </c>
      <c r="D15" s="223"/>
      <c r="E15" s="223"/>
      <c r="F15" s="223"/>
      <c r="G15" s="223"/>
      <c r="H15" s="223" t="s">
        <v>1556</v>
      </c>
      <c r="I15" s="223"/>
      <c r="K15" s="223"/>
      <c r="L15" s="223"/>
      <c r="M15" s="223"/>
      <c r="N15" s="223"/>
      <c r="O15" s="223"/>
      <c r="P15" s="223"/>
      <c r="Q15" s="223"/>
    </row>
    <row r="16" spans="1:17" ht="15.75" customHeight="1">
      <c r="A16" s="248"/>
      <c r="B16" s="223" t="s">
        <v>1557</v>
      </c>
      <c r="C16" s="223"/>
      <c r="D16" s="223"/>
      <c r="E16" s="223"/>
      <c r="F16" s="223"/>
      <c r="G16" s="223"/>
      <c r="H16" s="223" t="s">
        <v>1558</v>
      </c>
      <c r="I16" s="223"/>
      <c r="K16" s="223"/>
      <c r="L16" s="223"/>
      <c r="M16" s="223"/>
      <c r="N16" s="223"/>
      <c r="O16" s="223"/>
      <c r="P16" s="223"/>
      <c r="Q16" s="223"/>
    </row>
    <row r="17" spans="1:17" ht="15.75" customHeight="1">
      <c r="A17" s="248"/>
      <c r="B17" s="223" t="s">
        <v>1559</v>
      </c>
      <c r="C17" s="223"/>
      <c r="D17" s="223"/>
      <c r="E17" s="223"/>
      <c r="F17" s="223"/>
      <c r="G17" s="223"/>
      <c r="H17" s="223" t="s">
        <v>1560</v>
      </c>
      <c r="I17" s="223"/>
      <c r="J17" s="223"/>
      <c r="K17" s="223"/>
      <c r="L17" s="223"/>
      <c r="M17" s="223"/>
      <c r="N17" s="223"/>
      <c r="O17" s="223"/>
      <c r="P17" s="223"/>
      <c r="Q17" s="223"/>
    </row>
    <row r="18" spans="1:17" ht="15.75" customHeight="1">
      <c r="A18" s="249"/>
      <c r="B18" s="223"/>
      <c r="C18" s="223"/>
      <c r="D18" s="223"/>
      <c r="E18" s="223"/>
      <c r="F18" s="223"/>
      <c r="G18" s="223"/>
      <c r="H18" s="223" t="s">
        <v>1561</v>
      </c>
      <c r="I18" s="223"/>
      <c r="J18" s="223"/>
      <c r="K18" s="223"/>
      <c r="L18" s="223"/>
      <c r="M18" s="223"/>
      <c r="N18" s="223"/>
      <c r="O18" s="223"/>
      <c r="P18" s="223"/>
      <c r="Q18" s="225"/>
    </row>
    <row r="19" spans="1:17" ht="15.75" customHeight="1">
      <c r="A19" s="247" t="s">
        <v>1562</v>
      </c>
      <c r="B19" s="221"/>
      <c r="C19" s="221"/>
      <c r="D19" s="221"/>
      <c r="E19" s="221"/>
      <c r="F19" s="221" t="s">
        <v>1563</v>
      </c>
      <c r="G19" s="221"/>
      <c r="H19" s="221"/>
      <c r="I19" s="221"/>
      <c r="J19" s="221"/>
      <c r="K19" s="221"/>
      <c r="L19" s="221"/>
      <c r="M19" s="221"/>
      <c r="N19" s="221"/>
      <c r="O19" s="221"/>
      <c r="P19" s="221"/>
      <c r="Q19" s="221"/>
    </row>
    <row r="20" spans="1:17" ht="15.75" customHeight="1">
      <c r="A20" s="248"/>
      <c r="B20" s="223"/>
      <c r="C20" s="223"/>
      <c r="D20" s="223"/>
      <c r="E20" s="223"/>
      <c r="F20" s="223" t="s">
        <v>1564</v>
      </c>
      <c r="G20" s="223"/>
      <c r="H20" s="223"/>
      <c r="I20" s="223"/>
      <c r="J20" s="223"/>
      <c r="K20" s="223"/>
      <c r="L20" s="223"/>
      <c r="M20" s="223"/>
      <c r="N20" s="223"/>
      <c r="O20" s="223"/>
      <c r="P20" s="223"/>
      <c r="Q20" s="223"/>
    </row>
    <row r="21" spans="1:17" ht="15.75" customHeight="1">
      <c r="A21" s="248"/>
      <c r="B21" s="223"/>
      <c r="C21" s="223"/>
      <c r="D21" s="223"/>
      <c r="E21" s="223"/>
      <c r="F21" s="223" t="s">
        <v>1565</v>
      </c>
      <c r="G21" s="223"/>
      <c r="H21" s="223"/>
      <c r="I21" s="223"/>
      <c r="J21" s="223"/>
      <c r="K21" s="223"/>
      <c r="L21" s="223"/>
      <c r="M21" s="223"/>
      <c r="N21" s="223"/>
      <c r="O21" s="223"/>
      <c r="P21" s="223"/>
      <c r="Q21" s="223"/>
    </row>
    <row r="22" spans="1:17" ht="15.75" customHeight="1">
      <c r="A22" s="248"/>
      <c r="B22" s="223"/>
      <c r="C22" s="223"/>
      <c r="D22" s="223"/>
      <c r="E22" s="223"/>
      <c r="F22" s="223" t="s">
        <v>1566</v>
      </c>
      <c r="G22" s="223"/>
      <c r="H22" s="223"/>
      <c r="I22" s="223"/>
      <c r="J22" s="223"/>
      <c r="K22" s="223"/>
      <c r="L22" s="223"/>
      <c r="M22" s="223"/>
      <c r="N22" s="223"/>
      <c r="O22" s="223"/>
      <c r="P22" s="223"/>
      <c r="Q22" s="223"/>
    </row>
    <row r="23" spans="1:17" ht="15.75" customHeight="1">
      <c r="A23" s="248"/>
      <c r="B23" s="223"/>
      <c r="C23" s="223"/>
      <c r="D23" s="223"/>
      <c r="E23" s="223"/>
      <c r="F23" s="223" t="s">
        <v>1567</v>
      </c>
      <c r="G23" s="223"/>
      <c r="H23" s="223"/>
      <c r="I23" s="223"/>
      <c r="J23" s="223"/>
      <c r="K23" s="223"/>
      <c r="L23" s="223"/>
      <c r="M23" s="223"/>
      <c r="N23" s="223"/>
      <c r="O23" s="223"/>
      <c r="P23" s="223"/>
      <c r="Q23" s="223"/>
    </row>
    <row r="24" spans="1:17" ht="15.75" customHeight="1">
      <c r="A24" s="248"/>
      <c r="B24" s="223"/>
      <c r="C24" s="223"/>
      <c r="D24" s="223"/>
      <c r="E24" s="223"/>
      <c r="F24" s="223" t="s">
        <v>1568</v>
      </c>
      <c r="G24" s="223"/>
      <c r="H24" s="223"/>
      <c r="I24" s="223"/>
      <c r="J24" s="223"/>
      <c r="K24" s="223"/>
      <c r="L24" s="223"/>
      <c r="M24" s="223"/>
      <c r="N24" s="223"/>
      <c r="O24" s="223"/>
      <c r="P24" s="223"/>
      <c r="Q24" s="223"/>
    </row>
    <row r="25" spans="1:17" ht="15.75" customHeight="1">
      <c r="A25" s="248"/>
      <c r="B25" s="223"/>
      <c r="C25" s="223"/>
      <c r="D25" s="223"/>
      <c r="E25" s="223"/>
      <c r="F25" s="223" t="s">
        <v>1569</v>
      </c>
      <c r="G25" s="223"/>
      <c r="H25" s="223"/>
      <c r="I25" s="223"/>
      <c r="J25" s="223"/>
      <c r="K25" s="223"/>
      <c r="L25" s="223"/>
      <c r="M25" s="223"/>
      <c r="N25" s="223"/>
      <c r="O25" s="223"/>
      <c r="P25" s="223"/>
      <c r="Q25" s="223"/>
    </row>
    <row r="26" spans="1:17" ht="15.75" customHeight="1">
      <c r="A26" s="248"/>
      <c r="B26" s="223"/>
      <c r="C26" s="223"/>
      <c r="D26" s="223"/>
      <c r="E26" s="223"/>
      <c r="F26" s="223" t="s">
        <v>1546</v>
      </c>
      <c r="G26" s="223"/>
      <c r="H26" s="223"/>
      <c r="I26" s="223"/>
      <c r="J26" s="223"/>
      <c r="K26" s="223"/>
      <c r="L26" s="223"/>
      <c r="M26" s="223"/>
      <c r="N26" s="223"/>
      <c r="O26" s="223"/>
      <c r="P26" s="223"/>
      <c r="Q26" s="223"/>
    </row>
    <row r="27" spans="1:17" ht="15.75" customHeight="1">
      <c r="A27" s="248"/>
      <c r="B27" s="223"/>
      <c r="C27" s="223"/>
      <c r="D27" s="223"/>
      <c r="E27" s="223"/>
      <c r="F27" s="223" t="s">
        <v>1570</v>
      </c>
      <c r="G27" s="223"/>
      <c r="H27" s="223"/>
      <c r="I27" s="223"/>
      <c r="J27" s="223"/>
      <c r="K27" s="223"/>
      <c r="L27" s="223"/>
      <c r="M27" s="223"/>
      <c r="N27" s="223"/>
      <c r="O27" s="223"/>
      <c r="P27" s="223"/>
      <c r="Q27" s="223"/>
    </row>
    <row r="28" spans="1:17" ht="15.75" customHeight="1">
      <c r="A28" s="248"/>
      <c r="B28" s="223"/>
      <c r="C28" s="223"/>
      <c r="D28" s="223"/>
      <c r="E28" s="223"/>
      <c r="F28" s="223" t="s">
        <v>1537</v>
      </c>
      <c r="G28" s="223"/>
      <c r="H28" s="223"/>
      <c r="I28" s="223"/>
      <c r="J28" s="223"/>
      <c r="K28" s="223"/>
      <c r="L28" s="223"/>
      <c r="M28" s="223"/>
      <c r="N28" s="223"/>
      <c r="O28" s="223"/>
      <c r="P28" s="223"/>
      <c r="Q28" s="223"/>
    </row>
    <row r="29" spans="1:17" ht="15.75" customHeight="1">
      <c r="A29" s="248"/>
      <c r="B29" s="223"/>
      <c r="C29" s="223"/>
      <c r="D29" s="223"/>
      <c r="E29" s="223"/>
      <c r="F29" s="223"/>
      <c r="G29" s="223"/>
      <c r="H29" s="223"/>
      <c r="I29" s="223"/>
      <c r="J29" s="223"/>
      <c r="K29" s="223"/>
      <c r="L29" s="223"/>
      <c r="M29" s="223"/>
      <c r="N29" s="223"/>
      <c r="O29" s="223"/>
      <c r="P29" s="223"/>
      <c r="Q29" s="223"/>
    </row>
    <row r="30" spans="1:17" ht="15.75" customHeight="1">
      <c r="A30" s="249"/>
      <c r="B30" s="225"/>
      <c r="C30" s="225"/>
      <c r="D30" s="225"/>
      <c r="E30" s="225"/>
      <c r="F30" s="225"/>
      <c r="G30" s="225"/>
      <c r="H30" s="225"/>
      <c r="I30" s="225"/>
      <c r="J30" s="225"/>
      <c r="K30" s="225"/>
      <c r="L30" s="225"/>
      <c r="M30" s="225"/>
      <c r="N30" s="225"/>
      <c r="O30" s="225"/>
      <c r="P30" s="225"/>
      <c r="Q30" s="225"/>
    </row>
    <row r="31" spans="1:17" ht="15.75" customHeight="1">
      <c r="A31" s="204" t="s">
        <v>1571</v>
      </c>
      <c r="B31" s="226">
        <f t="shared" ref="B31:G31" si="0">COUNTA(B6:B30)</f>
        <v>12</v>
      </c>
      <c r="C31" s="226">
        <f t="shared" si="0"/>
        <v>8</v>
      </c>
      <c r="D31" s="226">
        <f t="shared" si="0"/>
        <v>4</v>
      </c>
      <c r="E31" s="226">
        <f t="shared" si="0"/>
        <v>5</v>
      </c>
      <c r="F31" s="226">
        <f t="shared" si="0"/>
        <v>18</v>
      </c>
      <c r="G31" s="226">
        <f t="shared" si="0"/>
        <v>5</v>
      </c>
      <c r="I31" s="226">
        <f>COUNTA(I6:I30)</f>
        <v>8</v>
      </c>
    </row>
    <row r="32" spans="1:17">
      <c r="A32" s="5" t="s">
        <v>1572</v>
      </c>
    </row>
    <row r="33" spans="1:16">
      <c r="A33" s="5" t="s">
        <v>30</v>
      </c>
      <c r="B33" s="5">
        <f>COUNTIFS('All sensors Installed'!$B:$B,$A33,'All sensors Installed'!$F:$F,B$1)</f>
        <v>1</v>
      </c>
      <c r="C33" s="5">
        <f>COUNTIFS('All sensors Installed'!$B:$B,$A33,'All sensors Installed'!$F:$F,C$1)</f>
        <v>1</v>
      </c>
      <c r="D33" s="5">
        <f>COUNTIFS('All sensors Installed'!$B:$B,$A33,'All sensors Installed'!$F:$F,D$1)</f>
        <v>1</v>
      </c>
      <c r="E33" s="5">
        <f>COUNTIFS('All sensors Installed'!$B:$B,$A33,'All sensors Installed'!$F:$F,E$1)</f>
        <v>1</v>
      </c>
      <c r="F33" s="5">
        <f>COUNTIFS('All sensors Installed'!$B:$B,$A33,'All sensors Installed'!$F:$F,F$1)</f>
        <v>1</v>
      </c>
      <c r="G33" s="5">
        <f>COUNTIFS('All sensors Installed'!$B:$B,$A33,'All sensors Installed'!$F:$F,G$1)</f>
        <v>1</v>
      </c>
      <c r="H33" s="5">
        <f>COUNTIFS('All sensors Installed'!$B:$B,$A33,'All sensors Installed'!$F:$F,H$1)</f>
        <v>0</v>
      </c>
      <c r="I33" s="5">
        <f>COUNTIFS('All sensors Installed'!$B:$B,$A33,'All sensors Installed'!$F:$F,I$1)</f>
        <v>0</v>
      </c>
      <c r="J33" s="5">
        <f>COUNTIFS('All sensors Installed'!$B:$B,$A33,'All sensors Installed'!$F:$F,J$1)</f>
        <v>0</v>
      </c>
      <c r="K33" s="5">
        <f>COUNTIFS('All sensors Installed'!$B:$B,$A33,'All sensors Installed'!$F:$F,K$1)</f>
        <v>0</v>
      </c>
      <c r="L33" s="5">
        <f>COUNTIFS('All sensors Installed'!$B:$B,$A33,'All sensors Installed'!$F:$F,L$1)</f>
        <v>0</v>
      </c>
      <c r="M33" s="5">
        <f>COUNTIFS('All sensors Installed'!$B:$B,$A33,'All sensors Installed'!$F:$F,M$1)</f>
        <v>0</v>
      </c>
      <c r="N33" s="5">
        <f>COUNTIFS('All sensors Installed'!$B:$B,$A33,'All sensors Installed'!$F:$F,N$1)</f>
        <v>0</v>
      </c>
      <c r="O33" s="5">
        <f>COUNTIFS('All sensors Installed'!$B:$B,$A33,'All sensors Installed'!$F:$F,O$1)</f>
        <v>0</v>
      </c>
      <c r="P33" s="5">
        <f>COUNTIFS('All sensors Installed'!$B:$B,$A33,'All sensors Installed'!$F:$F,P$1)</f>
        <v>0</v>
      </c>
    </row>
    <row r="34" spans="1:16">
      <c r="A34" s="5" t="s">
        <v>80</v>
      </c>
      <c r="B34" s="5">
        <f>COUNTIFS('All sensors Installed'!$B:$B,$A34,'All sensors Installed'!$F:$F,B$1)</f>
        <v>2</v>
      </c>
      <c r="C34" s="5">
        <f>COUNTIFS('All sensors Installed'!$B:$B,$A34,'All sensors Installed'!$F:$F,C$1)</f>
        <v>0</v>
      </c>
      <c r="D34" s="5">
        <f>COUNTIFS('All sensors Installed'!$B:$B,$A34,'All sensors Installed'!$F:$F,D$1)</f>
        <v>0</v>
      </c>
      <c r="E34" s="5">
        <f>COUNTIFS('All sensors Installed'!$B:$B,$A34,'All sensors Installed'!$F:$F,E$1)</f>
        <v>0</v>
      </c>
      <c r="F34" s="5">
        <f>COUNTIFS('All sensors Installed'!$B:$B,$A34,'All sensors Installed'!$F:$F,F$1)</f>
        <v>10</v>
      </c>
      <c r="G34" s="5">
        <f>COUNTIFS('All sensors Installed'!$B:$B,$A34,'All sensors Installed'!$F:$F,G$1)</f>
        <v>0</v>
      </c>
      <c r="H34" s="5">
        <f>COUNTIFS('All sensors Installed'!$B:$B,$A34,'All sensors Installed'!$F:$F,H$1)</f>
        <v>12</v>
      </c>
      <c r="I34" s="5">
        <f>COUNTIFS('All sensors Installed'!$B:$B,$A34,'All sensors Installed'!$F:$F,I$1)</f>
        <v>24</v>
      </c>
      <c r="J34" s="5">
        <f>COUNTIFS('All sensors Installed'!$B:$B,$A34,'All sensors Installed'!$F:$F,J$1)</f>
        <v>1</v>
      </c>
      <c r="K34" s="5">
        <f>COUNTIFS('All sensors Installed'!$B:$B,$A34,'All sensors Installed'!$F:$F,K$1)</f>
        <v>3</v>
      </c>
      <c r="L34" s="5">
        <f>COUNTIFS('All sensors Installed'!$B:$B,$A34,'All sensors Installed'!$F:$F,L$1)</f>
        <v>0</v>
      </c>
      <c r="M34" s="5">
        <f>COUNTIFS('All sensors Installed'!$B:$B,$A34,'All sensors Installed'!$F:$F,M$1)</f>
        <v>0</v>
      </c>
      <c r="N34" s="5">
        <f>COUNTIFS('All sensors Installed'!$B:$B,$A34,'All sensors Installed'!$F:$F,N$1)</f>
        <v>0</v>
      </c>
      <c r="O34" s="5">
        <f>COUNTIFS('All sensors Installed'!$B:$B,$A34,'All sensors Installed'!$F:$F,O$1)</f>
        <v>0</v>
      </c>
      <c r="P34" s="5">
        <f>COUNTIFS('All sensors Installed'!$B:$B,$A34,'All sensors Installed'!$F:$F,P$1)</f>
        <v>0</v>
      </c>
    </row>
    <row r="35" spans="1:16">
      <c r="A35" s="5" t="s">
        <v>1573</v>
      </c>
      <c r="B35" s="5">
        <f>COUNTIFS('All sensors Installed'!$B:$B,$A35,'All sensors Installed'!$F:$F,B$1)</f>
        <v>0</v>
      </c>
      <c r="C35" s="5">
        <f>COUNTIFS('All sensors Installed'!$B:$B,$A35,'All sensors Installed'!$F:$F,C$1)</f>
        <v>0</v>
      </c>
      <c r="D35" s="5">
        <f>COUNTIFS('All sensors Installed'!$B:$B,$A35,'All sensors Installed'!$F:$F,D$1)</f>
        <v>0</v>
      </c>
      <c r="E35" s="5">
        <f>COUNTIFS('All sensors Installed'!$B:$B,$A35,'All sensors Installed'!$F:$F,E$1)</f>
        <v>0</v>
      </c>
      <c r="F35" s="5">
        <f>COUNTIFS('All sensors Installed'!$B:$B,$A35,'All sensors Installed'!$F:$F,F$1)</f>
        <v>0</v>
      </c>
      <c r="G35" s="5">
        <f>COUNTIFS('All sensors Installed'!$B:$B,$A35,'All sensors Installed'!$F:$F,G$1)</f>
        <v>0</v>
      </c>
      <c r="H35" s="5">
        <f>COUNTIFS('All sensors Installed'!$B:$B,$A35,'All sensors Installed'!$F:$F,H$1)</f>
        <v>0</v>
      </c>
      <c r="I35" s="5">
        <f>COUNTIFS('All sensors Installed'!$B:$B,$A35,'All sensors Installed'!$F:$F,I$1)</f>
        <v>0</v>
      </c>
      <c r="J35" s="5">
        <f>COUNTIFS('All sensors Installed'!$B:$B,$A35,'All sensors Installed'!$F:$F,J$1)</f>
        <v>0</v>
      </c>
      <c r="K35" s="5">
        <f>COUNTIFS('All sensors Installed'!$B:$B,$A35,'All sensors Installed'!$F:$F,K$1)</f>
        <v>0</v>
      </c>
      <c r="L35" s="5">
        <f>COUNTIFS('All sensors Installed'!$B:$B,$A35,'All sensors Installed'!$F:$F,L$1)</f>
        <v>1</v>
      </c>
      <c r="M35" s="5">
        <f>COUNTIFS('All sensors Installed'!$B:$B,$A35,'All sensors Installed'!$F:$F,M$1)</f>
        <v>8</v>
      </c>
      <c r="N35" s="5">
        <f>COUNTIFS('All sensors Installed'!$B:$B,$A35,'All sensors Installed'!$F:$F,N$1)</f>
        <v>9</v>
      </c>
      <c r="O35" s="5">
        <f>COUNTIFS('All sensors Installed'!$B:$B,$A35,'All sensors Installed'!$F:$F,O$1)</f>
        <v>4</v>
      </c>
      <c r="P35" s="5">
        <f>COUNTIFS('All sensors Installed'!$B:$B,$A35,'All sensors Installed'!$F:$F,P$1)</f>
        <v>0</v>
      </c>
    </row>
    <row r="36" spans="1:16">
      <c r="A36" s="5" t="s">
        <v>1574</v>
      </c>
      <c r="B36" s="5">
        <f>COUNTIFS('All sensors Installed'!$B:$B,$A36,'All sensors Installed'!$F:$F,B$1)</f>
        <v>0</v>
      </c>
      <c r="C36" s="5">
        <f>COUNTIFS('All sensors Installed'!$B:$B,$A36,'All sensors Installed'!$F:$F,C$1)</f>
        <v>0</v>
      </c>
      <c r="D36" s="5">
        <f>COUNTIFS('All sensors Installed'!$B:$B,$A36,'All sensors Installed'!$F:$F,D$1)</f>
        <v>0</v>
      </c>
      <c r="E36" s="5">
        <f>COUNTIFS('All sensors Installed'!$B:$B,$A36,'All sensors Installed'!$F:$F,E$1)</f>
        <v>0</v>
      </c>
      <c r="F36" s="5">
        <f>COUNTIFS('All sensors Installed'!$B:$B,$A36,'All sensors Installed'!$F:$F,F$1)</f>
        <v>0</v>
      </c>
      <c r="G36" s="5">
        <f>COUNTIFS('All sensors Installed'!$B:$B,$A36,'All sensors Installed'!$F:$F,G$1)</f>
        <v>0</v>
      </c>
      <c r="H36" s="5">
        <f>COUNTIFS('All sensors Installed'!$B:$B,$A36,'All sensors Installed'!$F:$F,H$1)</f>
        <v>0</v>
      </c>
      <c r="I36" s="5">
        <f>COUNTIFS('All sensors Installed'!$B:$B,$A36,'All sensors Installed'!$F:$F,I$1)</f>
        <v>0</v>
      </c>
      <c r="J36" s="5">
        <f>COUNTIFS('All sensors Installed'!$B:$B,$A36,'All sensors Installed'!$F:$F,J$1)</f>
        <v>0</v>
      </c>
      <c r="K36" s="5">
        <f>COUNTIFS('All sensors Installed'!$B:$B,$A36,'All sensors Installed'!$F:$F,K$1)</f>
        <v>0</v>
      </c>
      <c r="L36" s="5">
        <f>COUNTIFS('All sensors Installed'!$B:$B,$A36,'All sensors Installed'!$F:$F,L$1)</f>
        <v>0</v>
      </c>
      <c r="M36" s="5">
        <f>COUNTIFS('All sensors Installed'!$B:$B,$A36,'All sensors Installed'!$F:$F,M$1)</f>
        <v>0</v>
      </c>
      <c r="N36" s="5">
        <f>COUNTIFS('All sensors Installed'!$B:$B,$A36,'All sensors Installed'!$F:$F,N$1)</f>
        <v>0</v>
      </c>
      <c r="O36" s="5">
        <f>COUNTIFS('All sensors Installed'!$B:$B,$A36,'All sensors Installed'!$F:$F,O$1)</f>
        <v>0</v>
      </c>
      <c r="P36" s="5">
        <f>COUNTIFS('All sensors Installed'!$B:$B,$A36,'All sensors Installed'!$F:$F,P$1)</f>
        <v>0</v>
      </c>
    </row>
    <row r="37" spans="1:16">
      <c r="A37" s="5" t="s">
        <v>1575</v>
      </c>
      <c r="B37" s="5">
        <f>COUNTIFS('All sensors Installed'!$B:$B,$A37,'All sensors Installed'!$F:$F,B$1)</f>
        <v>0</v>
      </c>
      <c r="C37" s="5">
        <f>COUNTIFS('All sensors Installed'!$B:$B,$A37,'All sensors Installed'!$F:$F,C$1)</f>
        <v>0</v>
      </c>
      <c r="D37" s="5">
        <f>COUNTIFS('All sensors Installed'!$B:$B,$A37,'All sensors Installed'!$F:$F,D$1)</f>
        <v>0</v>
      </c>
      <c r="E37" s="5">
        <f>COUNTIFS('All sensors Installed'!$B:$B,$A37,'All sensors Installed'!$F:$F,E$1)</f>
        <v>0</v>
      </c>
      <c r="F37" s="5">
        <f>COUNTIFS('All sensors Installed'!$B:$B,$A37,'All sensors Installed'!$F:$F,F$1)</f>
        <v>0</v>
      </c>
      <c r="G37" s="5">
        <f>COUNTIFS('All sensors Installed'!$B:$B,$A37,'All sensors Installed'!$F:$F,G$1)</f>
        <v>0</v>
      </c>
      <c r="H37" s="5">
        <f>COUNTIFS('All sensors Installed'!$B:$B,$A37,'All sensors Installed'!$F:$F,H$1)</f>
        <v>0</v>
      </c>
      <c r="I37" s="5">
        <f>COUNTIFS('All sensors Installed'!$B:$B,$A37,'All sensors Installed'!$F:$F,I$1)</f>
        <v>0</v>
      </c>
      <c r="J37" s="5">
        <f>COUNTIFS('All sensors Installed'!$B:$B,$A37,'All sensors Installed'!$F:$F,J$1)</f>
        <v>0</v>
      </c>
      <c r="K37" s="5">
        <f>COUNTIFS('All sensors Installed'!$B:$B,$A37,'All sensors Installed'!$F:$F,K$1)</f>
        <v>0</v>
      </c>
      <c r="L37" s="5">
        <f>COUNTIFS('All sensors Installed'!$B:$B,$A37,'All sensors Installed'!$F:$F,L$1)</f>
        <v>0</v>
      </c>
      <c r="M37" s="5">
        <f>COUNTIFS('All sensors Installed'!$B:$B,$A37,'All sensors Installed'!$F:$F,M$1)</f>
        <v>0</v>
      </c>
      <c r="N37" s="5">
        <f>COUNTIFS('All sensors Installed'!$B:$B,$A37,'All sensors Installed'!$F:$F,N$1)</f>
        <v>0</v>
      </c>
      <c r="O37" s="5">
        <f>COUNTIFS('All sensors Installed'!$B:$B,$A37,'All sensors Installed'!$F:$F,O$1)</f>
        <v>0</v>
      </c>
      <c r="P37" s="5">
        <f>COUNTIFS('All sensors Installed'!$B:$B,$A37,'All sensors Installed'!$F:$F,P$1)</f>
        <v>0</v>
      </c>
    </row>
  </sheetData>
  <mergeCells count="2">
    <mergeCell ref="A6:A18"/>
    <mergeCell ref="A19:A30"/>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65"/>
  <sheetViews>
    <sheetView workbookViewId="0"/>
  </sheetViews>
  <sheetFormatPr defaultColWidth="12.5703125" defaultRowHeight="15.75" customHeight="1"/>
  <cols>
    <col min="1" max="1" width="22.28515625" customWidth="1"/>
    <col min="2" max="2" width="119.42578125" customWidth="1"/>
    <col min="3" max="3" width="17.7109375" customWidth="1"/>
    <col min="17" max="17" width="27.140625" customWidth="1"/>
  </cols>
  <sheetData>
    <row r="1" spans="1:17" ht="12.75">
      <c r="A1" s="193" t="s">
        <v>641</v>
      </c>
      <c r="B1" s="193" t="s">
        <v>642</v>
      </c>
      <c r="C1" s="193" t="s">
        <v>643</v>
      </c>
      <c r="D1" s="193" t="s">
        <v>644</v>
      </c>
      <c r="H1" s="193" t="s">
        <v>1576</v>
      </c>
      <c r="Q1" s="193" t="s">
        <v>633</v>
      </c>
    </row>
    <row r="2" spans="1:17" ht="12.75">
      <c r="A2" s="5" t="s">
        <v>655</v>
      </c>
      <c r="B2" s="5" t="s">
        <v>1577</v>
      </c>
      <c r="C2" s="5" t="s">
        <v>1578</v>
      </c>
      <c r="D2" s="5" t="s">
        <v>1579</v>
      </c>
      <c r="H2" s="5" t="s">
        <v>1580</v>
      </c>
      <c r="Q2" s="193" t="s">
        <v>634</v>
      </c>
    </row>
    <row r="3" spans="1:17" ht="12.75">
      <c r="A3" s="5" t="s">
        <v>652</v>
      </c>
      <c r="B3" s="5" t="s">
        <v>1581</v>
      </c>
      <c r="C3" s="5" t="s">
        <v>1582</v>
      </c>
      <c r="D3" s="5" t="s">
        <v>1583</v>
      </c>
      <c r="H3" s="5" t="s">
        <v>1584</v>
      </c>
      <c r="Q3" s="193" t="s">
        <v>635</v>
      </c>
    </row>
    <row r="4" spans="1:17" ht="12.75">
      <c r="A4" s="5" t="s">
        <v>1585</v>
      </c>
      <c r="B4" s="5" t="s">
        <v>1586</v>
      </c>
      <c r="C4" s="5" t="s">
        <v>1587</v>
      </c>
      <c r="D4" s="5" t="s">
        <v>1588</v>
      </c>
      <c r="H4" s="5" t="s">
        <v>1269</v>
      </c>
      <c r="Q4" s="193" t="s">
        <v>637</v>
      </c>
    </row>
    <row r="5" spans="1:17" ht="12.75">
      <c r="A5" s="5" t="s">
        <v>1214</v>
      </c>
      <c r="B5" s="5" t="s">
        <v>1589</v>
      </c>
      <c r="C5" s="5" t="s">
        <v>1590</v>
      </c>
      <c r="D5" s="5" t="s">
        <v>1591</v>
      </c>
      <c r="H5" s="5" t="s">
        <v>1592</v>
      </c>
      <c r="Q5" s="193" t="s">
        <v>636</v>
      </c>
    </row>
    <row r="6" spans="1:17" ht="12.75">
      <c r="A6" s="5" t="s">
        <v>665</v>
      </c>
      <c r="B6" s="5" t="s">
        <v>1593</v>
      </c>
      <c r="C6" s="5" t="s">
        <v>1578</v>
      </c>
      <c r="D6" s="5" t="s">
        <v>1579</v>
      </c>
      <c r="H6" s="5" t="s">
        <v>653</v>
      </c>
      <c r="Q6" s="193" t="s">
        <v>25</v>
      </c>
    </row>
    <row r="7" spans="1:17" ht="12.75">
      <c r="A7" s="5" t="s">
        <v>692</v>
      </c>
      <c r="B7" s="5" t="s">
        <v>1594</v>
      </c>
      <c r="C7" s="5" t="s">
        <v>1595</v>
      </c>
      <c r="D7" s="5" t="s">
        <v>1596</v>
      </c>
      <c r="Q7" s="193" t="s">
        <v>638</v>
      </c>
    </row>
    <row r="8" spans="1:17" ht="12.75">
      <c r="A8" s="5" t="s">
        <v>1597</v>
      </c>
      <c r="B8" s="5" t="s">
        <v>1598</v>
      </c>
      <c r="C8" s="5" t="s">
        <v>1210</v>
      </c>
      <c r="D8" s="5" t="s">
        <v>1210</v>
      </c>
      <c r="Q8" s="193" t="s">
        <v>8</v>
      </c>
    </row>
    <row r="9" spans="1:17" ht="12.75">
      <c r="A9" s="5" t="s">
        <v>657</v>
      </c>
      <c r="B9" s="5" t="s">
        <v>1599</v>
      </c>
      <c r="C9" s="5" t="s">
        <v>1600</v>
      </c>
      <c r="D9" s="5" t="s">
        <v>1601</v>
      </c>
      <c r="Q9" s="193" t="s">
        <v>639</v>
      </c>
    </row>
    <row r="10" spans="1:17" ht="12.75">
      <c r="A10" s="5" t="s">
        <v>1602</v>
      </c>
      <c r="B10" s="5" t="s">
        <v>1603</v>
      </c>
      <c r="C10" s="5" t="s">
        <v>1604</v>
      </c>
      <c r="D10" s="5" t="s">
        <v>1605</v>
      </c>
      <c r="Q10" s="193" t="s">
        <v>640</v>
      </c>
    </row>
    <row r="11" spans="1:17" ht="12.75">
      <c r="A11" s="5" t="s">
        <v>1244</v>
      </c>
      <c r="B11" s="5" t="s">
        <v>1606</v>
      </c>
      <c r="C11" s="5" t="s">
        <v>1582</v>
      </c>
      <c r="D11" s="5" t="s">
        <v>1583</v>
      </c>
      <c r="Q11" s="193" t="s">
        <v>641</v>
      </c>
    </row>
    <row r="12" spans="1:17" ht="12.75">
      <c r="A12" s="5" t="s">
        <v>1271</v>
      </c>
      <c r="B12" s="5" t="s">
        <v>1607</v>
      </c>
      <c r="C12" s="5" t="s">
        <v>1608</v>
      </c>
      <c r="D12" s="5" t="s">
        <v>1609</v>
      </c>
      <c r="Q12" s="193" t="s">
        <v>642</v>
      </c>
    </row>
    <row r="13" spans="1:17" ht="12.75">
      <c r="A13" s="5" t="s">
        <v>667</v>
      </c>
      <c r="B13" s="5" t="s">
        <v>1610</v>
      </c>
      <c r="C13" s="5" t="s">
        <v>1611</v>
      </c>
      <c r="D13" s="5" t="s">
        <v>1612</v>
      </c>
      <c r="Q13" s="193" t="s">
        <v>643</v>
      </c>
    </row>
    <row r="14" spans="1:17" ht="12.75">
      <c r="A14" s="5" t="s">
        <v>1329</v>
      </c>
      <c r="B14" s="5" t="s">
        <v>1613</v>
      </c>
      <c r="C14" s="5" t="s">
        <v>1587</v>
      </c>
      <c r="D14" s="5" t="s">
        <v>1588</v>
      </c>
      <c r="Q14" s="193" t="s">
        <v>644</v>
      </c>
    </row>
    <row r="15" spans="1:17" ht="12.75">
      <c r="A15" s="5" t="s">
        <v>1464</v>
      </c>
      <c r="B15" s="5" t="s">
        <v>1614</v>
      </c>
      <c r="C15" s="5" t="s">
        <v>1615</v>
      </c>
      <c r="D15" s="5" t="s">
        <v>1616</v>
      </c>
      <c r="Q15" s="193" t="s">
        <v>645</v>
      </c>
    </row>
    <row r="16" spans="1:17" ht="12.75">
      <c r="A16" s="5" t="s">
        <v>1617</v>
      </c>
      <c r="B16" s="5" t="s">
        <v>1618</v>
      </c>
      <c r="C16" s="5" t="s">
        <v>1210</v>
      </c>
      <c r="D16" s="5" t="s">
        <v>1210</v>
      </c>
      <c r="Q16" s="193" t="s">
        <v>646</v>
      </c>
    </row>
    <row r="17" spans="1:17" ht="12.75">
      <c r="A17" s="5" t="s">
        <v>1619</v>
      </c>
      <c r="B17" s="5" t="s">
        <v>1620</v>
      </c>
      <c r="C17" s="5" t="s">
        <v>1621</v>
      </c>
      <c r="D17" s="5" t="s">
        <v>1622</v>
      </c>
      <c r="Q17" s="193"/>
    </row>
    <row r="18" spans="1:17" ht="12.75">
      <c r="A18" s="5" t="s">
        <v>713</v>
      </c>
      <c r="B18" s="5" t="s">
        <v>1623</v>
      </c>
      <c r="C18" s="5" t="s">
        <v>1210</v>
      </c>
      <c r="D18" s="5" t="s">
        <v>1210</v>
      </c>
      <c r="Q18" s="193"/>
    </row>
    <row r="19" spans="1:17" ht="12.75">
      <c r="A19" s="5" t="s">
        <v>690</v>
      </c>
      <c r="B19" s="5" t="s">
        <v>1624</v>
      </c>
      <c r="C19" s="5" t="s">
        <v>1625</v>
      </c>
      <c r="D19" s="5" t="s">
        <v>1612</v>
      </c>
      <c r="Q19" s="193"/>
    </row>
    <row r="20" spans="1:17" ht="12.75">
      <c r="A20" s="5" t="s">
        <v>1465</v>
      </c>
      <c r="B20" s="5" t="s">
        <v>1626</v>
      </c>
      <c r="C20" s="5" t="s">
        <v>1612</v>
      </c>
      <c r="D20" s="5" t="s">
        <v>1612</v>
      </c>
      <c r="Q20" s="193"/>
    </row>
    <row r="21" spans="1:17" ht="12.75">
      <c r="A21" s="5" t="s">
        <v>1466</v>
      </c>
      <c r="B21" s="5" t="s">
        <v>1627</v>
      </c>
      <c r="C21" s="5" t="s">
        <v>1628</v>
      </c>
      <c r="D21" s="5" t="s">
        <v>1629</v>
      </c>
      <c r="Q21" s="193"/>
    </row>
    <row r="22" spans="1:17" ht="12.75">
      <c r="A22" s="5" t="s">
        <v>1467</v>
      </c>
      <c r="B22" s="5" t="s">
        <v>1630</v>
      </c>
      <c r="C22" s="5" t="s">
        <v>1582</v>
      </c>
      <c r="D22" s="5" t="s">
        <v>1583</v>
      </c>
    </row>
    <row r="23" spans="1:17" ht="12.75">
      <c r="A23" s="5" t="s">
        <v>1631</v>
      </c>
      <c r="B23" s="5" t="s">
        <v>1632</v>
      </c>
      <c r="C23" s="5" t="s">
        <v>1621</v>
      </c>
      <c r="D23" s="5" t="s">
        <v>1622</v>
      </c>
    </row>
    <row r="24" spans="1:17" ht="12.75">
      <c r="A24" s="5" t="s">
        <v>1300</v>
      </c>
      <c r="B24" s="5" t="s">
        <v>1633</v>
      </c>
      <c r="C24" s="5" t="s">
        <v>1634</v>
      </c>
      <c r="D24" s="5" t="s">
        <v>1635</v>
      </c>
    </row>
    <row r="25" spans="1:17" ht="12.75">
      <c r="A25" s="5" t="s">
        <v>1231</v>
      </c>
      <c r="B25" s="5" t="s">
        <v>1636</v>
      </c>
      <c r="C25" s="5" t="s">
        <v>1210</v>
      </c>
      <c r="D25" s="5" t="s">
        <v>1210</v>
      </c>
    </row>
    <row r="26" spans="1:17" ht="12.75">
      <c r="A26" s="5" t="s">
        <v>1273</v>
      </c>
      <c r="B26" s="5" t="s">
        <v>1637</v>
      </c>
      <c r="C26" s="5" t="s">
        <v>1638</v>
      </c>
      <c r="D26" s="5" t="s">
        <v>1639</v>
      </c>
    </row>
    <row r="27" spans="1:17" ht="12.75">
      <c r="A27" s="5" t="s">
        <v>1275</v>
      </c>
      <c r="B27" s="5" t="s">
        <v>1640</v>
      </c>
      <c r="C27" s="5" t="s">
        <v>1638</v>
      </c>
      <c r="D27" s="5" t="s">
        <v>1639</v>
      </c>
    </row>
    <row r="28" spans="1:17" ht="12.75">
      <c r="A28" s="5" t="s">
        <v>1354</v>
      </c>
      <c r="B28" s="5" t="s">
        <v>1641</v>
      </c>
      <c r="C28" s="5" t="s">
        <v>1595</v>
      </c>
      <c r="D28" s="5" t="s">
        <v>1596</v>
      </c>
    </row>
    <row r="29" spans="1:17" ht="12.75">
      <c r="A29" s="5" t="s">
        <v>1268</v>
      </c>
      <c r="B29" s="5" t="s">
        <v>1642</v>
      </c>
      <c r="C29" s="5" t="s">
        <v>1210</v>
      </c>
      <c r="D29" s="5" t="s">
        <v>1210</v>
      </c>
    </row>
    <row r="30" spans="1:17" ht="12.75">
      <c r="A30" s="5" t="s">
        <v>1234</v>
      </c>
      <c r="B30" s="5" t="s">
        <v>1643</v>
      </c>
      <c r="C30" s="5" t="s">
        <v>1644</v>
      </c>
      <c r="D30" s="5" t="s">
        <v>1645</v>
      </c>
    </row>
    <row r="31" spans="1:17" ht="12.75">
      <c r="A31" s="5" t="s">
        <v>1228</v>
      </c>
      <c r="B31" s="5" t="s">
        <v>1646</v>
      </c>
      <c r="C31" s="5" t="s">
        <v>1647</v>
      </c>
      <c r="D31" s="5" t="s">
        <v>1648</v>
      </c>
    </row>
    <row r="32" spans="1:17" ht="12.75">
      <c r="A32" s="5" t="s">
        <v>1331</v>
      </c>
      <c r="B32" s="5" t="s">
        <v>1649</v>
      </c>
      <c r="C32" s="5" t="s">
        <v>1590</v>
      </c>
      <c r="D32" s="5" t="s">
        <v>1591</v>
      </c>
    </row>
    <row r="33" spans="1:4" ht="12.75">
      <c r="A33" s="5" t="s">
        <v>1469</v>
      </c>
      <c r="B33" s="5" t="s">
        <v>1650</v>
      </c>
      <c r="C33" s="5" t="s">
        <v>1582</v>
      </c>
      <c r="D33" s="5" t="s">
        <v>1583</v>
      </c>
    </row>
    <row r="34" spans="1:4" ht="12.75">
      <c r="A34" s="5" t="s">
        <v>1651</v>
      </c>
      <c r="B34" s="5" t="s">
        <v>1652</v>
      </c>
      <c r="C34" s="5" t="s">
        <v>1210</v>
      </c>
      <c r="D34" s="5" t="s">
        <v>1210</v>
      </c>
    </row>
    <row r="35" spans="1:4" ht="12.75">
      <c r="A35" s="5" t="s">
        <v>660</v>
      </c>
      <c r="B35" s="5" t="s">
        <v>1653</v>
      </c>
      <c r="C35" s="5" t="s">
        <v>1578</v>
      </c>
      <c r="D35" s="5" t="s">
        <v>1579</v>
      </c>
    </row>
    <row r="36" spans="1:4" ht="12.75">
      <c r="A36" s="5" t="s">
        <v>662</v>
      </c>
      <c r="B36" s="5" t="s">
        <v>1654</v>
      </c>
      <c r="C36" s="5" t="s">
        <v>1582</v>
      </c>
      <c r="D36" s="5" t="s">
        <v>1583</v>
      </c>
    </row>
    <row r="37" spans="1:4" ht="12.75">
      <c r="A37" s="5" t="s">
        <v>1655</v>
      </c>
      <c r="B37" s="5" t="s">
        <v>1656</v>
      </c>
      <c r="C37" s="5" t="s">
        <v>1210</v>
      </c>
      <c r="D37" s="5" t="s">
        <v>1210</v>
      </c>
    </row>
    <row r="38" spans="1:4" ht="12.75">
      <c r="A38" s="5" t="s">
        <v>709</v>
      </c>
      <c r="B38" s="5" t="s">
        <v>1657</v>
      </c>
      <c r="C38" s="5" t="s">
        <v>1658</v>
      </c>
      <c r="D38" s="5" t="s">
        <v>1659</v>
      </c>
    </row>
    <row r="39" spans="1:4" ht="12.75">
      <c r="A39" s="5" t="s">
        <v>1277</v>
      </c>
      <c r="B39" s="5" t="s">
        <v>1660</v>
      </c>
      <c r="C39" s="5" t="s">
        <v>1582</v>
      </c>
      <c r="D39" s="5" t="s">
        <v>1583</v>
      </c>
    </row>
    <row r="40" spans="1:4" ht="12.75">
      <c r="A40" s="5" t="s">
        <v>1247</v>
      </c>
      <c r="B40" s="5" t="s">
        <v>1661</v>
      </c>
      <c r="C40" s="5" t="s">
        <v>1662</v>
      </c>
      <c r="D40" s="5" t="s">
        <v>1663</v>
      </c>
    </row>
    <row r="41" spans="1:4" ht="12.75">
      <c r="A41" s="5" t="s">
        <v>1537</v>
      </c>
      <c r="B41" s="5" t="s">
        <v>1664</v>
      </c>
      <c r="C41" s="5" t="s">
        <v>1665</v>
      </c>
      <c r="D41" s="5" t="s">
        <v>1612</v>
      </c>
    </row>
    <row r="42" spans="1:4" ht="12.75">
      <c r="A42" s="5" t="s">
        <v>1442</v>
      </c>
      <c r="B42" s="5" t="s">
        <v>1442</v>
      </c>
      <c r="C42" s="5" t="s">
        <v>1210</v>
      </c>
      <c r="D42" s="5" t="s">
        <v>1210</v>
      </c>
    </row>
    <row r="43" spans="1:4" ht="12.75">
      <c r="A43" s="5" t="s">
        <v>669</v>
      </c>
      <c r="B43" s="5" t="s">
        <v>1666</v>
      </c>
      <c r="C43" s="5" t="s">
        <v>1667</v>
      </c>
      <c r="D43" s="5" t="s">
        <v>1612</v>
      </c>
    </row>
    <row r="44" spans="1:4" ht="12.75">
      <c r="A44" s="5" t="s">
        <v>1470</v>
      </c>
      <c r="B44" s="5" t="s">
        <v>1668</v>
      </c>
      <c r="C44" s="5" t="s">
        <v>1590</v>
      </c>
      <c r="D44" s="5" t="s">
        <v>1591</v>
      </c>
    </row>
    <row r="45" spans="1:4" ht="12.75">
      <c r="A45" s="5" t="s">
        <v>1212</v>
      </c>
      <c r="B45" s="5" t="s">
        <v>1669</v>
      </c>
      <c r="C45" s="5" t="s">
        <v>1590</v>
      </c>
      <c r="D45" s="5" t="s">
        <v>1591</v>
      </c>
    </row>
    <row r="46" spans="1:4" ht="12.75">
      <c r="A46" s="5" t="s">
        <v>487</v>
      </c>
      <c r="B46" s="5" t="s">
        <v>1670</v>
      </c>
      <c r="C46" s="5" t="s">
        <v>1671</v>
      </c>
      <c r="D46" s="5" t="s">
        <v>1672</v>
      </c>
    </row>
    <row r="47" spans="1:4" ht="12.75">
      <c r="A47" s="5" t="s">
        <v>1256</v>
      </c>
      <c r="B47" s="5" t="s">
        <v>1670</v>
      </c>
      <c r="C47" s="5" t="s">
        <v>1673</v>
      </c>
      <c r="D47" s="5" t="s">
        <v>1674</v>
      </c>
    </row>
    <row r="48" spans="1:4" ht="12.75">
      <c r="A48" s="5" t="s">
        <v>1230</v>
      </c>
      <c r="B48" s="5" t="s">
        <v>1675</v>
      </c>
      <c r="C48" s="5" t="s">
        <v>1621</v>
      </c>
      <c r="D48" s="5" t="s">
        <v>1622</v>
      </c>
    </row>
    <row r="49" spans="1:4" ht="12.75">
      <c r="A49" s="5" t="s">
        <v>1296</v>
      </c>
      <c r="B49" s="5" t="s">
        <v>1676</v>
      </c>
      <c r="C49" s="5" t="s">
        <v>1615</v>
      </c>
      <c r="D49" s="5" t="s">
        <v>1616</v>
      </c>
    </row>
    <row r="50" spans="1:4" ht="12.75">
      <c r="A50" s="5" t="s">
        <v>1471</v>
      </c>
      <c r="B50" s="5" t="s">
        <v>1677</v>
      </c>
      <c r="C50" s="5" t="s">
        <v>1621</v>
      </c>
      <c r="D50" s="5" t="s">
        <v>1622</v>
      </c>
    </row>
    <row r="51" spans="1:4" ht="12.75">
      <c r="A51" s="5" t="s">
        <v>1472</v>
      </c>
      <c r="B51" s="5" t="s">
        <v>1678</v>
      </c>
      <c r="C51" s="5" t="s">
        <v>1621</v>
      </c>
      <c r="D51" s="5" t="s">
        <v>1622</v>
      </c>
    </row>
    <row r="52" spans="1:4" ht="12.75">
      <c r="A52" s="5" t="s">
        <v>1679</v>
      </c>
      <c r="B52" s="5" t="s">
        <v>1680</v>
      </c>
      <c r="C52" s="5" t="s">
        <v>1210</v>
      </c>
      <c r="D52" s="5" t="s">
        <v>1210</v>
      </c>
    </row>
    <row r="53" spans="1:4" ht="12.75">
      <c r="A53" s="5" t="s">
        <v>711</v>
      </c>
      <c r="B53" s="5" t="s">
        <v>1681</v>
      </c>
      <c r="C53" s="5" t="s">
        <v>1644</v>
      </c>
      <c r="D53" s="5" t="s">
        <v>1645</v>
      </c>
    </row>
    <row r="54" spans="1:4" ht="15">
      <c r="A54" s="5" t="s">
        <v>716</v>
      </c>
      <c r="B54" s="204" t="s">
        <v>1682</v>
      </c>
      <c r="C54" s="204" t="s">
        <v>1604</v>
      </c>
      <c r="D54" s="204" t="s">
        <v>1605</v>
      </c>
    </row>
    <row r="55" spans="1:4" ht="15">
      <c r="A55" s="5" t="s">
        <v>719</v>
      </c>
      <c r="B55" s="204" t="s">
        <v>1683</v>
      </c>
      <c r="C55" s="204" t="s">
        <v>1210</v>
      </c>
      <c r="D55" s="204" t="s">
        <v>1210</v>
      </c>
    </row>
    <row r="56" spans="1:4" ht="15">
      <c r="A56" s="5" t="s">
        <v>723</v>
      </c>
      <c r="B56" s="204" t="s">
        <v>1684</v>
      </c>
      <c r="C56" s="204" t="s">
        <v>1644</v>
      </c>
      <c r="D56" s="204" t="s">
        <v>1645</v>
      </c>
    </row>
    <row r="57" spans="1:4" ht="15">
      <c r="A57" s="5" t="s">
        <v>727</v>
      </c>
      <c r="B57" s="204" t="s">
        <v>1685</v>
      </c>
      <c r="C57" s="204" t="s">
        <v>1686</v>
      </c>
      <c r="D57" s="204" t="s">
        <v>1687</v>
      </c>
    </row>
    <row r="58" spans="1:4" ht="15">
      <c r="A58" s="5" t="s">
        <v>730</v>
      </c>
      <c r="B58" s="204" t="s">
        <v>1688</v>
      </c>
      <c r="C58" s="5" t="s">
        <v>1621</v>
      </c>
      <c r="D58" s="204" t="s">
        <v>1689</v>
      </c>
    </row>
    <row r="59" spans="1:4" ht="15">
      <c r="A59" s="5" t="s">
        <v>733</v>
      </c>
      <c r="B59" s="204" t="s">
        <v>1690</v>
      </c>
      <c r="C59" s="5" t="s">
        <v>1621</v>
      </c>
      <c r="D59" s="204" t="s">
        <v>1689</v>
      </c>
    </row>
    <row r="60" spans="1:4" ht="15">
      <c r="A60" s="5" t="s">
        <v>736</v>
      </c>
      <c r="B60" s="204" t="s">
        <v>1691</v>
      </c>
      <c r="C60" s="5" t="s">
        <v>1621</v>
      </c>
      <c r="D60" s="204" t="s">
        <v>1689</v>
      </c>
    </row>
    <row r="61" spans="1:4" ht="12.75">
      <c r="A61" s="5" t="s">
        <v>1433</v>
      </c>
      <c r="B61" s="5" t="s">
        <v>1210</v>
      </c>
      <c r="C61" s="5" t="s">
        <v>1210</v>
      </c>
      <c r="D61" s="5" t="s">
        <v>1210</v>
      </c>
    </row>
    <row r="62" spans="1:4" ht="12.75">
      <c r="A62" s="5" t="s">
        <v>1351</v>
      </c>
      <c r="B62" s="5" t="s">
        <v>1692</v>
      </c>
      <c r="C62" s="5" t="s">
        <v>1693</v>
      </c>
      <c r="D62" s="5" t="s">
        <v>1694</v>
      </c>
    </row>
    <row r="63" spans="1:4" ht="15" customHeight="1">
      <c r="A63" s="5" t="s">
        <v>705</v>
      </c>
      <c r="B63" s="5" t="s">
        <v>1695</v>
      </c>
      <c r="C63" s="5" t="s">
        <v>1696</v>
      </c>
      <c r="D63" s="5" t="s">
        <v>1697</v>
      </c>
    </row>
    <row r="64" spans="1:4" ht="15" customHeight="1">
      <c r="A64" s="5" t="s">
        <v>1280</v>
      </c>
      <c r="B64" s="5" t="s">
        <v>1281</v>
      </c>
      <c r="C64" s="5" t="s">
        <v>1282</v>
      </c>
      <c r="D64" s="5" t="s">
        <v>1283</v>
      </c>
    </row>
    <row r="65" spans="1:4" ht="12.75">
      <c r="A65" s="5" t="s">
        <v>1280</v>
      </c>
      <c r="B65" s="5" t="s">
        <v>1281</v>
      </c>
      <c r="C65" s="5" t="s">
        <v>1282</v>
      </c>
      <c r="D65" s="5" t="s">
        <v>1283</v>
      </c>
    </row>
  </sheetData>
  <conditionalFormatting sqref="Q1">
    <cfRule type="containsText" dxfId="4" priority="1" operator="containsText" text="Demo">
      <formula>NOT(ISERROR(SEARCH(("Demo"),(Q1))))</formula>
    </cfRule>
    <cfRule type="containsText" dxfId="3" priority="2" operator="containsText" text="Italy">
      <formula>NOT(ISERROR(SEARCH(("Italy"),(Q1))))</formula>
    </cfRule>
    <cfRule type="containsText" dxfId="2" priority="3" operator="containsText" text="Jordan">
      <formula>NOT(ISERROR(SEARCH(("Jordan"),(Q1))))</formula>
    </cfRule>
    <cfRule type="containsText" dxfId="1" priority="4" operator="containsText" text="Tunisia">
      <formula>NOT(ISERROR(SEARCH(("Tunisia"),(Q1))))</formula>
    </cfRule>
    <cfRule type="containsText" dxfId="0" priority="5" operator="containsText" text="Lebanon">
      <formula>NOT(ISERROR(SEARCH(("Lebanon"),(Q1))))</formula>
    </cfRule>
  </conditionalFormatting>
  <dataValidations count="1">
    <dataValidation type="list" allowBlank="1" showErrorMessage="1" sqref="A2:A65" xr:uid="{00000000-0002-0000-0300-000000000000}">
      <formula1>"Air Temperature,Air Humidity,CO2 Concentration,Soil Moisture,Soil Temperature,Battery Level,Valve status,Flowmeter pulses,Leak warning,Type,Atmospheric Pressure,Battery Voltage,Gust Speed,Lightning Activity,Lightning Distance,Logger Temperature,Max Precip"&amp;"itation Rate,Precipitation,RH Sensor Temp,Reference Pressure,Solar Radiation,VPD,Vapor Pressure,Wind Direction,Wind Speed,X-axis Level,Y-axis Level,Temperature,Leaf Wetness,Dew Point,Midnight,Solar Panel,Serial Number,Chain Node,Reference evapotranspirati"&amp;"on,DeltaT,Latitude,Longitude,Altitude,Horizontal dilusion,Tensiometer,Unknown,Water Flow,pH,Electric Conductivity,NH3 / Ammonia,NO4 / Nitrate,Groundwater Level,ORP,Chlorophill,Cumulative Rainfall,Timestamp,NDVI,Radial Growth,Sap Flow Velocity,Yaw,Pitch,Ro"&amp;"ll,CSQ,Turbidity,Water flow m^3/h,Water count m^3,Water level cm,Water Storage"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52"/>
  <sheetViews>
    <sheetView workbookViewId="0">
      <pane ySplit="6" topLeftCell="A7" activePane="bottomLeft" state="frozen"/>
      <selection pane="bottomLeft" activeCell="B8" sqref="B8"/>
    </sheetView>
  </sheetViews>
  <sheetFormatPr defaultColWidth="12.5703125" defaultRowHeight="15.75" customHeight="1"/>
  <cols>
    <col min="1" max="1" width="17.85546875" customWidth="1"/>
    <col min="3" max="3" width="14" customWidth="1"/>
    <col min="5" max="5" width="17.85546875" customWidth="1"/>
    <col min="6" max="6" width="16.42578125" customWidth="1"/>
    <col min="7" max="7" width="18.85546875" customWidth="1"/>
  </cols>
  <sheetData>
    <row r="1" spans="1:18">
      <c r="A1" s="22" t="s">
        <v>1478</v>
      </c>
      <c r="B1" s="219" t="s">
        <v>34</v>
      </c>
      <c r="C1" s="219" t="s">
        <v>39</v>
      </c>
      <c r="D1" s="219" t="s">
        <v>48</v>
      </c>
      <c r="E1" s="219" t="s">
        <v>56</v>
      </c>
      <c r="F1" s="219" t="s">
        <v>64</v>
      </c>
      <c r="G1" s="219" t="s">
        <v>72</v>
      </c>
      <c r="H1" s="219" t="s">
        <v>120</v>
      </c>
      <c r="I1" s="219" t="s">
        <v>170</v>
      </c>
      <c r="J1" s="219" t="s">
        <v>225</v>
      </c>
      <c r="K1" s="219" t="s">
        <v>233</v>
      </c>
      <c r="L1" s="219" t="s">
        <v>399</v>
      </c>
      <c r="M1" s="219" t="s">
        <v>260</v>
      </c>
      <c r="N1" s="219" t="s">
        <v>270</v>
      </c>
      <c r="O1" s="219" t="s">
        <v>279</v>
      </c>
      <c r="P1" s="219" t="s">
        <v>1479</v>
      </c>
      <c r="Q1" s="219" t="s">
        <v>220</v>
      </c>
      <c r="R1" s="219" t="s">
        <v>291</v>
      </c>
    </row>
    <row r="2" spans="1:18">
      <c r="A2" s="22" t="s">
        <v>9</v>
      </c>
      <c r="B2" s="22" t="s">
        <v>253</v>
      </c>
      <c r="C2" s="22" t="s">
        <v>261</v>
      </c>
      <c r="D2" s="22" t="s">
        <v>261</v>
      </c>
      <c r="E2" s="22" t="s">
        <v>261</v>
      </c>
      <c r="F2" s="22" t="s">
        <v>261</v>
      </c>
      <c r="G2" s="22" t="s">
        <v>261</v>
      </c>
      <c r="H2" s="22" t="s">
        <v>261</v>
      </c>
      <c r="I2" s="22" t="s">
        <v>261</v>
      </c>
      <c r="J2" s="22" t="s">
        <v>1480</v>
      </c>
      <c r="K2" s="22" t="s">
        <v>261</v>
      </c>
      <c r="L2" s="22" t="s">
        <v>1480</v>
      </c>
      <c r="M2" s="22" t="s">
        <v>1480</v>
      </c>
      <c r="N2" s="22" t="s">
        <v>261</v>
      </c>
      <c r="O2" s="22" t="s">
        <v>1481</v>
      </c>
      <c r="P2" s="22" t="s">
        <v>1481</v>
      </c>
      <c r="Q2" s="22" t="s">
        <v>1480</v>
      </c>
      <c r="R2" s="22" t="s">
        <v>261</v>
      </c>
    </row>
    <row r="3" spans="1:18">
      <c r="A3" s="22" t="s">
        <v>10</v>
      </c>
      <c r="B3" s="22" t="s">
        <v>1482</v>
      </c>
      <c r="C3" s="22" t="s">
        <v>1483</v>
      </c>
      <c r="D3" s="22" t="s">
        <v>1483</v>
      </c>
      <c r="E3" s="22" t="s">
        <v>1484</v>
      </c>
      <c r="F3" s="22" t="s">
        <v>1485</v>
      </c>
      <c r="G3" s="22" t="s">
        <v>1485</v>
      </c>
      <c r="H3" s="22" t="s">
        <v>1486</v>
      </c>
      <c r="I3" s="22" t="s">
        <v>1487</v>
      </c>
      <c r="J3" s="22" t="s">
        <v>1488</v>
      </c>
      <c r="K3" s="22" t="s">
        <v>1489</v>
      </c>
      <c r="L3" s="22" t="s">
        <v>1490</v>
      </c>
      <c r="M3" s="22" t="s">
        <v>1490</v>
      </c>
      <c r="N3" s="22" t="s">
        <v>262</v>
      </c>
      <c r="O3" s="22" t="s">
        <v>271</v>
      </c>
      <c r="P3" s="22" t="s">
        <v>1491</v>
      </c>
      <c r="Q3" s="22" t="s">
        <v>1488</v>
      </c>
      <c r="R3" s="22" t="s">
        <v>292</v>
      </c>
    </row>
    <row r="4" spans="1:18" ht="15.75" customHeight="1">
      <c r="A4" s="22" t="s">
        <v>11</v>
      </c>
      <c r="B4" s="22" t="s">
        <v>1492</v>
      </c>
      <c r="C4" s="22" t="s">
        <v>38</v>
      </c>
      <c r="D4" s="220" t="s">
        <v>1493</v>
      </c>
      <c r="E4" s="220" t="s">
        <v>1494</v>
      </c>
      <c r="F4" s="22" t="s">
        <v>1495</v>
      </c>
      <c r="G4" s="22" t="s">
        <v>1496</v>
      </c>
      <c r="H4" s="22" t="s">
        <v>1497</v>
      </c>
      <c r="I4" s="22" t="s">
        <v>1498</v>
      </c>
      <c r="J4" s="22" t="s">
        <v>1499</v>
      </c>
      <c r="K4" s="22" t="s">
        <v>1500</v>
      </c>
      <c r="L4" s="22" t="s">
        <v>1501</v>
      </c>
      <c r="M4" s="22" t="s">
        <v>1502</v>
      </c>
      <c r="N4" s="22" t="s">
        <v>1503</v>
      </c>
      <c r="O4" s="22" t="s">
        <v>1504</v>
      </c>
      <c r="P4" s="22" t="s">
        <v>281</v>
      </c>
      <c r="Q4" s="22" t="s">
        <v>1505</v>
      </c>
      <c r="R4" s="22" t="s">
        <v>1698</v>
      </c>
    </row>
    <row r="5" spans="1:18">
      <c r="A5" s="22" t="s">
        <v>1506</v>
      </c>
      <c r="B5" s="22"/>
      <c r="C5" s="22" t="s">
        <v>30</v>
      </c>
      <c r="D5" s="22" t="s">
        <v>30</v>
      </c>
      <c r="E5" s="22" t="s">
        <v>30</v>
      </c>
      <c r="F5" s="22"/>
      <c r="G5" s="22"/>
      <c r="H5" s="22" t="s">
        <v>693</v>
      </c>
      <c r="I5" s="22" t="s">
        <v>693</v>
      </c>
      <c r="J5" s="22" t="s">
        <v>693</v>
      </c>
      <c r="K5" s="22"/>
      <c r="L5" s="22" t="s">
        <v>248</v>
      </c>
      <c r="M5" s="22" t="s">
        <v>248</v>
      </c>
      <c r="N5" s="22" t="s">
        <v>248</v>
      </c>
      <c r="O5" s="22" t="s">
        <v>248</v>
      </c>
      <c r="P5" s="22" t="s">
        <v>248</v>
      </c>
      <c r="Q5" s="22" t="s">
        <v>693</v>
      </c>
      <c r="R5" s="22" t="s">
        <v>248</v>
      </c>
    </row>
    <row r="6" spans="1:18" ht="15.75" customHeight="1">
      <c r="A6" s="227" t="s">
        <v>1699</v>
      </c>
      <c r="B6" s="223"/>
      <c r="C6" s="221" t="s">
        <v>650</v>
      </c>
      <c r="D6" s="221" t="s">
        <v>658</v>
      </c>
      <c r="E6" s="221" t="s">
        <v>663</v>
      </c>
      <c r="F6" s="196" t="s">
        <v>672</v>
      </c>
      <c r="G6" s="221" t="s">
        <v>1700</v>
      </c>
      <c r="H6" s="221"/>
      <c r="I6" s="221" t="s">
        <v>715</v>
      </c>
      <c r="J6" s="220"/>
      <c r="K6" s="220"/>
      <c r="L6" s="220"/>
      <c r="M6" s="220"/>
      <c r="N6" s="22"/>
      <c r="O6" s="22"/>
      <c r="P6" s="22"/>
      <c r="Q6" s="22"/>
      <c r="R6" s="22"/>
    </row>
    <row r="7" spans="1:18" ht="15.75" customHeight="1">
      <c r="A7" s="247" t="s">
        <v>1507</v>
      </c>
      <c r="B7" s="223" t="s">
        <v>716</v>
      </c>
      <c r="C7" s="221" t="s">
        <v>1508</v>
      </c>
      <c r="D7" s="221" t="s">
        <v>1509</v>
      </c>
      <c r="E7" s="221" t="s">
        <v>664</v>
      </c>
      <c r="F7" s="221" t="s">
        <v>1510</v>
      </c>
      <c r="G7" s="221" t="s">
        <v>1511</v>
      </c>
      <c r="H7" s="221" t="s">
        <v>1512</v>
      </c>
      <c r="I7" s="221" t="s">
        <v>716</v>
      </c>
      <c r="J7" s="221" t="s">
        <v>708</v>
      </c>
      <c r="K7" s="221"/>
      <c r="L7" s="221"/>
      <c r="M7" s="221"/>
      <c r="N7" s="221"/>
      <c r="O7" s="221"/>
      <c r="P7" s="221"/>
      <c r="Q7" s="228"/>
      <c r="R7" s="229"/>
    </row>
    <row r="8" spans="1:18" ht="15.75" customHeight="1">
      <c r="A8" s="248"/>
      <c r="B8" s="223"/>
      <c r="C8" s="223" t="s">
        <v>1515</v>
      </c>
      <c r="D8" s="223" t="s">
        <v>1516</v>
      </c>
      <c r="E8" s="223" t="s">
        <v>666</v>
      </c>
      <c r="F8" s="223" t="s">
        <v>1517</v>
      </c>
      <c r="G8" s="223" t="s">
        <v>1518</v>
      </c>
      <c r="H8" s="223"/>
      <c r="I8" s="223" t="s">
        <v>726</v>
      </c>
      <c r="J8" s="223" t="s">
        <v>651</v>
      </c>
      <c r="K8" s="223"/>
      <c r="L8" s="223"/>
      <c r="M8" s="223"/>
      <c r="N8" s="223"/>
      <c r="O8" s="223"/>
      <c r="P8" s="223"/>
      <c r="Q8" s="224"/>
      <c r="R8" s="230"/>
    </row>
    <row r="9" spans="1:18" ht="15.75" customHeight="1">
      <c r="A9" s="248"/>
      <c r="B9" s="223"/>
      <c r="C9" s="223" t="s">
        <v>1522</v>
      </c>
      <c r="D9" s="223"/>
      <c r="E9" s="223" t="s">
        <v>668</v>
      </c>
      <c r="F9" s="223" t="s">
        <v>1524</v>
      </c>
      <c r="G9" s="223"/>
      <c r="H9" s="223"/>
      <c r="I9" s="223" t="s">
        <v>719</v>
      </c>
      <c r="J9" s="223" t="s">
        <v>654</v>
      </c>
      <c r="K9" s="223"/>
      <c r="L9" s="223"/>
      <c r="M9" s="223"/>
      <c r="N9" s="223"/>
      <c r="O9" s="223"/>
      <c r="P9" s="223"/>
      <c r="Q9" s="224"/>
      <c r="R9" s="230"/>
    </row>
    <row r="10" spans="1:18" ht="15.75" customHeight="1">
      <c r="A10" s="248"/>
      <c r="B10" s="223"/>
      <c r="C10" s="223"/>
      <c r="D10" s="223"/>
      <c r="E10" s="223" t="s">
        <v>670</v>
      </c>
      <c r="F10" s="223" t="s">
        <v>1530</v>
      </c>
      <c r="G10" s="223"/>
      <c r="H10" s="223"/>
      <c r="I10" s="223" t="s">
        <v>722</v>
      </c>
      <c r="J10" s="223" t="s">
        <v>710</v>
      </c>
      <c r="K10" s="223"/>
      <c r="L10" s="223"/>
      <c r="M10" s="223"/>
      <c r="N10" s="223"/>
      <c r="O10" s="223"/>
      <c r="P10" s="223"/>
      <c r="Q10" s="224"/>
      <c r="R10" s="230"/>
    </row>
    <row r="11" spans="1:18" ht="15.75" customHeight="1">
      <c r="A11" s="248"/>
      <c r="B11" s="223"/>
      <c r="C11" s="223"/>
      <c r="D11" s="223"/>
      <c r="E11" s="223" t="s">
        <v>671</v>
      </c>
      <c r="F11" s="223" t="s">
        <v>1536</v>
      </c>
      <c r="G11" s="223"/>
      <c r="H11" s="223"/>
      <c r="I11" s="223" t="s">
        <v>1539</v>
      </c>
      <c r="J11" s="223" t="s">
        <v>712</v>
      </c>
      <c r="K11" s="223"/>
      <c r="L11" s="223"/>
      <c r="M11" s="223"/>
      <c r="N11" s="223"/>
      <c r="O11" s="223"/>
      <c r="P11" s="223"/>
      <c r="Q11" s="223"/>
      <c r="R11" s="223"/>
    </row>
    <row r="12" spans="1:18" ht="15.75" customHeight="1">
      <c r="A12" s="248"/>
      <c r="B12" s="223"/>
      <c r="C12" s="223"/>
      <c r="D12" s="223"/>
      <c r="E12" s="223"/>
      <c r="F12" s="223" t="s">
        <v>1541</v>
      </c>
      <c r="G12" s="223"/>
      <c r="H12" s="223"/>
      <c r="I12" s="223" t="s">
        <v>1543</v>
      </c>
      <c r="J12" s="223"/>
      <c r="K12" s="223"/>
      <c r="L12" s="223"/>
      <c r="M12" s="223"/>
      <c r="N12" s="223"/>
      <c r="O12" s="223"/>
      <c r="P12" s="223"/>
      <c r="Q12" s="223"/>
      <c r="R12" s="223"/>
    </row>
    <row r="13" spans="1:18" ht="15.75" customHeight="1">
      <c r="A13" s="248"/>
      <c r="B13" s="223"/>
      <c r="C13" s="223"/>
      <c r="D13" s="223"/>
      <c r="E13" s="223"/>
      <c r="F13" s="223"/>
      <c r="G13" s="223"/>
      <c r="H13" s="223"/>
      <c r="I13" s="223" t="s">
        <v>730</v>
      </c>
      <c r="J13" s="223"/>
      <c r="K13" s="223"/>
      <c r="L13" s="223"/>
      <c r="M13" s="223"/>
      <c r="N13" s="223"/>
      <c r="O13" s="223"/>
      <c r="P13" s="223"/>
      <c r="Q13" s="223"/>
      <c r="R13" s="223"/>
    </row>
    <row r="14" spans="1:18" ht="15.75" customHeight="1">
      <c r="A14" s="248"/>
      <c r="B14" s="223"/>
      <c r="C14" s="223"/>
      <c r="D14" s="223"/>
      <c r="E14" s="223"/>
      <c r="F14" s="223"/>
      <c r="G14" s="223"/>
      <c r="H14" s="223"/>
      <c r="I14" s="223" t="s">
        <v>733</v>
      </c>
      <c r="J14" s="223"/>
      <c r="K14" s="223"/>
      <c r="L14" s="223"/>
      <c r="M14" s="223"/>
      <c r="N14" s="223"/>
      <c r="O14" s="223"/>
      <c r="P14" s="223"/>
      <c r="Q14" s="223"/>
      <c r="R14" s="223"/>
    </row>
    <row r="15" spans="1:18" ht="15.75" customHeight="1">
      <c r="A15" s="248"/>
      <c r="B15" s="223"/>
      <c r="C15" s="223"/>
      <c r="D15" s="223"/>
      <c r="E15" s="223"/>
      <c r="F15" s="223"/>
      <c r="G15" s="223"/>
      <c r="H15" s="223"/>
      <c r="I15" s="223" t="s">
        <v>736</v>
      </c>
      <c r="J15" s="223"/>
      <c r="K15" s="223"/>
      <c r="L15" s="223"/>
      <c r="M15" s="223"/>
      <c r="N15" s="223"/>
      <c r="O15" s="223"/>
      <c r="P15" s="223"/>
      <c r="Q15" s="223"/>
      <c r="R15" s="223"/>
    </row>
    <row r="16" spans="1:18" ht="15.75" customHeight="1">
      <c r="A16" s="248"/>
      <c r="B16" s="223"/>
      <c r="C16" s="223"/>
      <c r="D16" s="223"/>
      <c r="E16" s="223"/>
      <c r="F16" s="223"/>
      <c r="G16" s="223"/>
      <c r="H16" s="223"/>
      <c r="I16" s="223" t="s">
        <v>1552</v>
      </c>
      <c r="J16" s="223"/>
      <c r="K16" s="223"/>
      <c r="L16" s="223"/>
      <c r="M16" s="223"/>
      <c r="N16" s="223"/>
      <c r="O16" s="223"/>
      <c r="P16" s="223"/>
      <c r="Q16" s="223"/>
      <c r="R16" s="223"/>
    </row>
    <row r="17" spans="1:18" ht="15.75" customHeight="1">
      <c r="A17" s="248"/>
      <c r="B17" s="223"/>
      <c r="C17" s="223"/>
      <c r="D17" s="223"/>
      <c r="E17" s="223"/>
      <c r="F17" s="223"/>
      <c r="G17" s="223"/>
      <c r="H17" s="223"/>
      <c r="I17" s="223"/>
      <c r="J17" s="223"/>
      <c r="K17" s="223"/>
      <c r="L17" s="223"/>
      <c r="M17" s="223"/>
      <c r="N17" s="223"/>
      <c r="O17" s="223"/>
      <c r="P17" s="223"/>
      <c r="Q17" s="223"/>
      <c r="R17" s="223"/>
    </row>
    <row r="18" spans="1:18" ht="15.75" customHeight="1">
      <c r="A18" s="248"/>
      <c r="B18" s="223"/>
      <c r="C18" s="223"/>
      <c r="D18" s="223"/>
      <c r="E18" s="223"/>
      <c r="F18" s="223"/>
      <c r="G18" s="223"/>
      <c r="H18" s="223"/>
      <c r="I18" s="223"/>
      <c r="J18" s="223"/>
      <c r="K18" s="223"/>
      <c r="L18" s="223"/>
      <c r="M18" s="223"/>
      <c r="N18" s="223"/>
      <c r="O18" s="223"/>
      <c r="P18" s="223"/>
      <c r="Q18" s="223"/>
      <c r="R18" s="223"/>
    </row>
    <row r="19" spans="1:18" ht="15.75" customHeight="1">
      <c r="A19" s="249"/>
      <c r="B19" s="223"/>
      <c r="C19" s="223"/>
      <c r="D19" s="223"/>
      <c r="E19" s="223"/>
      <c r="F19" s="223"/>
      <c r="G19" s="223"/>
      <c r="H19" s="223"/>
      <c r="I19" s="223"/>
      <c r="J19" s="223"/>
      <c r="K19" s="223"/>
      <c r="L19" s="223"/>
      <c r="M19" s="223"/>
      <c r="N19" s="223"/>
      <c r="O19" s="223"/>
      <c r="P19" s="223"/>
      <c r="Q19" s="223"/>
      <c r="R19" s="223"/>
    </row>
    <row r="20" spans="1:18" ht="15.75" customHeight="1">
      <c r="A20" s="247" t="s">
        <v>1562</v>
      </c>
      <c r="B20" s="221"/>
      <c r="C20" s="221"/>
      <c r="D20" s="221"/>
      <c r="E20" s="221"/>
      <c r="F20" s="221" t="s">
        <v>1563</v>
      </c>
      <c r="G20" s="221"/>
      <c r="H20" s="221"/>
      <c r="I20" s="221"/>
      <c r="J20" s="221"/>
      <c r="K20" s="221"/>
      <c r="L20" s="221"/>
      <c r="M20" s="221"/>
      <c r="N20" s="221"/>
      <c r="O20" s="221"/>
      <c r="P20" s="221"/>
      <c r="Q20" s="221"/>
      <c r="R20" s="221"/>
    </row>
    <row r="21" spans="1:18" ht="15.75" customHeight="1">
      <c r="A21" s="248"/>
      <c r="B21" s="223"/>
      <c r="C21" s="223"/>
      <c r="D21" s="223"/>
      <c r="E21" s="223"/>
      <c r="F21" s="223" t="s">
        <v>1564</v>
      </c>
      <c r="G21" s="223"/>
      <c r="H21" s="223"/>
      <c r="I21" s="223"/>
      <c r="J21" s="223"/>
      <c r="K21" s="223"/>
      <c r="L21" s="223"/>
      <c r="M21" s="223"/>
      <c r="N21" s="223"/>
      <c r="O21" s="223"/>
      <c r="P21" s="223"/>
      <c r="Q21" s="223"/>
      <c r="R21" s="223"/>
    </row>
    <row r="22" spans="1:18" ht="15.75" customHeight="1">
      <c r="A22" s="248"/>
      <c r="B22" s="223"/>
      <c r="C22" s="223"/>
      <c r="D22" s="223"/>
      <c r="E22" s="223"/>
      <c r="F22" s="223" t="s">
        <v>1565</v>
      </c>
      <c r="G22" s="223"/>
      <c r="H22" s="223"/>
      <c r="I22" s="223"/>
      <c r="J22" s="223"/>
      <c r="K22" s="223"/>
      <c r="L22" s="223"/>
      <c r="M22" s="223"/>
      <c r="N22" s="223"/>
      <c r="O22" s="223"/>
      <c r="P22" s="223"/>
      <c r="Q22" s="223"/>
      <c r="R22" s="223"/>
    </row>
    <row r="23" spans="1:18" ht="15.75" customHeight="1">
      <c r="A23" s="248"/>
      <c r="B23" s="223"/>
      <c r="C23" s="223"/>
      <c r="D23" s="223"/>
      <c r="E23" s="223"/>
      <c r="F23" s="223" t="s">
        <v>1566</v>
      </c>
      <c r="G23" s="223"/>
      <c r="H23" s="223"/>
      <c r="I23" s="223"/>
      <c r="J23" s="223"/>
      <c r="K23" s="223"/>
      <c r="L23" s="223"/>
      <c r="M23" s="223"/>
      <c r="N23" s="223"/>
      <c r="O23" s="223"/>
      <c r="P23" s="223"/>
      <c r="Q23" s="223"/>
      <c r="R23" s="223"/>
    </row>
    <row r="24" spans="1:18" ht="15.75" customHeight="1">
      <c r="A24" s="248"/>
      <c r="B24" s="223"/>
      <c r="C24" s="223"/>
      <c r="D24" s="223"/>
      <c r="E24" s="223"/>
      <c r="F24" s="223" t="s">
        <v>1567</v>
      </c>
      <c r="G24" s="223"/>
      <c r="H24" s="223"/>
      <c r="I24" s="223"/>
      <c r="J24" s="223"/>
      <c r="K24" s="223"/>
      <c r="L24" s="223"/>
      <c r="M24" s="223"/>
      <c r="N24" s="223"/>
      <c r="O24" s="223"/>
      <c r="P24" s="223"/>
      <c r="Q24" s="223"/>
      <c r="R24" s="223"/>
    </row>
    <row r="25" spans="1:18" ht="15.75" customHeight="1">
      <c r="A25" s="248"/>
      <c r="B25" s="223"/>
      <c r="C25" s="223"/>
      <c r="D25" s="223"/>
      <c r="E25" s="223"/>
      <c r="F25" s="223" t="s">
        <v>1568</v>
      </c>
      <c r="G25" s="223"/>
      <c r="H25" s="223"/>
      <c r="I25" s="223"/>
      <c r="J25" s="223"/>
      <c r="K25" s="223"/>
      <c r="L25" s="223"/>
      <c r="M25" s="223"/>
      <c r="N25" s="223"/>
      <c r="O25" s="223"/>
      <c r="P25" s="223"/>
      <c r="Q25" s="223"/>
      <c r="R25" s="223"/>
    </row>
    <row r="26" spans="1:18" ht="15.75" customHeight="1">
      <c r="A26" s="248"/>
      <c r="B26" s="223"/>
      <c r="C26" s="223"/>
      <c r="D26" s="223"/>
      <c r="E26" s="223"/>
      <c r="F26" s="223" t="s">
        <v>1569</v>
      </c>
      <c r="G26" s="223"/>
      <c r="H26" s="223"/>
      <c r="I26" s="223"/>
      <c r="J26" s="223"/>
      <c r="K26" s="223"/>
      <c r="L26" s="223"/>
      <c r="M26" s="223"/>
      <c r="N26" s="223"/>
      <c r="O26" s="223"/>
      <c r="P26" s="223"/>
      <c r="Q26" s="223"/>
      <c r="R26" s="223"/>
    </row>
    <row r="27" spans="1:18" ht="15.75" customHeight="1">
      <c r="A27" s="248"/>
      <c r="B27" s="223"/>
      <c r="C27" s="223"/>
      <c r="D27" s="223"/>
      <c r="E27" s="223"/>
      <c r="F27" s="223"/>
      <c r="G27" s="223"/>
      <c r="H27" s="223"/>
      <c r="I27" s="223"/>
      <c r="J27" s="223"/>
      <c r="K27" s="223"/>
      <c r="L27" s="223"/>
      <c r="M27" s="223"/>
      <c r="N27" s="223"/>
      <c r="O27" s="223"/>
      <c r="P27" s="223"/>
      <c r="Q27" s="223"/>
      <c r="R27" s="223"/>
    </row>
    <row r="28" spans="1:18" ht="15.75" customHeight="1">
      <c r="A28" s="248"/>
      <c r="B28" s="223"/>
      <c r="C28" s="223"/>
      <c r="D28" s="223"/>
      <c r="E28" s="223"/>
      <c r="F28" s="223"/>
      <c r="G28" s="223"/>
      <c r="H28" s="223"/>
      <c r="I28" s="223"/>
      <c r="J28" s="223"/>
      <c r="K28" s="223"/>
      <c r="L28" s="223"/>
      <c r="M28" s="223"/>
      <c r="N28" s="223"/>
      <c r="O28" s="223"/>
      <c r="P28" s="223"/>
      <c r="Q28" s="223"/>
      <c r="R28" s="223"/>
    </row>
    <row r="29" spans="1:18" ht="15.75" customHeight="1">
      <c r="A29" s="248"/>
      <c r="B29" s="223"/>
      <c r="C29" s="223"/>
      <c r="D29" s="223"/>
      <c r="E29" s="223"/>
      <c r="F29" s="223"/>
      <c r="G29" s="223"/>
      <c r="H29" s="223"/>
      <c r="I29" s="223"/>
      <c r="J29" s="223"/>
      <c r="K29" s="223"/>
      <c r="L29" s="223"/>
      <c r="M29" s="223"/>
      <c r="N29" s="223"/>
      <c r="O29" s="223"/>
      <c r="P29" s="223"/>
      <c r="Q29" s="223"/>
      <c r="R29" s="223"/>
    </row>
    <row r="30" spans="1:18" ht="15.75" customHeight="1">
      <c r="A30" s="248"/>
      <c r="B30" s="223"/>
      <c r="C30" s="223"/>
      <c r="D30" s="223"/>
      <c r="E30" s="223"/>
      <c r="F30" s="223"/>
      <c r="G30" s="223"/>
      <c r="H30" s="223"/>
      <c r="I30" s="223"/>
      <c r="J30" s="223"/>
      <c r="K30" s="223"/>
      <c r="L30" s="223"/>
      <c r="M30" s="223"/>
      <c r="N30" s="223"/>
      <c r="O30" s="223"/>
      <c r="P30" s="223"/>
      <c r="Q30" s="223"/>
      <c r="R30" s="223"/>
    </row>
    <row r="31" spans="1:18" ht="15.75" customHeight="1">
      <c r="A31" s="249"/>
      <c r="B31" s="225"/>
      <c r="C31" s="225"/>
      <c r="D31" s="225"/>
      <c r="E31" s="225"/>
      <c r="F31" s="225"/>
      <c r="G31" s="225"/>
      <c r="H31" s="225"/>
      <c r="I31" s="225"/>
      <c r="J31" s="225"/>
      <c r="K31" s="225"/>
      <c r="L31" s="225"/>
      <c r="M31" s="225"/>
      <c r="N31" s="225"/>
      <c r="O31" s="225"/>
      <c r="P31" s="225"/>
      <c r="Q31" s="225"/>
      <c r="R31" s="225"/>
    </row>
    <row r="32" spans="1:18" ht="15.75" customHeight="1">
      <c r="A32" s="204" t="s">
        <v>1571</v>
      </c>
      <c r="B32" s="226">
        <f t="shared" ref="B32:I32" si="0">COUNTA(B7:B31)</f>
        <v>1</v>
      </c>
      <c r="C32" s="226">
        <f t="shared" si="0"/>
        <v>3</v>
      </c>
      <c r="D32" s="226">
        <f t="shared" si="0"/>
        <v>2</v>
      </c>
      <c r="E32" s="226">
        <f t="shared" si="0"/>
        <v>5</v>
      </c>
      <c r="F32" s="226">
        <f t="shared" si="0"/>
        <v>13</v>
      </c>
      <c r="G32" s="226">
        <f t="shared" si="0"/>
        <v>2</v>
      </c>
      <c r="H32" s="226">
        <f t="shared" si="0"/>
        <v>1</v>
      </c>
      <c r="I32" s="226">
        <f t="shared" si="0"/>
        <v>10</v>
      </c>
      <c r="R32" s="5">
        <v>1</v>
      </c>
    </row>
    <row r="33" spans="1:18">
      <c r="A33" s="5" t="s">
        <v>1572</v>
      </c>
    </row>
    <row r="34" spans="1:18">
      <c r="A34" s="5" t="s">
        <v>30</v>
      </c>
      <c r="B34" s="5">
        <f>COUNTIFS('All sensors Installed'!$B:$B,$A34,'All sensors Installed'!$F:$F,B$1)</f>
        <v>1</v>
      </c>
      <c r="C34" s="5">
        <f>COUNTIFS('All sensors Installed'!$B:$B,$A34,'All sensors Installed'!$F:$F,C$1)</f>
        <v>1</v>
      </c>
      <c r="D34" s="5">
        <f>COUNTIFS('All sensors Installed'!$B:$B,$A34,'All sensors Installed'!$F:$F,D$1)</f>
        <v>1</v>
      </c>
      <c r="E34" s="5">
        <f>COUNTIFS('All sensors Installed'!$B:$B,$A34,'All sensors Installed'!$F:$F,E$1)</f>
        <v>1</v>
      </c>
      <c r="F34" s="5">
        <f>COUNTIFS('All sensors Installed'!$B:$B,$A34,'All sensors Installed'!$F:$F,F$1)</f>
        <v>1</v>
      </c>
      <c r="G34" s="5">
        <f>COUNTIFS('All sensors Installed'!$B:$B,$A34,'All sensors Installed'!$F:$F,G$1)</f>
        <v>1</v>
      </c>
      <c r="H34" s="5">
        <f>COUNTIFS('All sensors Installed'!$B:$B,$A34,'All sensors Installed'!$F:$F,H$1)</f>
        <v>0</v>
      </c>
      <c r="I34" s="5">
        <f>COUNTIFS('All sensors Installed'!$B:$B,$A34,'All sensors Installed'!$F:$F,I$1)</f>
        <v>0</v>
      </c>
      <c r="J34" s="5">
        <f>COUNTIFS('All sensors Installed'!$B:$B,$A34,'All sensors Installed'!$F:$F,J$1)</f>
        <v>0</v>
      </c>
      <c r="K34" s="5">
        <f>COUNTIFS('All sensors Installed'!$B:$B,$A34,'All sensors Installed'!$F:$F,K$1)</f>
        <v>0</v>
      </c>
      <c r="L34" s="5">
        <f>COUNTIFS('All sensors Installed'!$B:$B,$A34,'All sensors Installed'!$F:$F,L$1)</f>
        <v>0</v>
      </c>
      <c r="M34" s="5">
        <f>COUNTIFS('All sensors Installed'!$B:$B,$A34,'All sensors Installed'!$F:$F,M$1)</f>
        <v>0</v>
      </c>
      <c r="N34" s="5">
        <f>COUNTIFS('All sensors Installed'!$B:$B,$A34,'All sensors Installed'!$F:$F,N$1)</f>
        <v>0</v>
      </c>
      <c r="O34" s="5">
        <f>COUNTIFS('All sensors Installed'!$B:$B,$A34,'All sensors Installed'!$F:$F,O$1)</f>
        <v>0</v>
      </c>
      <c r="P34" s="5">
        <f>COUNTIFS('All sensors Installed'!$B:$B,$A34,'All sensors Installed'!$F:$F,P$1)</f>
        <v>0</v>
      </c>
      <c r="R34" s="5">
        <v>0</v>
      </c>
    </row>
    <row r="35" spans="1:18">
      <c r="A35" s="5" t="s">
        <v>80</v>
      </c>
      <c r="B35" s="5">
        <f>COUNTIFS('All sensors Installed'!$B:$B,$A35,'All sensors Installed'!$F:$F,B$1)</f>
        <v>2</v>
      </c>
      <c r="C35" s="5">
        <f>COUNTIFS('All sensors Installed'!$B:$B,$A35,'All sensors Installed'!$F:$F,C$1)</f>
        <v>0</v>
      </c>
      <c r="D35" s="5">
        <f>COUNTIFS('All sensors Installed'!$B:$B,$A35,'All sensors Installed'!$F:$F,D$1)</f>
        <v>0</v>
      </c>
      <c r="E35" s="5">
        <f>COUNTIFS('All sensors Installed'!$B:$B,$A35,'All sensors Installed'!$F:$F,E$1)</f>
        <v>0</v>
      </c>
      <c r="F35" s="5">
        <f>COUNTIFS('All sensors Installed'!$B:$B,$A35,'All sensors Installed'!$F:$F,F$1)</f>
        <v>10</v>
      </c>
      <c r="G35" s="5">
        <f>COUNTIFS('All sensors Installed'!$B:$B,$A35,'All sensors Installed'!$F:$F,G$1)</f>
        <v>0</v>
      </c>
      <c r="H35" s="5">
        <f>COUNTIFS('All sensors Installed'!$B:$B,$A35,'All sensors Installed'!$F:$F,H$1)</f>
        <v>12</v>
      </c>
      <c r="I35" s="5">
        <f>COUNTIFS('All sensors Installed'!$B:$B,$A35,'All sensors Installed'!$F:$F,I$1)</f>
        <v>24</v>
      </c>
      <c r="J35" s="5">
        <f>COUNTIFS('All sensors Installed'!$B:$B,$A35,'All sensors Installed'!$F:$F,J$1)</f>
        <v>1</v>
      </c>
      <c r="K35" s="5">
        <f>COUNTIFS('All sensors Installed'!$B:$B,$A35,'All sensors Installed'!$F:$F,K$1)</f>
        <v>3</v>
      </c>
      <c r="L35" s="5">
        <f>COUNTIFS('All sensors Installed'!$B:$B,$A35,'All sensors Installed'!$F:$F,L$1)</f>
        <v>0</v>
      </c>
      <c r="M35" s="5">
        <f>COUNTIFS('All sensors Installed'!$B:$B,$A35,'All sensors Installed'!$F:$F,M$1)</f>
        <v>0</v>
      </c>
      <c r="N35" s="5">
        <f>COUNTIFS('All sensors Installed'!$B:$B,$A35,'All sensors Installed'!$F:$F,N$1)</f>
        <v>0</v>
      </c>
      <c r="O35" s="5">
        <f>COUNTIFS('All sensors Installed'!$B:$B,$A35,'All sensors Installed'!$F:$F,O$1)</f>
        <v>0</v>
      </c>
      <c r="P35" s="5">
        <f>COUNTIFS('All sensors Installed'!$B:$B,$A35,'All sensors Installed'!$F:$F,P$1)</f>
        <v>0</v>
      </c>
      <c r="R35" s="5">
        <v>0</v>
      </c>
    </row>
    <row r="36" spans="1:18">
      <c r="A36" s="5" t="s">
        <v>1573</v>
      </c>
      <c r="B36" s="5">
        <f>COUNTIFS('All sensors Installed'!$B:$B,$A36,'All sensors Installed'!$F:$F,B$1)</f>
        <v>0</v>
      </c>
      <c r="C36" s="5">
        <f>COUNTIFS('All sensors Installed'!$B:$B,$A36,'All sensors Installed'!$F:$F,C$1)</f>
        <v>0</v>
      </c>
      <c r="D36" s="5">
        <f>COUNTIFS('All sensors Installed'!$B:$B,$A36,'All sensors Installed'!$F:$F,D$1)</f>
        <v>0</v>
      </c>
      <c r="E36" s="5">
        <f>COUNTIFS('All sensors Installed'!$B:$B,$A36,'All sensors Installed'!$F:$F,E$1)</f>
        <v>0</v>
      </c>
      <c r="F36" s="5">
        <f>COUNTIFS('All sensors Installed'!$B:$B,$A36,'All sensors Installed'!$F:$F,F$1)</f>
        <v>0</v>
      </c>
      <c r="G36" s="5">
        <f>COUNTIFS('All sensors Installed'!$B:$B,$A36,'All sensors Installed'!$F:$F,G$1)</f>
        <v>0</v>
      </c>
      <c r="H36" s="5">
        <f>COUNTIFS('All sensors Installed'!$B:$B,$A36,'All sensors Installed'!$F:$F,H$1)</f>
        <v>0</v>
      </c>
      <c r="I36" s="5">
        <f>COUNTIFS('All sensors Installed'!$B:$B,$A36,'All sensors Installed'!$F:$F,I$1)</f>
        <v>0</v>
      </c>
      <c r="J36" s="5">
        <f>COUNTIFS('All sensors Installed'!$B:$B,$A36,'All sensors Installed'!$F:$F,J$1)</f>
        <v>0</v>
      </c>
      <c r="K36" s="5">
        <f>COUNTIFS('All sensors Installed'!$B:$B,$A36,'All sensors Installed'!$F:$F,K$1)</f>
        <v>0</v>
      </c>
      <c r="L36" s="5">
        <f>COUNTIFS('All sensors Installed'!$B:$B,$A36,'All sensors Installed'!$F:$F,L$1)</f>
        <v>1</v>
      </c>
      <c r="M36" s="5">
        <f>COUNTIFS('All sensors Installed'!$B:$B,$A36,'All sensors Installed'!$F:$F,M$1)</f>
        <v>8</v>
      </c>
      <c r="N36" s="5">
        <f>COUNTIFS('All sensors Installed'!$B:$B,$A36,'All sensors Installed'!$F:$F,N$1)</f>
        <v>9</v>
      </c>
      <c r="O36" s="5">
        <f>COUNTIFS('All sensors Installed'!$B:$B,$A36,'All sensors Installed'!$F:$F,O$1)</f>
        <v>4</v>
      </c>
      <c r="P36" s="5">
        <f>COUNTIFS('All sensors Installed'!$B:$B,$A36,'All sensors Installed'!$F:$F,P$1)</f>
        <v>0</v>
      </c>
      <c r="R36" s="5">
        <v>1</v>
      </c>
    </row>
    <row r="37" spans="1:18">
      <c r="A37" s="5" t="s">
        <v>1574</v>
      </c>
      <c r="B37" s="5">
        <f>COUNTIFS('All sensors Installed'!$B:$B,$A37,'All sensors Installed'!$F:$F,B$1)</f>
        <v>0</v>
      </c>
      <c r="C37" s="5">
        <f>COUNTIFS('All sensors Installed'!$B:$B,$A37,'All sensors Installed'!$F:$F,C$1)</f>
        <v>0</v>
      </c>
      <c r="D37" s="5">
        <f>COUNTIFS('All sensors Installed'!$B:$B,$A37,'All sensors Installed'!$F:$F,D$1)</f>
        <v>0</v>
      </c>
      <c r="E37" s="5">
        <f>COUNTIFS('All sensors Installed'!$B:$B,$A37,'All sensors Installed'!$F:$F,E$1)</f>
        <v>0</v>
      </c>
      <c r="F37" s="5">
        <f>COUNTIFS('All sensors Installed'!$B:$B,$A37,'All sensors Installed'!$F:$F,F$1)</f>
        <v>0</v>
      </c>
      <c r="G37" s="5">
        <f>COUNTIFS('All sensors Installed'!$B:$B,$A37,'All sensors Installed'!$F:$F,G$1)</f>
        <v>0</v>
      </c>
      <c r="H37" s="5">
        <f>COUNTIFS('All sensors Installed'!$B:$B,$A37,'All sensors Installed'!$F:$F,H$1)</f>
        <v>0</v>
      </c>
      <c r="I37" s="5">
        <f>COUNTIFS('All sensors Installed'!$B:$B,$A37,'All sensors Installed'!$F:$F,I$1)</f>
        <v>0</v>
      </c>
      <c r="J37" s="5">
        <f>COUNTIFS('All sensors Installed'!$B:$B,$A37,'All sensors Installed'!$F:$F,J$1)</f>
        <v>0</v>
      </c>
      <c r="K37" s="5">
        <f>COUNTIFS('All sensors Installed'!$B:$B,$A37,'All sensors Installed'!$F:$F,K$1)</f>
        <v>0</v>
      </c>
      <c r="L37" s="5">
        <f>COUNTIFS('All sensors Installed'!$B:$B,$A37,'All sensors Installed'!$F:$F,L$1)</f>
        <v>0</v>
      </c>
      <c r="M37" s="5">
        <f>COUNTIFS('All sensors Installed'!$B:$B,$A37,'All sensors Installed'!$F:$F,M$1)</f>
        <v>0</v>
      </c>
      <c r="N37" s="5">
        <f>COUNTIFS('All sensors Installed'!$B:$B,$A37,'All sensors Installed'!$F:$F,N$1)</f>
        <v>0</v>
      </c>
      <c r="O37" s="5">
        <f>COUNTIFS('All sensors Installed'!$B:$B,$A37,'All sensors Installed'!$F:$F,O$1)</f>
        <v>0</v>
      </c>
      <c r="P37" s="5">
        <f>COUNTIFS('All sensors Installed'!$B:$B,$A37,'All sensors Installed'!$F:$F,P$1)</f>
        <v>0</v>
      </c>
      <c r="R37" s="5">
        <v>0</v>
      </c>
    </row>
    <row r="38" spans="1:18">
      <c r="A38" s="5" t="s">
        <v>1575</v>
      </c>
      <c r="B38" s="5">
        <f>COUNTIFS('All sensors Installed'!$B:$B,$A38,'All sensors Installed'!$F:$F,B$1)</f>
        <v>0</v>
      </c>
      <c r="C38" s="5">
        <f>COUNTIFS('All sensors Installed'!$B:$B,$A38,'All sensors Installed'!$F:$F,C$1)</f>
        <v>0</v>
      </c>
      <c r="D38" s="5">
        <f>COUNTIFS('All sensors Installed'!$B:$B,$A38,'All sensors Installed'!$F:$F,D$1)</f>
        <v>0</v>
      </c>
      <c r="E38" s="5">
        <f>COUNTIFS('All sensors Installed'!$B:$B,$A38,'All sensors Installed'!$F:$F,E$1)</f>
        <v>0</v>
      </c>
      <c r="F38" s="5">
        <f>COUNTIFS('All sensors Installed'!$B:$B,$A38,'All sensors Installed'!$F:$F,F$1)</f>
        <v>0</v>
      </c>
      <c r="G38" s="5">
        <f>COUNTIFS('All sensors Installed'!$B:$B,$A38,'All sensors Installed'!$F:$F,G$1)</f>
        <v>0</v>
      </c>
      <c r="H38" s="5">
        <f>COUNTIFS('All sensors Installed'!$B:$B,$A38,'All sensors Installed'!$F:$F,H$1)</f>
        <v>0</v>
      </c>
      <c r="I38" s="5">
        <f>COUNTIFS('All sensors Installed'!$B:$B,$A38,'All sensors Installed'!$F:$F,I$1)</f>
        <v>0</v>
      </c>
      <c r="J38" s="5">
        <f>COUNTIFS('All sensors Installed'!$B:$B,$A38,'All sensors Installed'!$F:$F,J$1)</f>
        <v>0</v>
      </c>
      <c r="K38" s="5">
        <f>COUNTIFS('All sensors Installed'!$B:$B,$A38,'All sensors Installed'!$F:$F,K$1)</f>
        <v>0</v>
      </c>
      <c r="L38" s="5">
        <f>COUNTIFS('All sensors Installed'!$B:$B,$A38,'All sensors Installed'!$F:$F,L$1)</f>
        <v>0</v>
      </c>
      <c r="M38" s="5">
        <f>COUNTIFS('All sensors Installed'!$B:$B,$A38,'All sensors Installed'!$F:$F,M$1)</f>
        <v>0</v>
      </c>
      <c r="N38" s="5">
        <f>COUNTIFS('All sensors Installed'!$B:$B,$A38,'All sensors Installed'!$F:$F,N$1)</f>
        <v>0</v>
      </c>
      <c r="O38" s="5">
        <f>COUNTIFS('All sensors Installed'!$B:$B,$A38,'All sensors Installed'!$F:$F,O$1)</f>
        <v>0</v>
      </c>
      <c r="P38" s="5">
        <f>COUNTIFS('All sensors Installed'!$B:$B,$A38,'All sensors Installed'!$F:$F,P$1)</f>
        <v>0</v>
      </c>
      <c r="R38" s="5">
        <v>0</v>
      </c>
    </row>
    <row r="42" spans="1:18" ht="15.75" customHeight="1">
      <c r="A42" s="231"/>
    </row>
    <row r="43" spans="1:18" ht="15.75" customHeight="1">
      <c r="A43" s="231"/>
    </row>
    <row r="44" spans="1:18" ht="15.75" customHeight="1">
      <c r="A44" s="231"/>
    </row>
    <row r="45" spans="1:18" ht="15.75" customHeight="1">
      <c r="A45" s="232"/>
    </row>
    <row r="46" spans="1:18" ht="15">
      <c r="A46" s="231"/>
    </row>
    <row r="47" spans="1:18" ht="15">
      <c r="A47" s="231"/>
    </row>
    <row r="48" spans="1:18" ht="15">
      <c r="A48" s="231"/>
    </row>
    <row r="49" spans="1:1" ht="15">
      <c r="A49" s="231"/>
    </row>
    <row r="50" spans="1:1" ht="15">
      <c r="A50" s="232"/>
    </row>
    <row r="51" spans="1:1" ht="15">
      <c r="A51" s="231"/>
    </row>
    <row r="52" spans="1:1" ht="15">
      <c r="A52" s="231"/>
    </row>
  </sheetData>
  <mergeCells count="2">
    <mergeCell ref="A7:A19"/>
    <mergeCell ref="A20:A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All sensors Installed</vt:lpstr>
      <vt:lpstr>Datastream Definition</vt:lpstr>
      <vt:lpstr>Sensor Type Details</vt:lpstr>
      <vt:lpstr>Property names</vt:lpstr>
      <vt:lpstr>WOT Sensor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Joel Aumedes Serrano</cp:lastModifiedBy>
  <dcterms:modified xsi:type="dcterms:W3CDTF">2024-11-27T10:13:46Z</dcterms:modified>
</cp:coreProperties>
</file>